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slicers/slicer1.xml" ContentType="application/vnd.ms-excel.slicer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2.xml" ContentType="application/vnd.openxmlformats-officedocument.spreadsheetml.queryTable+xml"/>
  <Override PartName="/xl/tables/table20.xml" ContentType="application/vnd.openxmlformats-officedocument.spreadsheetml.table+xml"/>
  <Override PartName="/xl/queryTables/queryTable3.xml" ContentType="application/vnd.openxmlformats-officedocument.spreadsheetml.queryTable+xml"/>
  <Override PartName="/xl/tables/table21.xml" ContentType="application/vnd.openxmlformats-officedocument.spreadsheetml.table+xml"/>
  <Override PartName="/xl/queryTables/queryTable4.xml" ContentType="application/vnd.openxmlformats-officedocument.spreadsheetml.queryTable+xml"/>
  <Override PartName="/xl/tables/table22.xml" ContentType="application/vnd.openxmlformats-officedocument.spreadsheetml.table+xml"/>
  <Override PartName="/xl/queryTables/queryTable5.xml" ContentType="application/vnd.openxmlformats-officedocument.spreadsheetml.queryTable+xml"/>
  <Override PartName="/xl/tables/table23.xml" ContentType="application/vnd.openxmlformats-officedocument.spreadsheetml.table+xml"/>
  <Override PartName="/xl/queryTables/queryTable6.xml" ContentType="application/vnd.openxmlformats-officedocument.spreadsheetml.queryTable+xml"/>
  <Override PartName="/xl/tables/table24.xml" ContentType="application/vnd.openxmlformats-officedocument.spreadsheetml.table+xml"/>
  <Override PartName="/xl/queryTables/queryTable7.xml" ContentType="application/vnd.openxmlformats-officedocument.spreadsheetml.queryTable+xml"/>
  <Override PartName="/xl/tables/table25.xml" ContentType="application/vnd.openxmlformats-officedocument.spreadsheetml.table+xml"/>
  <Override PartName="/xl/queryTables/queryTable8.xml" ContentType="application/vnd.openxmlformats-officedocument.spreadsheetml.queryTable+xml"/>
  <Override PartName="/xl/tables/table26.xml" ContentType="application/vnd.openxmlformats-officedocument.spreadsheetml.table+xml"/>
  <Override PartName="/xl/queryTables/queryTable9.xml" ContentType="application/vnd.openxmlformats-officedocument.spreadsheetml.queryTable+xml"/>
  <Override PartName="/xl/tables/table27.xml" ContentType="application/vnd.openxmlformats-officedocument.spreadsheetml.table+xml"/>
  <Override PartName="/xl/queryTables/queryTable10.xml" ContentType="application/vnd.openxmlformats-officedocument.spreadsheetml.queryTable+xml"/>
  <Override PartName="/xl/tables/table28.xml" ContentType="application/vnd.openxmlformats-officedocument.spreadsheetml.table+xml"/>
  <Override PartName="/xl/queryTables/queryTable1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ynamisimport.sharepoint.com/sites/ATM/Documentos Compartilhados/02 - Engenharia/15 - ISO/02 - Processos/Lista de Materiais/"/>
    </mc:Choice>
  </mc:AlternateContent>
  <xr:revisionPtr revIDLastSave="6125" documentId="13_ncr:1_{C068B25C-6DA0-4CA8-9C98-4A98D75D0D6B}" xr6:coauthVersionLast="47" xr6:coauthVersionMax="47" xr10:uidLastSave="{C9BC141E-0C0E-4D22-807F-47EA4A1E3C6C}"/>
  <bookViews>
    <workbookView xWindow="-120" yWindow="-120" windowWidth="29040" windowHeight="15720" tabRatio="870" firstSheet="4" activeTab="15" xr2:uid="{04DD4D6E-E879-46F0-801D-6537E2F148A7}"/>
  </bookViews>
  <sheets>
    <sheet name="Controle_de_Revisões" sheetId="69" r:id="rId1"/>
    <sheet name="Solicitações_de_Melhoria" sheetId="70" r:id="rId2"/>
    <sheet name="CAPA-LM" sheetId="1" r:id="rId3"/>
    <sheet name="TABELA MÃE" sheetId="2" r:id="rId4"/>
    <sheet name="DASHBOARD" sheetId="67" r:id="rId5"/>
    <sheet name="TABELA_GERAL" sheetId="66" r:id="rId6"/>
    <sheet name="LM-ATER." sheetId="27" r:id="rId7"/>
    <sheet name="LM-CA BT" sheetId="29" r:id="rId8"/>
    <sheet name="LM-CA MT" sheetId="30" r:id="rId9"/>
    <sheet name="LM-CERC." sheetId="31" r:id="rId10"/>
    <sheet name="LM-CFTV" sheetId="35" r:id="rId11"/>
    <sheet name="LM-CIVIL" sheetId="32" r:id="rId12"/>
    <sheet name="LM-MISC." sheetId="33" r:id="rId13"/>
    <sheet name="LM-PPCI" sheetId="34" r:id="rId14"/>
    <sheet name="LM-DREN." sheetId="36" r:id="rId15"/>
    <sheet name="LM-KIT F." sheetId="37" r:id="rId16"/>
    <sheet name="AUXILIAR_DASHBOARD" sheetId="68" state="hidden" r:id="rId17"/>
    <sheet name="TABELA_ATERRAMENTO" sheetId="55" state="hidden" r:id="rId18"/>
    <sheet name="TABELA_CA_BT" sheetId="56" state="hidden" r:id="rId19"/>
    <sheet name="TABELA_CA_MT" sheetId="57" state="hidden" r:id="rId20"/>
    <sheet name="TABELA_CERCAMENTO" sheetId="58" state="hidden" r:id="rId21"/>
    <sheet name="TABELA_CFTV" sheetId="59" state="hidden" r:id="rId22"/>
    <sheet name="TABELA_CIVIL" sheetId="60" state="hidden" r:id="rId23"/>
    <sheet name="TABELA_MISCELÂNEA" sheetId="61" state="hidden" r:id="rId24"/>
    <sheet name="TABELA_PPCI" sheetId="62" state="hidden" r:id="rId25"/>
    <sheet name="TABELA_DRENAGEM" sheetId="63" state="hidden" r:id="rId26"/>
    <sheet name="TABELA_KIT_F" sheetId="64" state="hidden" r:id="rId27"/>
  </sheets>
  <definedNames>
    <definedName name="_xlnm._FilterDatabase" localSheetId="3" hidden="1">'TABELA MÃE'!$C$1:$C$1</definedName>
    <definedName name="_xlchart.v1.0" hidden="1">AUXILIAR_DASHBOARD!$I$8:$J$101</definedName>
    <definedName name="_xlchart.v1.1" hidden="1">AUXILIAR_DASHBOARD!$K$7</definedName>
    <definedName name="_xlchart.v1.2" hidden="1">AUXILIAR_DASHBOARD!$K$8:$K$101</definedName>
    <definedName name="_xlchart.v1.3" hidden="1">AUXILIAR_DASHBOARD!$I$8:$J$101</definedName>
    <definedName name="_xlchart.v1.4" hidden="1">AUXILIAR_DASHBOARD!$L$7</definedName>
    <definedName name="_xlchart.v1.5" hidden="1">AUXILIAR_DASHBOARD!$L$8:$L$101</definedName>
    <definedName name="_xleta.SUM" hidden="1" xlm="1">#NAME?</definedName>
    <definedName name="DadosExternos_1" localSheetId="17" hidden="1">TABELA_ATERRAMENTO!$A$1:$I$25</definedName>
    <definedName name="DadosExternos_1" localSheetId="18" hidden="1">TABELA_CA_BT!$A$1:$I$25</definedName>
    <definedName name="DadosExternos_1" localSheetId="19" hidden="1">TABELA_CA_MT!$A$1:$I$25</definedName>
    <definedName name="DadosExternos_1" localSheetId="20" hidden="1">TABELA_CERCAMENTO!$A$1:$I$25</definedName>
    <definedName name="DadosExternos_1" localSheetId="21" hidden="1">TABELA_CFTV!$A$1:$I$25</definedName>
    <definedName name="DadosExternos_1" localSheetId="22" hidden="1">TABELA_CIVIL!$A$1:$I$25</definedName>
    <definedName name="DadosExternos_1" localSheetId="25" hidden="1">TABELA_DRENAGEM!$A$1:$I$25</definedName>
    <definedName name="DadosExternos_1" localSheetId="5" hidden="1">TABELA_GERAL!$C$7:$I$8</definedName>
    <definedName name="DadosExternos_1" localSheetId="26" hidden="1">TABELA_KIT_F!$A$1:$I$25</definedName>
    <definedName name="DadosExternos_1" localSheetId="23" hidden="1">TABELA_MISCELÂNEA!$A$1:$I$25</definedName>
    <definedName name="DadosExternos_1" localSheetId="24" hidden="1">TABELA_PPCI!$A$1:$I$25</definedName>
    <definedName name="Lista_resp">Controle_de_Revisões!$L$2:$L$10</definedName>
    <definedName name="SegmentaçãodeDados_FAMÍLIA">#N/A</definedName>
    <definedName name="SegmentaçãodeDados_FAMÍLIA1">#N/A</definedName>
    <definedName name="SegmentaçãodeDados_SUB_FAMÍLIA">#N/A</definedName>
    <definedName name="TABELA">'CAPA-LM'!$C$13:$C$22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8"/>
        <x14:slicerCache r:id="rId29"/>
        <x14:slicerCache r:id="rId30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33" l="1"/>
  <c r="F10" i="33"/>
  <c r="F9" i="33"/>
  <c r="F15" i="29"/>
  <c r="F8" i="29"/>
  <c r="F11" i="29" s="1"/>
  <c r="D11" i="29"/>
  <c r="E11" i="29"/>
  <c r="H11" i="29"/>
  <c r="J11" i="29"/>
  <c r="I1061" i="2"/>
  <c r="I4" i="2"/>
  <c r="J2" i="64"/>
  <c r="J3" i="64"/>
  <c r="J4" i="64"/>
  <c r="J5" i="64"/>
  <c r="J6" i="64"/>
  <c r="J7" i="64"/>
  <c r="J8" i="64"/>
  <c r="J9" i="64"/>
  <c r="J10" i="64"/>
  <c r="J11" i="64"/>
  <c r="J12" i="64"/>
  <c r="J13" i="64"/>
  <c r="J14" i="64"/>
  <c r="J15" i="64"/>
  <c r="J16" i="64"/>
  <c r="J17" i="64"/>
  <c r="J18" i="64"/>
  <c r="J19" i="64"/>
  <c r="J20" i="64"/>
  <c r="J21" i="64"/>
  <c r="J22" i="64"/>
  <c r="J23" i="64"/>
  <c r="J24" i="64"/>
  <c r="J25" i="64"/>
  <c r="J2" i="63"/>
  <c r="J3" i="63"/>
  <c r="J4" i="63"/>
  <c r="J5" i="63"/>
  <c r="J6" i="63"/>
  <c r="J7" i="63"/>
  <c r="J8" i="63"/>
  <c r="J9" i="63"/>
  <c r="J10" i="63"/>
  <c r="J11" i="63"/>
  <c r="J12" i="63"/>
  <c r="J13" i="63"/>
  <c r="J14" i="63"/>
  <c r="J15" i="63"/>
  <c r="J16" i="63"/>
  <c r="J17" i="63"/>
  <c r="J18" i="63"/>
  <c r="J19" i="63"/>
  <c r="J20" i="63"/>
  <c r="J21" i="63"/>
  <c r="J22" i="63"/>
  <c r="J23" i="63"/>
  <c r="J24" i="63"/>
  <c r="J25" i="63"/>
  <c r="J2" i="62"/>
  <c r="J3" i="62"/>
  <c r="J4" i="62"/>
  <c r="J5" i="62"/>
  <c r="J6" i="62"/>
  <c r="J7" i="62"/>
  <c r="J8" i="62"/>
  <c r="J9" i="62"/>
  <c r="J10" i="62"/>
  <c r="J11" i="62"/>
  <c r="J12" i="62"/>
  <c r="J13" i="62"/>
  <c r="J14" i="62"/>
  <c r="J15" i="62"/>
  <c r="J16" i="62"/>
  <c r="J17" i="62"/>
  <c r="J18" i="62"/>
  <c r="J19" i="62"/>
  <c r="J20" i="62"/>
  <c r="J21" i="62"/>
  <c r="J22" i="62"/>
  <c r="J23" i="62"/>
  <c r="J24" i="62"/>
  <c r="J25" i="62"/>
  <c r="J2" i="61"/>
  <c r="J3" i="61"/>
  <c r="J4" i="61"/>
  <c r="J5" i="61"/>
  <c r="J6" i="61"/>
  <c r="J7" i="61"/>
  <c r="J8" i="61"/>
  <c r="J9" i="61"/>
  <c r="J10" i="61"/>
  <c r="J11" i="61"/>
  <c r="J12" i="61"/>
  <c r="J13" i="61"/>
  <c r="J14" i="61"/>
  <c r="J15" i="61"/>
  <c r="J16" i="61"/>
  <c r="J17" i="61"/>
  <c r="J18" i="61"/>
  <c r="J19" i="61"/>
  <c r="J20" i="61"/>
  <c r="J21" i="61"/>
  <c r="J22" i="61"/>
  <c r="J23" i="61"/>
  <c r="J24" i="61"/>
  <c r="J25" i="61"/>
  <c r="J2" i="60"/>
  <c r="J3" i="60"/>
  <c r="J4" i="60"/>
  <c r="J5" i="60"/>
  <c r="J6" i="60"/>
  <c r="J7" i="60"/>
  <c r="J8" i="60"/>
  <c r="J9" i="60"/>
  <c r="J10" i="60"/>
  <c r="J11" i="60"/>
  <c r="J12" i="60"/>
  <c r="J13" i="60"/>
  <c r="J14" i="60"/>
  <c r="J15" i="60"/>
  <c r="J16" i="60"/>
  <c r="J17" i="60"/>
  <c r="J18" i="60"/>
  <c r="J19" i="60"/>
  <c r="J20" i="60"/>
  <c r="J21" i="60"/>
  <c r="J22" i="60"/>
  <c r="J23" i="60"/>
  <c r="J24" i="60"/>
  <c r="J25" i="60"/>
  <c r="J2" i="59"/>
  <c r="J3" i="59"/>
  <c r="J4" i="59"/>
  <c r="J5" i="59"/>
  <c r="J6" i="59"/>
  <c r="J7" i="59"/>
  <c r="J8" i="59"/>
  <c r="J9" i="59"/>
  <c r="J10" i="59"/>
  <c r="J11" i="59"/>
  <c r="J12" i="59"/>
  <c r="J13" i="59"/>
  <c r="J14" i="59"/>
  <c r="J15" i="59"/>
  <c r="J16" i="59"/>
  <c r="J17" i="59"/>
  <c r="J18" i="59"/>
  <c r="J19" i="59"/>
  <c r="J20" i="59"/>
  <c r="J21" i="59"/>
  <c r="J22" i="59"/>
  <c r="J23" i="59"/>
  <c r="J24" i="59"/>
  <c r="J25" i="59"/>
  <c r="J2" i="58"/>
  <c r="J3" i="58"/>
  <c r="J4" i="58"/>
  <c r="J5" i="58"/>
  <c r="J6" i="58"/>
  <c r="J7" i="58"/>
  <c r="J8" i="58"/>
  <c r="J9" i="58"/>
  <c r="J10" i="58"/>
  <c r="J11" i="58"/>
  <c r="J12" i="58"/>
  <c r="J13" i="58"/>
  <c r="J14" i="58"/>
  <c r="J15" i="58"/>
  <c r="J16" i="58"/>
  <c r="J17" i="58"/>
  <c r="J18" i="58"/>
  <c r="J19" i="58"/>
  <c r="J20" i="58"/>
  <c r="J21" i="58"/>
  <c r="J22" i="58"/>
  <c r="J23" i="58"/>
  <c r="J24" i="58"/>
  <c r="J25" i="58"/>
  <c r="J2" i="57"/>
  <c r="J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" i="56"/>
  <c r="J3" i="56"/>
  <c r="J4" i="56"/>
  <c r="J5" i="56"/>
  <c r="J6" i="56"/>
  <c r="J7" i="56"/>
  <c r="J8" i="56"/>
  <c r="J9" i="56"/>
  <c r="J10" i="56"/>
  <c r="J11" i="56"/>
  <c r="J12" i="56"/>
  <c r="J13" i="56"/>
  <c r="J14" i="56"/>
  <c r="J15" i="56"/>
  <c r="J16" i="56"/>
  <c r="J17" i="56"/>
  <c r="J18" i="56"/>
  <c r="J19" i="56"/>
  <c r="J20" i="56"/>
  <c r="J21" i="56"/>
  <c r="J22" i="56"/>
  <c r="J23" i="56"/>
  <c r="J24" i="56"/>
  <c r="J25" i="56"/>
  <c r="J2" i="55"/>
  <c r="J3" i="55"/>
  <c r="J4" i="55"/>
  <c r="J5" i="55"/>
  <c r="J6" i="55"/>
  <c r="J7" i="55"/>
  <c r="J8" i="55"/>
  <c r="J9" i="55"/>
  <c r="J10" i="55"/>
  <c r="J11" i="55"/>
  <c r="J12" i="55"/>
  <c r="J13" i="55"/>
  <c r="J14" i="55"/>
  <c r="J15" i="55"/>
  <c r="J16" i="55"/>
  <c r="J17" i="55"/>
  <c r="J18" i="55"/>
  <c r="J19" i="55"/>
  <c r="J20" i="55"/>
  <c r="J21" i="55"/>
  <c r="J22" i="55"/>
  <c r="J23" i="55"/>
  <c r="J24" i="55"/>
  <c r="J25" i="55"/>
  <c r="I2" i="2"/>
  <c r="I3" i="2"/>
  <c r="I5" i="2"/>
  <c r="I6" i="2"/>
  <c r="I7" i="2"/>
  <c r="I8" i="2"/>
  <c r="I9" i="2"/>
  <c r="I10" i="2"/>
  <c r="I11" i="2"/>
  <c r="I24" i="2"/>
  <c r="I26" i="2"/>
  <c r="I37" i="2"/>
  <c r="I38" i="2"/>
  <c r="I39" i="2"/>
  <c r="I40" i="2"/>
  <c r="I43" i="2"/>
  <c r="I45" i="2"/>
  <c r="I46" i="2"/>
  <c r="I59" i="2"/>
  <c r="I60" i="2"/>
  <c r="I61" i="2"/>
  <c r="I62" i="2"/>
  <c r="I63" i="2"/>
  <c r="I64" i="2"/>
  <c r="I65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8" i="2"/>
  <c r="I99" i="2"/>
  <c r="I101" i="2"/>
  <c r="I103" i="2"/>
  <c r="I146" i="2"/>
  <c r="I149" i="2"/>
  <c r="I150" i="2"/>
  <c r="I168" i="2"/>
  <c r="I173" i="2"/>
  <c r="I175" i="2"/>
  <c r="I181" i="2"/>
  <c r="I183" i="2"/>
  <c r="I185" i="2"/>
  <c r="I187" i="2"/>
  <c r="I188" i="2"/>
  <c r="I190" i="2"/>
  <c r="I191" i="2"/>
  <c r="I192" i="2"/>
  <c r="I198" i="2"/>
  <c r="I199" i="2"/>
  <c r="I201" i="2"/>
  <c r="I202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98" i="2"/>
  <c r="I333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501" i="2"/>
  <c r="I502" i="2"/>
  <c r="I503" i="2"/>
  <c r="I505" i="2"/>
  <c r="I506" i="2"/>
  <c r="I507" i="2"/>
  <c r="I508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33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4" i="2"/>
  <c r="I626" i="2"/>
  <c r="I627" i="2"/>
  <c r="I628" i="2"/>
  <c r="I629" i="2"/>
  <c r="I630" i="2"/>
  <c r="I631" i="2"/>
  <c r="I63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711" i="2"/>
  <c r="I712" i="2"/>
  <c r="I713" i="2"/>
  <c r="I714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802" i="2"/>
  <c r="I803" i="2"/>
  <c r="I804" i="2"/>
  <c r="I805" i="2"/>
  <c r="I806" i="2"/>
  <c r="I807" i="2"/>
  <c r="I815" i="2"/>
  <c r="I816" i="2"/>
  <c r="I817" i="2"/>
  <c r="I818" i="2"/>
  <c r="I820" i="2"/>
  <c r="I821" i="2"/>
  <c r="I822" i="2"/>
  <c r="I824" i="2"/>
  <c r="I825" i="2"/>
  <c r="I826" i="2"/>
  <c r="I827" i="2"/>
  <c r="I828" i="2"/>
  <c r="I829" i="2"/>
  <c r="I830" i="2"/>
  <c r="I857" i="2"/>
  <c r="I858" i="2"/>
  <c r="I859" i="2"/>
  <c r="I860" i="2"/>
  <c r="I861" i="2"/>
  <c r="I862" i="2"/>
  <c r="I863" i="2"/>
  <c r="I865" i="2"/>
  <c r="I867" i="2"/>
  <c r="I868" i="2"/>
  <c r="I869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48" i="2"/>
  <c r="I949" i="2"/>
  <c r="I950" i="2"/>
  <c r="I952" i="2"/>
  <c r="I953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31" i="2"/>
  <c r="I1532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29" i="2"/>
  <c r="I1630" i="2"/>
  <c r="I1631" i="2"/>
  <c r="I1632" i="2"/>
  <c r="I1633" i="2"/>
  <c r="I1634" i="2"/>
  <c r="I1635" i="2"/>
  <c r="I1636" i="2"/>
  <c r="I1637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76" i="2"/>
  <c r="I1677" i="2"/>
  <c r="I1678" i="2"/>
  <c r="I1679" i="2"/>
  <c r="I1680" i="2"/>
  <c r="I1681" i="2"/>
  <c r="I1682" i="2"/>
  <c r="I1683" i="2"/>
  <c r="I1684" i="2"/>
  <c r="I1689" i="2"/>
  <c r="I1719" i="2"/>
  <c r="I1720" i="2"/>
  <c r="I1721" i="2"/>
  <c r="I1722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7" i="2"/>
  <c r="I1778" i="2"/>
  <c r="I1797" i="2"/>
  <c r="I1798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62" i="2"/>
  <c r="I1963" i="2"/>
  <c r="I1966" i="2"/>
  <c r="I1981" i="2"/>
  <c r="I1991" i="2"/>
  <c r="I1992" i="2"/>
  <c r="I1993" i="2"/>
  <c r="I1995" i="2"/>
  <c r="I1997" i="2"/>
  <c r="I1998" i="2"/>
  <c r="I1999" i="2"/>
  <c r="I2021" i="2"/>
  <c r="I2029" i="2"/>
  <c r="I2033" i="2"/>
  <c r="I2038" i="2"/>
  <c r="I2039" i="2"/>
  <c r="I2040" i="2"/>
  <c r="I2041" i="2"/>
  <c r="I2042" i="2"/>
  <c r="I2043" i="2"/>
  <c r="I2044" i="2"/>
  <c r="I2045" i="2"/>
  <c r="I2046" i="2"/>
  <c r="I2048" i="2"/>
  <c r="I2049" i="2"/>
  <c r="I2050" i="2"/>
  <c r="I2051" i="2"/>
  <c r="I2052" i="2"/>
  <c r="I2053" i="2"/>
  <c r="I2054" i="2"/>
  <c r="I2057" i="2"/>
  <c r="I2058" i="2"/>
  <c r="I2060" i="2"/>
  <c r="I2062" i="2"/>
  <c r="I2063" i="2"/>
  <c r="I2064" i="2"/>
  <c r="I2119" i="2"/>
  <c r="I2120" i="2"/>
  <c r="I2121" i="2"/>
  <c r="I2122" i="2"/>
  <c r="I2123" i="2"/>
  <c r="I2124" i="2"/>
  <c r="I2125" i="2"/>
  <c r="I2126" i="2"/>
  <c r="I2127" i="2"/>
  <c r="I2128" i="2"/>
  <c r="I2131" i="2"/>
  <c r="I2132" i="2"/>
  <c r="I2138" i="2"/>
  <c r="I2139" i="2"/>
  <c r="I2140" i="2"/>
  <c r="I2141" i="2"/>
  <c r="I2142" i="2"/>
  <c r="I2144" i="2"/>
  <c r="I2145" i="2"/>
  <c r="I2146" i="2"/>
  <c r="I2147" i="2"/>
  <c r="I2148" i="2"/>
  <c r="I2149" i="2"/>
  <c r="I2151" i="2"/>
  <c r="I2152" i="2"/>
  <c r="I2153" i="2"/>
  <c r="I2154" i="2"/>
  <c r="I2155" i="2"/>
  <c r="I2156" i="2"/>
  <c r="I2157" i="2"/>
  <c r="I2158" i="2"/>
  <c r="I2159" i="2"/>
  <c r="I2160" i="2"/>
  <c r="I2161" i="2"/>
  <c r="I2173" i="2"/>
  <c r="I2174" i="2"/>
  <c r="I2175" i="2"/>
  <c r="I2176" i="2"/>
  <c r="I2177" i="2"/>
  <c r="I2178" i="2"/>
  <c r="I2179" i="2"/>
  <c r="I2182" i="2"/>
  <c r="I2183" i="2"/>
  <c r="I2184" i="2"/>
  <c r="I2185" i="2"/>
  <c r="I2186" i="2"/>
  <c r="I2187" i="2"/>
  <c r="I2188" i="2"/>
  <c r="I2189" i="2"/>
  <c r="I2190" i="2"/>
  <c r="I2191" i="2"/>
  <c r="I2193" i="2"/>
  <c r="I2195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38" i="2"/>
  <c r="I2239" i="2"/>
  <c r="I2240" i="2"/>
  <c r="I2241" i="2"/>
  <c r="I2242" i="2"/>
  <c r="I2243" i="2"/>
  <c r="I2244" i="2"/>
  <c r="I2245" i="2"/>
  <c r="I2246" i="2"/>
  <c r="I2260" i="2"/>
  <c r="I2261" i="2"/>
  <c r="I2262" i="2"/>
  <c r="I2264" i="2"/>
  <c r="I2265" i="2"/>
  <c r="I2266" i="2"/>
  <c r="I2267" i="2"/>
  <c r="I2268" i="2"/>
  <c r="I2269" i="2"/>
  <c r="I2270" i="2"/>
  <c r="I2271" i="2"/>
  <c r="I2272" i="2"/>
  <c r="I2273" i="2"/>
  <c r="I2274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306" i="2"/>
  <c r="I2307" i="2"/>
  <c r="I2308" i="2"/>
  <c r="I2309" i="2"/>
  <c r="I2310" i="2"/>
  <c r="I2311" i="2"/>
  <c r="I2324" i="2"/>
  <c r="I2325" i="2"/>
  <c r="I2326" i="2"/>
  <c r="I2347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6" i="2"/>
  <c r="I2388" i="2"/>
  <c r="I2389" i="2"/>
  <c r="I2390" i="2"/>
  <c r="I2391" i="2"/>
  <c r="I2392" i="2"/>
  <c r="I2394" i="2"/>
  <c r="I2396" i="2"/>
  <c r="I2398" i="2"/>
  <c r="I2400" i="2"/>
  <c r="I2401" i="2"/>
  <c r="I2402" i="2"/>
  <c r="I2403" i="2"/>
  <c r="I2404" i="2"/>
  <c r="I2405" i="2"/>
  <c r="I2406" i="2"/>
  <c r="I2409" i="2"/>
  <c r="I2415" i="2"/>
  <c r="I2420" i="2"/>
  <c r="I2428" i="2"/>
  <c r="I2430" i="2"/>
  <c r="I2432" i="2"/>
  <c r="I2433" i="2"/>
  <c r="I2437" i="2"/>
  <c r="I2438" i="2"/>
  <c r="I2439" i="2"/>
  <c r="I2441" i="2"/>
  <c r="I2442" i="2"/>
  <c r="I2444" i="2"/>
  <c r="I2445" i="2"/>
  <c r="I2447" i="2"/>
  <c r="I2449" i="2"/>
  <c r="I2450" i="2"/>
  <c r="I2451" i="2"/>
  <c r="I2452" i="2"/>
  <c r="I2453" i="2"/>
  <c r="I2455" i="2"/>
  <c r="I2468" i="2"/>
  <c r="I2470" i="2"/>
  <c r="I2471" i="2"/>
  <c r="I2472" i="2"/>
  <c r="I2473" i="2"/>
  <c r="I2475" i="2"/>
  <c r="I2480" i="2"/>
  <c r="I2483" i="2"/>
  <c r="I2484" i="2"/>
  <c r="I2486" i="2"/>
  <c r="I2487" i="2"/>
  <c r="I2489" i="2"/>
  <c r="I2495" i="2"/>
  <c r="I2496" i="2"/>
  <c r="I2497" i="2"/>
  <c r="I2499" i="2"/>
  <c r="I2500" i="2"/>
  <c r="I2501" i="2"/>
  <c r="I2507" i="2"/>
  <c r="I2508" i="2"/>
  <c r="I2509" i="2"/>
  <c r="I2510" i="2"/>
  <c r="I2511" i="2"/>
  <c r="I2513" i="2"/>
  <c r="I2516" i="2"/>
  <c r="I2523" i="2"/>
  <c r="I2533" i="2"/>
  <c r="I2549" i="2"/>
  <c r="I2569" i="2"/>
  <c r="I2570" i="2"/>
  <c r="I2571" i="2"/>
  <c r="I2572" i="2"/>
  <c r="I2573" i="2"/>
  <c r="I2574" i="2"/>
  <c r="I2575" i="2"/>
  <c r="I2576" i="2"/>
  <c r="I2577" i="2"/>
  <c r="I2578" i="2"/>
  <c r="I2582" i="2"/>
  <c r="I2583" i="2"/>
  <c r="I2584" i="2"/>
  <c r="I2585" i="2"/>
  <c r="I2586" i="2"/>
  <c r="I2587" i="2"/>
  <c r="I2588" i="2"/>
  <c r="I2590" i="2"/>
  <c r="I2591" i="2"/>
  <c r="I2592" i="2"/>
  <c r="I2593" i="2"/>
  <c r="I2620" i="2"/>
  <c r="I2621" i="2"/>
  <c r="I2622" i="2"/>
  <c r="I2623" i="2"/>
  <c r="I2624" i="2"/>
  <c r="I2625" i="2"/>
  <c r="I2627" i="2"/>
  <c r="I2628" i="2"/>
  <c r="I2629" i="2"/>
  <c r="I2630" i="2"/>
  <c r="I2631" i="2"/>
  <c r="I2632" i="2"/>
  <c r="I2633" i="2"/>
  <c r="I2634" i="2"/>
  <c r="I2635" i="2"/>
  <c r="I2637" i="2"/>
  <c r="I2638" i="2"/>
  <c r="I2639" i="2"/>
  <c r="I2640" i="2"/>
  <c r="I2641" i="2"/>
  <c r="I2642" i="2"/>
  <c r="I2643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6" i="2"/>
  <c r="I2678" i="2"/>
  <c r="I2680" i="2"/>
  <c r="I2681" i="2"/>
  <c r="I2684" i="2"/>
  <c r="I2685" i="2"/>
  <c r="I2686" i="2"/>
  <c r="I2688" i="2"/>
  <c r="I2689" i="2"/>
  <c r="I2690" i="2"/>
  <c r="I2692" i="2"/>
  <c r="I2693" i="2"/>
  <c r="I2695" i="2"/>
  <c r="I2696" i="2"/>
  <c r="I2697" i="2"/>
  <c r="I2698" i="2"/>
  <c r="I2699" i="2"/>
  <c r="I2701" i="2"/>
  <c r="I2702" i="2"/>
  <c r="I2703" i="2"/>
  <c r="I2704" i="2"/>
  <c r="I2705" i="2"/>
  <c r="I2712" i="2"/>
  <c r="I2720" i="2"/>
  <c r="I2729" i="2"/>
  <c r="I2731" i="2"/>
  <c r="I2733" i="2"/>
  <c r="I2734" i="2"/>
  <c r="I2735" i="2"/>
  <c r="I2738" i="2"/>
  <c r="I2739" i="2"/>
  <c r="I2740" i="2"/>
  <c r="I2741" i="2"/>
  <c r="I2742" i="2"/>
  <c r="I2743" i="2"/>
  <c r="I2744" i="2"/>
  <c r="I2745" i="2"/>
  <c r="I2746" i="2"/>
  <c r="I2747" i="2"/>
  <c r="I2748" i="2"/>
  <c r="I2753" i="2"/>
  <c r="I2754" i="2"/>
  <c r="I2772" i="2"/>
  <c r="I2773" i="2"/>
  <c r="I2774" i="2"/>
  <c r="I2775" i="2"/>
  <c r="I2776" i="2"/>
  <c r="I2777" i="2"/>
  <c r="H8" i="29"/>
  <c r="I49" i="68"/>
  <c r="I50" i="68"/>
  <c r="I51" i="68"/>
  <c r="I52" i="68"/>
  <c r="I53" i="68"/>
  <c r="I54" i="68"/>
  <c r="I55" i="68"/>
  <c r="I56" i="68"/>
  <c r="I57" i="68"/>
  <c r="I58" i="68"/>
  <c r="I59" i="68"/>
  <c r="I60" i="68"/>
  <c r="I61" i="68"/>
  <c r="I62" i="68"/>
  <c r="I63" i="68"/>
  <c r="I64" i="68"/>
  <c r="I65" i="68"/>
  <c r="I66" i="68"/>
  <c r="I67" i="68"/>
  <c r="I68" i="68"/>
  <c r="I69" i="68"/>
  <c r="I70" i="68"/>
  <c r="I71" i="68"/>
  <c r="I72" i="68"/>
  <c r="I73" i="68"/>
  <c r="I74" i="68"/>
  <c r="I75" i="68"/>
  <c r="I76" i="68"/>
  <c r="I77" i="68"/>
  <c r="I78" i="68"/>
  <c r="I79" i="68"/>
  <c r="I80" i="68"/>
  <c r="I81" i="68"/>
  <c r="I82" i="68"/>
  <c r="I83" i="68"/>
  <c r="I84" i="68"/>
  <c r="I85" i="68"/>
  <c r="I86" i="68"/>
  <c r="I87" i="68"/>
  <c r="I88" i="68"/>
  <c r="I89" i="68"/>
  <c r="I90" i="68"/>
  <c r="I91" i="68"/>
  <c r="I92" i="68"/>
  <c r="I93" i="68"/>
  <c r="I94" i="68"/>
  <c r="I95" i="68"/>
  <c r="I96" i="68"/>
  <c r="I97" i="68"/>
  <c r="I98" i="68"/>
  <c r="I99" i="68"/>
  <c r="I100" i="68"/>
  <c r="J49" i="68"/>
  <c r="J50" i="68"/>
  <c r="J51" i="68"/>
  <c r="J52" i="68"/>
  <c r="J53" i="68"/>
  <c r="J54" i="68"/>
  <c r="J55" i="68"/>
  <c r="J56" i="68"/>
  <c r="J57" i="68"/>
  <c r="J58" i="68"/>
  <c r="J59" i="68"/>
  <c r="J60" i="68"/>
  <c r="J61" i="68"/>
  <c r="J62" i="68"/>
  <c r="J63" i="68"/>
  <c r="J64" i="68"/>
  <c r="J65" i="68"/>
  <c r="J66" i="68"/>
  <c r="J67" i="68"/>
  <c r="J68" i="68"/>
  <c r="J69" i="68"/>
  <c r="J70" i="68"/>
  <c r="J71" i="68"/>
  <c r="J72" i="68"/>
  <c r="J73" i="68"/>
  <c r="J74" i="68"/>
  <c r="J75" i="68"/>
  <c r="J76" i="68"/>
  <c r="J77" i="68"/>
  <c r="J78" i="68"/>
  <c r="J79" i="68"/>
  <c r="J80" i="68"/>
  <c r="J81" i="68"/>
  <c r="J82" i="68"/>
  <c r="J83" i="68"/>
  <c r="J84" i="68"/>
  <c r="J85" i="68"/>
  <c r="J86" i="68"/>
  <c r="J87" i="68"/>
  <c r="J88" i="68"/>
  <c r="J89" i="68"/>
  <c r="J90" i="68"/>
  <c r="J91" i="68"/>
  <c r="J92" i="68"/>
  <c r="J93" i="68"/>
  <c r="J94" i="68"/>
  <c r="J95" i="68"/>
  <c r="J96" i="68"/>
  <c r="J97" i="68"/>
  <c r="J98" i="68"/>
  <c r="J99" i="68"/>
  <c r="J100" i="68"/>
  <c r="C236" i="68"/>
  <c r="S5" i="67"/>
  <c r="V5" i="67" s="1"/>
  <c r="C223" i="68" s="1"/>
  <c r="B101" i="68"/>
  <c r="C101" i="68"/>
  <c r="E101" i="68"/>
  <c r="B102" i="68"/>
  <c r="C102" i="68"/>
  <c r="E102" i="68"/>
  <c r="B103" i="68"/>
  <c r="C103" i="68"/>
  <c r="E103" i="68"/>
  <c r="B104" i="68"/>
  <c r="C104" i="68"/>
  <c r="E104" i="68"/>
  <c r="B105" i="68"/>
  <c r="C105" i="68"/>
  <c r="E105" i="68"/>
  <c r="B106" i="68"/>
  <c r="C106" i="68"/>
  <c r="E106" i="68"/>
  <c r="B107" i="68"/>
  <c r="C107" i="68"/>
  <c r="E107" i="68"/>
  <c r="B108" i="68"/>
  <c r="C108" i="68"/>
  <c r="E108" i="68"/>
  <c r="B109" i="68"/>
  <c r="C109" i="68"/>
  <c r="E109" i="68"/>
  <c r="B110" i="68"/>
  <c r="C110" i="68"/>
  <c r="E110" i="68"/>
  <c r="B111" i="68"/>
  <c r="C111" i="68"/>
  <c r="E111" i="68"/>
  <c r="B112" i="68"/>
  <c r="C112" i="68"/>
  <c r="E112" i="68"/>
  <c r="B113" i="68"/>
  <c r="C113" i="68"/>
  <c r="E113" i="68"/>
  <c r="B114" i="68"/>
  <c r="C114" i="68"/>
  <c r="E114" i="68"/>
  <c r="B115" i="68"/>
  <c r="C115" i="68"/>
  <c r="E115" i="68"/>
  <c r="B116" i="68"/>
  <c r="C116" i="68"/>
  <c r="E116" i="68"/>
  <c r="B117" i="68"/>
  <c r="C117" i="68"/>
  <c r="E117" i="68"/>
  <c r="B118" i="68"/>
  <c r="C118" i="68"/>
  <c r="E118" i="68"/>
  <c r="B119" i="68"/>
  <c r="C119" i="68"/>
  <c r="E119" i="68"/>
  <c r="B120" i="68"/>
  <c r="C120" i="68"/>
  <c r="E120" i="68"/>
  <c r="B121" i="68"/>
  <c r="C121" i="68"/>
  <c r="E121" i="68"/>
  <c r="B122" i="68"/>
  <c r="C122" i="68"/>
  <c r="E122" i="68"/>
  <c r="B123" i="68"/>
  <c r="C123" i="68"/>
  <c r="E123" i="68"/>
  <c r="B124" i="68"/>
  <c r="C124" i="68"/>
  <c r="E124" i="68"/>
  <c r="B125" i="68"/>
  <c r="C125" i="68"/>
  <c r="E125" i="68"/>
  <c r="B126" i="68"/>
  <c r="C126" i="68"/>
  <c r="E126" i="68"/>
  <c r="B127" i="68"/>
  <c r="C127" i="68"/>
  <c r="E127" i="68"/>
  <c r="B128" i="68"/>
  <c r="C128" i="68"/>
  <c r="E128" i="68"/>
  <c r="B129" i="68"/>
  <c r="C129" i="68"/>
  <c r="E129" i="68"/>
  <c r="B130" i="68"/>
  <c r="C130" i="68"/>
  <c r="E130" i="68"/>
  <c r="B131" i="68"/>
  <c r="C131" i="68"/>
  <c r="E131" i="68"/>
  <c r="B132" i="68"/>
  <c r="C132" i="68"/>
  <c r="E132" i="68"/>
  <c r="B133" i="68"/>
  <c r="C133" i="68"/>
  <c r="E133" i="68"/>
  <c r="B134" i="68"/>
  <c r="C134" i="68"/>
  <c r="E134" i="68"/>
  <c r="B135" i="68"/>
  <c r="C135" i="68"/>
  <c r="E135" i="68"/>
  <c r="B136" i="68"/>
  <c r="C136" i="68"/>
  <c r="E136" i="68"/>
  <c r="B137" i="68"/>
  <c r="C137" i="68"/>
  <c r="E137" i="68"/>
  <c r="B138" i="68"/>
  <c r="C138" i="68"/>
  <c r="E138" i="68"/>
  <c r="B139" i="68"/>
  <c r="C139" i="68"/>
  <c r="E139" i="68"/>
  <c r="B140" i="68"/>
  <c r="C140" i="68"/>
  <c r="E140" i="68"/>
  <c r="B141" i="68"/>
  <c r="C141" i="68"/>
  <c r="E141" i="68"/>
  <c r="B142" i="68"/>
  <c r="C142" i="68"/>
  <c r="E142" i="68"/>
  <c r="B143" i="68"/>
  <c r="C143" i="68"/>
  <c r="E143" i="68"/>
  <c r="B144" i="68"/>
  <c r="C144" i="68"/>
  <c r="E144" i="68"/>
  <c r="B145" i="68"/>
  <c r="C145" i="68"/>
  <c r="E145" i="68"/>
  <c r="B146" i="68"/>
  <c r="C146" i="68"/>
  <c r="E146" i="68"/>
  <c r="B147" i="68"/>
  <c r="C147" i="68"/>
  <c r="E147" i="68"/>
  <c r="B148" i="68"/>
  <c r="C148" i="68"/>
  <c r="E148" i="68"/>
  <c r="B149" i="68"/>
  <c r="C149" i="68"/>
  <c r="E149" i="68"/>
  <c r="B150" i="68"/>
  <c r="C150" i="68"/>
  <c r="E150" i="68"/>
  <c r="B151" i="68"/>
  <c r="C151" i="68"/>
  <c r="E151" i="68"/>
  <c r="B152" i="68"/>
  <c r="C152" i="68"/>
  <c r="E152" i="68"/>
  <c r="B153" i="68"/>
  <c r="C153" i="68"/>
  <c r="E153" i="68"/>
  <c r="B154" i="68"/>
  <c r="C154" i="68"/>
  <c r="E154" i="68"/>
  <c r="B155" i="68"/>
  <c r="C155" i="68"/>
  <c r="E155" i="68"/>
  <c r="B156" i="68"/>
  <c r="C156" i="68"/>
  <c r="E156" i="68"/>
  <c r="B157" i="68"/>
  <c r="C157" i="68"/>
  <c r="E157" i="68"/>
  <c r="B158" i="68"/>
  <c r="C158" i="68"/>
  <c r="E158" i="68"/>
  <c r="B159" i="68"/>
  <c r="C159" i="68"/>
  <c r="E159" i="68"/>
  <c r="B160" i="68"/>
  <c r="C160" i="68"/>
  <c r="E160" i="68"/>
  <c r="B161" i="68"/>
  <c r="C161" i="68"/>
  <c r="E161" i="68"/>
  <c r="B162" i="68"/>
  <c r="C162" i="68"/>
  <c r="E162" i="68"/>
  <c r="B163" i="68"/>
  <c r="C163" i="68"/>
  <c r="E163" i="68"/>
  <c r="B164" i="68"/>
  <c r="C164" i="68"/>
  <c r="E164" i="68"/>
  <c r="B165" i="68"/>
  <c r="C165" i="68"/>
  <c r="E165" i="68"/>
  <c r="B166" i="68"/>
  <c r="C166" i="68"/>
  <c r="E166" i="68"/>
  <c r="B167" i="68"/>
  <c r="C167" i="68"/>
  <c r="E167" i="68"/>
  <c r="B168" i="68"/>
  <c r="C168" i="68"/>
  <c r="E168" i="68"/>
  <c r="B169" i="68"/>
  <c r="C169" i="68"/>
  <c r="E169" i="68"/>
  <c r="B170" i="68"/>
  <c r="C170" i="68"/>
  <c r="E170" i="68"/>
  <c r="B171" i="68"/>
  <c r="C171" i="68"/>
  <c r="E171" i="68"/>
  <c r="B172" i="68"/>
  <c r="C172" i="68"/>
  <c r="E172" i="68"/>
  <c r="B173" i="68"/>
  <c r="C173" i="68"/>
  <c r="E173" i="68"/>
  <c r="B174" i="68"/>
  <c r="C174" i="68"/>
  <c r="E174" i="68"/>
  <c r="B175" i="68"/>
  <c r="C175" i="68"/>
  <c r="E175" i="68"/>
  <c r="B176" i="68"/>
  <c r="C176" i="68"/>
  <c r="E176" i="68"/>
  <c r="B177" i="68"/>
  <c r="C177" i="68"/>
  <c r="E177" i="68"/>
  <c r="B178" i="68"/>
  <c r="C178" i="68"/>
  <c r="E178" i="68"/>
  <c r="B179" i="68"/>
  <c r="C179" i="68"/>
  <c r="E179" i="68"/>
  <c r="B180" i="68"/>
  <c r="C180" i="68"/>
  <c r="E180" i="68"/>
  <c r="B181" i="68"/>
  <c r="C181" i="68"/>
  <c r="E181" i="68"/>
  <c r="B182" i="68"/>
  <c r="C182" i="68"/>
  <c r="E182" i="68"/>
  <c r="B183" i="68"/>
  <c r="C183" i="68"/>
  <c r="E183" i="68"/>
  <c r="B184" i="68"/>
  <c r="C184" i="68"/>
  <c r="E184" i="68"/>
  <c r="B185" i="68"/>
  <c r="C185" i="68"/>
  <c r="E185" i="68"/>
  <c r="B186" i="68"/>
  <c r="C186" i="68"/>
  <c r="E186" i="68"/>
  <c r="B187" i="68"/>
  <c r="C187" i="68"/>
  <c r="E187" i="68"/>
  <c r="B188" i="68"/>
  <c r="C188" i="68"/>
  <c r="E188" i="68"/>
  <c r="B189" i="68"/>
  <c r="C189" i="68"/>
  <c r="E189" i="68"/>
  <c r="B190" i="68"/>
  <c r="C190" i="68"/>
  <c r="E190" i="68"/>
  <c r="B191" i="68"/>
  <c r="C191" i="68"/>
  <c r="E191" i="68"/>
  <c r="B192" i="68"/>
  <c r="C192" i="68"/>
  <c r="E192" i="68"/>
  <c r="B193" i="68"/>
  <c r="C193" i="68"/>
  <c r="E193" i="68"/>
  <c r="B194" i="68"/>
  <c r="C194" i="68"/>
  <c r="E194" i="68"/>
  <c r="B195" i="68"/>
  <c r="C195" i="68"/>
  <c r="E195" i="68"/>
  <c r="B196" i="68"/>
  <c r="C196" i="68"/>
  <c r="E196" i="68"/>
  <c r="B197" i="68"/>
  <c r="C197" i="68"/>
  <c r="E197" i="68"/>
  <c r="B198" i="68"/>
  <c r="C198" i="68"/>
  <c r="E198" i="68"/>
  <c r="B199" i="68"/>
  <c r="C199" i="68"/>
  <c r="E199" i="68"/>
  <c r="B200" i="68"/>
  <c r="C200" i="68"/>
  <c r="E200" i="68"/>
  <c r="D4" i="68"/>
  <c r="C4" i="68"/>
  <c r="B4" i="68"/>
  <c r="F12" i="29" l="1"/>
  <c r="F14" i="29" s="1"/>
  <c r="I11" i="29"/>
  <c r="D223" i="68"/>
  <c r="C237" i="68"/>
  <c r="C233" i="68" s="1"/>
  <c r="D197" i="68"/>
  <c r="D189" i="68"/>
  <c r="D199" i="68"/>
  <c r="D164" i="68"/>
  <c r="D175" i="68"/>
  <c r="D135" i="68"/>
  <c r="D127" i="68"/>
  <c r="D193" i="68"/>
  <c r="D145" i="68"/>
  <c r="D129" i="68"/>
  <c r="E4" i="68"/>
  <c r="D191" i="68"/>
  <c r="D111" i="68"/>
  <c r="D140" i="68"/>
  <c r="D198" i="68"/>
  <c r="D178" i="68"/>
  <c r="D154" i="68"/>
  <c r="D114" i="68"/>
  <c r="D109" i="68"/>
  <c r="D106" i="68"/>
  <c r="D101" i="68"/>
  <c r="D200" i="68"/>
  <c r="D195" i="68"/>
  <c r="D150" i="68"/>
  <c r="D132" i="68"/>
  <c r="D124" i="68"/>
  <c r="D116" i="68"/>
  <c r="D152" i="68"/>
  <c r="D149" i="68"/>
  <c r="D139" i="68"/>
  <c r="D134" i="68"/>
  <c r="D165" i="68"/>
  <c r="D157" i="68"/>
  <c r="D159" i="68"/>
  <c r="D151" i="68"/>
  <c r="D160" i="68"/>
  <c r="D144" i="68"/>
  <c r="D196" i="68"/>
  <c r="D188" i="68"/>
  <c r="D180" i="68"/>
  <c r="D182" i="68"/>
  <c r="D118" i="68"/>
  <c r="D133" i="68"/>
  <c r="D108" i="68"/>
  <c r="D179" i="68"/>
  <c r="D174" i="68"/>
  <c r="D153" i="68"/>
  <c r="D148" i="68"/>
  <c r="D115" i="68"/>
  <c r="D110" i="68"/>
  <c r="D105" i="68"/>
  <c r="D167" i="68"/>
  <c r="D141" i="68"/>
  <c r="D126" i="68"/>
  <c r="D103" i="68"/>
  <c r="D187" i="68"/>
  <c r="D169" i="68"/>
  <c r="D181" i="68"/>
  <c r="D176" i="68"/>
  <c r="D125" i="68"/>
  <c r="D117" i="68"/>
  <c r="D112" i="68"/>
  <c r="D136" i="68"/>
  <c r="D156" i="68"/>
  <c r="D131" i="68"/>
  <c r="D123" i="68"/>
  <c r="D173" i="68"/>
  <c r="D155" i="68"/>
  <c r="D137" i="68"/>
  <c r="D172" i="68"/>
  <c r="D143" i="68"/>
  <c r="D183" i="68"/>
  <c r="D170" i="68"/>
  <c r="D119" i="68"/>
  <c r="D192" i="68"/>
  <c r="D107" i="68"/>
  <c r="D194" i="68"/>
  <c r="D168" i="68"/>
  <c r="D161" i="68"/>
  <c r="D147" i="68"/>
  <c r="D142" i="68"/>
  <c r="D130" i="68"/>
  <c r="D104" i="68"/>
  <c r="D121" i="68"/>
  <c r="D190" i="68"/>
  <c r="D185" i="68"/>
  <c r="D171" i="68"/>
  <c r="D102" i="68"/>
  <c r="D184" i="68"/>
  <c r="D177" i="68"/>
  <c r="D163" i="68"/>
  <c r="D158" i="68"/>
  <c r="D146" i="68"/>
  <c r="D120" i="68"/>
  <c r="D113" i="68"/>
  <c r="D128" i="68"/>
  <c r="D186" i="68"/>
  <c r="D122" i="68"/>
  <c r="D166" i="68"/>
  <c r="D162" i="68"/>
  <c r="D138" i="68"/>
  <c r="E9" i="68"/>
  <c r="E10" i="68"/>
  <c r="E11" i="68"/>
  <c r="E12" i="68"/>
  <c r="E13" i="68"/>
  <c r="E14" i="68"/>
  <c r="E15" i="68"/>
  <c r="E16" i="68"/>
  <c r="E17" i="68"/>
  <c r="E18" i="68"/>
  <c r="E19" i="68"/>
  <c r="E20" i="68"/>
  <c r="E21" i="68"/>
  <c r="E22" i="68"/>
  <c r="E23" i="68"/>
  <c r="E24" i="68"/>
  <c r="E25" i="68"/>
  <c r="E26" i="68"/>
  <c r="E27" i="68"/>
  <c r="E28" i="68"/>
  <c r="E29" i="68"/>
  <c r="E30" i="68"/>
  <c r="E31" i="68"/>
  <c r="E32" i="68"/>
  <c r="E33" i="68"/>
  <c r="E34" i="68"/>
  <c r="E35" i="68"/>
  <c r="E36" i="68"/>
  <c r="E37" i="68"/>
  <c r="E38" i="68"/>
  <c r="E39" i="68"/>
  <c r="E40" i="68"/>
  <c r="E41" i="68"/>
  <c r="E42" i="68"/>
  <c r="E43" i="68"/>
  <c r="E44" i="68"/>
  <c r="E45" i="68"/>
  <c r="E46" i="68"/>
  <c r="E47" i="68"/>
  <c r="E48" i="68"/>
  <c r="E49" i="68"/>
  <c r="E50" i="68"/>
  <c r="E51" i="68"/>
  <c r="E52" i="68"/>
  <c r="E53" i="68"/>
  <c r="E54" i="68"/>
  <c r="E55" i="68"/>
  <c r="E56" i="68"/>
  <c r="E57" i="68"/>
  <c r="E58" i="68"/>
  <c r="E59" i="68"/>
  <c r="E60" i="68"/>
  <c r="E61" i="68"/>
  <c r="E62" i="68"/>
  <c r="E63" i="68"/>
  <c r="E64" i="68"/>
  <c r="E65" i="68"/>
  <c r="E66" i="68"/>
  <c r="E67" i="68"/>
  <c r="E68" i="68"/>
  <c r="E69" i="68"/>
  <c r="E70" i="68"/>
  <c r="E71" i="68"/>
  <c r="E72" i="68"/>
  <c r="E73" i="68"/>
  <c r="E74" i="68"/>
  <c r="E75" i="68"/>
  <c r="E76" i="68"/>
  <c r="E77" i="68"/>
  <c r="E78" i="68"/>
  <c r="E79" i="68"/>
  <c r="E80" i="68"/>
  <c r="E81" i="68"/>
  <c r="E82" i="68"/>
  <c r="E83" i="68"/>
  <c r="E84" i="68"/>
  <c r="E85" i="68"/>
  <c r="E86" i="68"/>
  <c r="E87" i="68"/>
  <c r="E88" i="68"/>
  <c r="E89" i="68"/>
  <c r="E90" i="68"/>
  <c r="E91" i="68"/>
  <c r="E92" i="68"/>
  <c r="E93" i="68"/>
  <c r="E94" i="68"/>
  <c r="E95" i="68"/>
  <c r="E96" i="68"/>
  <c r="E97" i="68"/>
  <c r="E98" i="68"/>
  <c r="E99" i="68"/>
  <c r="E100" i="68"/>
  <c r="E8" i="68"/>
  <c r="B8" i="68"/>
  <c r="C8" i="68"/>
  <c r="B9" i="68"/>
  <c r="C9" i="68"/>
  <c r="B10" i="68"/>
  <c r="C10" i="68"/>
  <c r="B11" i="68"/>
  <c r="C11" i="68"/>
  <c r="B12" i="68"/>
  <c r="C12" i="68"/>
  <c r="B13" i="68"/>
  <c r="C13" i="68"/>
  <c r="B14" i="68"/>
  <c r="C14" i="68"/>
  <c r="B15" i="68"/>
  <c r="C15" i="68"/>
  <c r="B16" i="68"/>
  <c r="C16" i="68"/>
  <c r="B17" i="68"/>
  <c r="C17" i="68"/>
  <c r="B18" i="68"/>
  <c r="C18" i="68"/>
  <c r="B19" i="68"/>
  <c r="C19" i="68"/>
  <c r="B20" i="68"/>
  <c r="C20" i="68"/>
  <c r="B21" i="68"/>
  <c r="C21" i="68"/>
  <c r="B22" i="68"/>
  <c r="C22" i="68"/>
  <c r="B23" i="68"/>
  <c r="C23" i="68"/>
  <c r="B24" i="68"/>
  <c r="C24" i="68"/>
  <c r="B25" i="68"/>
  <c r="C25" i="68"/>
  <c r="B26" i="68"/>
  <c r="C26" i="68"/>
  <c r="B27" i="68"/>
  <c r="C27" i="68"/>
  <c r="B28" i="68"/>
  <c r="C28" i="68"/>
  <c r="B29" i="68"/>
  <c r="C29" i="68"/>
  <c r="B30" i="68"/>
  <c r="C30" i="68"/>
  <c r="B31" i="68"/>
  <c r="C31" i="68"/>
  <c r="B32" i="68"/>
  <c r="C32" i="68"/>
  <c r="B33" i="68"/>
  <c r="C33" i="68"/>
  <c r="B34" i="68"/>
  <c r="C34" i="68"/>
  <c r="B35" i="68"/>
  <c r="C35" i="68"/>
  <c r="B36" i="68"/>
  <c r="C36" i="68"/>
  <c r="B37" i="68"/>
  <c r="C37" i="68"/>
  <c r="B38" i="68"/>
  <c r="C38" i="68"/>
  <c r="B39" i="68"/>
  <c r="C39" i="68"/>
  <c r="B40" i="68"/>
  <c r="C40" i="68"/>
  <c r="B41" i="68"/>
  <c r="C41" i="68"/>
  <c r="B42" i="68"/>
  <c r="C42" i="68"/>
  <c r="B43" i="68"/>
  <c r="C43" i="68"/>
  <c r="B44" i="68"/>
  <c r="C44" i="68"/>
  <c r="B45" i="68"/>
  <c r="C45" i="68"/>
  <c r="B46" i="68"/>
  <c r="C46" i="68"/>
  <c r="B47" i="68"/>
  <c r="C47" i="68"/>
  <c r="B48" i="68"/>
  <c r="C48" i="68"/>
  <c r="B49" i="68"/>
  <c r="C49" i="68"/>
  <c r="B50" i="68"/>
  <c r="C50" i="68"/>
  <c r="B51" i="68"/>
  <c r="C51" i="68"/>
  <c r="B52" i="68"/>
  <c r="C52" i="68"/>
  <c r="B53" i="68"/>
  <c r="C53" i="68"/>
  <c r="B54" i="68"/>
  <c r="C54" i="68"/>
  <c r="B55" i="68"/>
  <c r="C55" i="68"/>
  <c r="B56" i="68"/>
  <c r="C56" i="68"/>
  <c r="B57" i="68"/>
  <c r="C57" i="68"/>
  <c r="B58" i="68"/>
  <c r="C58" i="68"/>
  <c r="B59" i="68"/>
  <c r="C59" i="68"/>
  <c r="B60" i="68"/>
  <c r="C60" i="68"/>
  <c r="B61" i="68"/>
  <c r="C61" i="68"/>
  <c r="B62" i="68"/>
  <c r="C62" i="68"/>
  <c r="B63" i="68"/>
  <c r="C63" i="68"/>
  <c r="B64" i="68"/>
  <c r="C64" i="68"/>
  <c r="B65" i="68"/>
  <c r="C65" i="68"/>
  <c r="B66" i="68"/>
  <c r="C66" i="68"/>
  <c r="B67" i="68"/>
  <c r="C67" i="68"/>
  <c r="B68" i="68"/>
  <c r="C68" i="68"/>
  <c r="B69" i="68"/>
  <c r="C69" i="68"/>
  <c r="B70" i="68"/>
  <c r="C70" i="68"/>
  <c r="B71" i="68"/>
  <c r="C71" i="68"/>
  <c r="B72" i="68"/>
  <c r="C72" i="68"/>
  <c r="B73" i="68"/>
  <c r="C73" i="68"/>
  <c r="B74" i="68"/>
  <c r="C74" i="68"/>
  <c r="B75" i="68"/>
  <c r="C75" i="68"/>
  <c r="B76" i="68"/>
  <c r="C76" i="68"/>
  <c r="B77" i="68"/>
  <c r="C77" i="68"/>
  <c r="B78" i="68"/>
  <c r="C78" i="68"/>
  <c r="B79" i="68"/>
  <c r="C79" i="68"/>
  <c r="B80" i="68"/>
  <c r="C80" i="68"/>
  <c r="B81" i="68"/>
  <c r="C81" i="68"/>
  <c r="B82" i="68"/>
  <c r="C82" i="68"/>
  <c r="B83" i="68"/>
  <c r="C83" i="68"/>
  <c r="B84" i="68"/>
  <c r="C84" i="68"/>
  <c r="B85" i="68"/>
  <c r="C85" i="68"/>
  <c r="B86" i="68"/>
  <c r="C86" i="68"/>
  <c r="B87" i="68"/>
  <c r="C87" i="68"/>
  <c r="B88" i="68"/>
  <c r="C88" i="68"/>
  <c r="B89" i="68"/>
  <c r="C89" i="68"/>
  <c r="B90" i="68"/>
  <c r="C90" i="68"/>
  <c r="B91" i="68"/>
  <c r="C91" i="68"/>
  <c r="B92" i="68"/>
  <c r="C92" i="68"/>
  <c r="B93" i="68"/>
  <c r="C93" i="68"/>
  <c r="B94" i="68"/>
  <c r="C94" i="68"/>
  <c r="B95" i="68"/>
  <c r="C95" i="68"/>
  <c r="B96" i="68"/>
  <c r="C96" i="68"/>
  <c r="B97" i="68"/>
  <c r="C97" i="68"/>
  <c r="B98" i="68"/>
  <c r="C98" i="68"/>
  <c r="B99" i="68"/>
  <c r="C99" i="68"/>
  <c r="B100" i="68"/>
  <c r="C100" i="68"/>
  <c r="F13" i="29" l="1"/>
  <c r="D237" i="68"/>
  <c r="D232" i="68" s="1"/>
  <c r="C234" i="68"/>
  <c r="C235" i="68"/>
  <c r="C232" i="68"/>
  <c r="C222" i="68"/>
  <c r="C221" i="68"/>
  <c r="C220" i="68"/>
  <c r="C219" i="68"/>
  <c r="C218" i="68"/>
  <c r="C217" i="68"/>
  <c r="D81" i="68"/>
  <c r="D73" i="68"/>
  <c r="D65" i="68"/>
  <c r="D49" i="68"/>
  <c r="D45" i="68"/>
  <c r="D37" i="68"/>
  <c r="D21" i="68"/>
  <c r="D19" i="68"/>
  <c r="D94" i="68"/>
  <c r="D22" i="68"/>
  <c r="D18" i="68"/>
  <c r="D14" i="68"/>
  <c r="D10" i="68"/>
  <c r="D89" i="68"/>
  <c r="D75" i="68"/>
  <c r="D99" i="68"/>
  <c r="D91" i="68"/>
  <c r="D78" i="68"/>
  <c r="D62" i="68"/>
  <c r="D46" i="68"/>
  <c r="D38" i="68"/>
  <c r="D26" i="68"/>
  <c r="D87" i="68"/>
  <c r="D83" i="68"/>
  <c r="D76" i="68"/>
  <c r="D13" i="68"/>
  <c r="D9" i="68"/>
  <c r="D12" i="68"/>
  <c r="D57" i="68"/>
  <c r="D51" i="68"/>
  <c r="D39" i="68"/>
  <c r="D27" i="68"/>
  <c r="D70" i="68"/>
  <c r="D66" i="68"/>
  <c r="D59" i="68"/>
  <c r="D77" i="68"/>
  <c r="D54" i="68"/>
  <c r="D30" i="68"/>
  <c r="D93" i="68"/>
  <c r="D67" i="68"/>
  <c r="D60" i="68"/>
  <c r="D56" i="68"/>
  <c r="D41" i="68"/>
  <c r="D17" i="68"/>
  <c r="D44" i="68"/>
  <c r="D28" i="68"/>
  <c r="D20" i="68"/>
  <c r="D97" i="68"/>
  <c r="D86" i="68"/>
  <c r="D92" i="68"/>
  <c r="D82" i="68"/>
  <c r="D72" i="68"/>
  <c r="D95" i="68"/>
  <c r="D85" i="68"/>
  <c r="D98" i="68"/>
  <c r="D88" i="68"/>
  <c r="D71" i="68"/>
  <c r="D61" i="68"/>
  <c r="D47" i="68"/>
  <c r="D40" i="68"/>
  <c r="D29" i="68"/>
  <c r="D11" i="68"/>
  <c r="D96" i="68"/>
  <c r="D79" i="68"/>
  <c r="D84" i="68"/>
  <c r="D74" i="68"/>
  <c r="D64" i="68"/>
  <c r="D50" i="68"/>
  <c r="D43" i="68"/>
  <c r="D36" i="68"/>
  <c r="D32" i="68"/>
  <c r="D25" i="68"/>
  <c r="D100" i="68"/>
  <c r="D90" i="68"/>
  <c r="D80" i="68"/>
  <c r="D63" i="68"/>
  <c r="D53" i="68"/>
  <c r="D42" i="68"/>
  <c r="D35" i="68"/>
  <c r="D31" i="68"/>
  <c r="D24" i="68"/>
  <c r="D34" i="68"/>
  <c r="D69" i="68"/>
  <c r="D23" i="68"/>
  <c r="D16" i="68"/>
  <c r="D52" i="68"/>
  <c r="D55" i="68"/>
  <c r="D48" i="68"/>
  <c r="D33" i="68"/>
  <c r="D68" i="68"/>
  <c r="D58" i="68"/>
  <c r="D15" i="68"/>
  <c r="D8" i="68"/>
  <c r="J31" i="37"/>
  <c r="H31" i="37"/>
  <c r="I31" i="37" s="1"/>
  <c r="E31" i="37"/>
  <c r="D31" i="37"/>
  <c r="B31" i="37"/>
  <c r="J30" i="37"/>
  <c r="H30" i="37"/>
  <c r="I30" i="37" s="1"/>
  <c r="E30" i="37"/>
  <c r="D30" i="37"/>
  <c r="B30" i="37"/>
  <c r="J29" i="37"/>
  <c r="H29" i="37"/>
  <c r="I29" i="37" s="1"/>
  <c r="E29" i="37"/>
  <c r="D29" i="37"/>
  <c r="B29" i="37"/>
  <c r="J28" i="37"/>
  <c r="H28" i="37"/>
  <c r="I28" i="37" s="1"/>
  <c r="E28" i="37"/>
  <c r="D28" i="37"/>
  <c r="B28" i="37"/>
  <c r="J27" i="37"/>
  <c r="H27" i="37"/>
  <c r="I27" i="37" s="1"/>
  <c r="E27" i="37"/>
  <c r="D27" i="37"/>
  <c r="B27" i="37"/>
  <c r="J26" i="37"/>
  <c r="H26" i="37"/>
  <c r="I26" i="37" s="1"/>
  <c r="E26" i="37"/>
  <c r="D26" i="37"/>
  <c r="B26" i="37"/>
  <c r="J25" i="37"/>
  <c r="H25" i="37"/>
  <c r="I25" i="37" s="1"/>
  <c r="E25" i="37"/>
  <c r="D25" i="37"/>
  <c r="B25" i="37"/>
  <c r="J24" i="37"/>
  <c r="H24" i="37"/>
  <c r="I24" i="37" s="1"/>
  <c r="E24" i="37"/>
  <c r="D24" i="37"/>
  <c r="B24" i="37"/>
  <c r="J23" i="37"/>
  <c r="H23" i="37"/>
  <c r="I23" i="37" s="1"/>
  <c r="E23" i="37"/>
  <c r="D23" i="37"/>
  <c r="B23" i="37"/>
  <c r="J22" i="37"/>
  <c r="H22" i="37"/>
  <c r="I22" i="37" s="1"/>
  <c r="E22" i="37"/>
  <c r="D22" i="37"/>
  <c r="B22" i="37"/>
  <c r="J21" i="37"/>
  <c r="H21" i="37"/>
  <c r="I21" i="37" s="1"/>
  <c r="E21" i="37"/>
  <c r="D21" i="37"/>
  <c r="B21" i="37"/>
  <c r="J20" i="37"/>
  <c r="H20" i="37"/>
  <c r="I20" i="37" s="1"/>
  <c r="E20" i="37"/>
  <c r="D20" i="37"/>
  <c r="B20" i="37"/>
  <c r="J19" i="37"/>
  <c r="H19" i="37"/>
  <c r="I19" i="37" s="1"/>
  <c r="E19" i="37"/>
  <c r="D19" i="37"/>
  <c r="B19" i="37"/>
  <c r="J18" i="37"/>
  <c r="H18" i="37"/>
  <c r="I18" i="37" s="1"/>
  <c r="E18" i="37"/>
  <c r="D18" i="37"/>
  <c r="B18" i="37"/>
  <c r="J17" i="37"/>
  <c r="H17" i="37"/>
  <c r="I17" i="37" s="1"/>
  <c r="E17" i="37"/>
  <c r="D17" i="37"/>
  <c r="B17" i="37"/>
  <c r="J16" i="37"/>
  <c r="H16" i="37"/>
  <c r="I16" i="37" s="1"/>
  <c r="E16" i="37"/>
  <c r="D16" i="37"/>
  <c r="B16" i="37"/>
  <c r="J15" i="37"/>
  <c r="H15" i="37"/>
  <c r="I15" i="37" s="1"/>
  <c r="E15" i="37"/>
  <c r="D15" i="37"/>
  <c r="B15" i="37"/>
  <c r="J14" i="37"/>
  <c r="H14" i="37"/>
  <c r="I14" i="37" s="1"/>
  <c r="E14" i="37"/>
  <c r="D14" i="37"/>
  <c r="B14" i="37"/>
  <c r="J13" i="37"/>
  <c r="H13" i="37"/>
  <c r="I13" i="37" s="1"/>
  <c r="E13" i="37"/>
  <c r="D13" i="37"/>
  <c r="B13" i="37"/>
  <c r="J12" i="37"/>
  <c r="H12" i="37"/>
  <c r="I12" i="37" s="1"/>
  <c r="E12" i="37"/>
  <c r="D12" i="37"/>
  <c r="B12" i="37"/>
  <c r="J11" i="37"/>
  <c r="H11" i="37"/>
  <c r="I11" i="37" s="1"/>
  <c r="E11" i="37"/>
  <c r="D11" i="37"/>
  <c r="J10" i="37"/>
  <c r="H10" i="37"/>
  <c r="I10" i="37" s="1"/>
  <c r="E10" i="37"/>
  <c r="D10" i="37"/>
  <c r="J9" i="37"/>
  <c r="H9" i="37"/>
  <c r="I9" i="37" s="1"/>
  <c r="E9" i="37"/>
  <c r="D9" i="37"/>
  <c r="J8" i="37"/>
  <c r="H8" i="37"/>
  <c r="I8" i="37" s="1"/>
  <c r="E8" i="37"/>
  <c r="D8" i="37"/>
  <c r="B8" i="37"/>
  <c r="C5" i="37"/>
  <c r="C4" i="37"/>
  <c r="C3" i="37"/>
  <c r="J31" i="36"/>
  <c r="H31" i="36"/>
  <c r="I31" i="36" s="1"/>
  <c r="E31" i="36"/>
  <c r="D31" i="36"/>
  <c r="B31" i="36"/>
  <c r="J30" i="36"/>
  <c r="H30" i="36"/>
  <c r="I30" i="36" s="1"/>
  <c r="E30" i="36"/>
  <c r="D30" i="36"/>
  <c r="B30" i="36"/>
  <c r="J29" i="36"/>
  <c r="H29" i="36"/>
  <c r="I29" i="36" s="1"/>
  <c r="E29" i="36"/>
  <c r="D29" i="36"/>
  <c r="B29" i="36"/>
  <c r="J28" i="36"/>
  <c r="H28" i="36"/>
  <c r="I28" i="36" s="1"/>
  <c r="E28" i="36"/>
  <c r="D28" i="36"/>
  <c r="B28" i="36"/>
  <c r="J27" i="36"/>
  <c r="H27" i="36"/>
  <c r="I27" i="36" s="1"/>
  <c r="E27" i="36"/>
  <c r="D27" i="36"/>
  <c r="B27" i="36"/>
  <c r="J26" i="36"/>
  <c r="H26" i="36"/>
  <c r="I26" i="36" s="1"/>
  <c r="E26" i="36"/>
  <c r="D26" i="36"/>
  <c r="B26" i="36"/>
  <c r="J25" i="36"/>
  <c r="H25" i="36"/>
  <c r="I25" i="36" s="1"/>
  <c r="E25" i="36"/>
  <c r="D25" i="36"/>
  <c r="B25" i="36"/>
  <c r="J24" i="36"/>
  <c r="H24" i="36"/>
  <c r="I24" i="36" s="1"/>
  <c r="E24" i="36"/>
  <c r="D24" i="36"/>
  <c r="B24" i="36"/>
  <c r="J23" i="36"/>
  <c r="H23" i="36"/>
  <c r="I23" i="36" s="1"/>
  <c r="E23" i="36"/>
  <c r="D23" i="36"/>
  <c r="B23" i="36"/>
  <c r="J22" i="36"/>
  <c r="H22" i="36"/>
  <c r="I22" i="36" s="1"/>
  <c r="E22" i="36"/>
  <c r="D22" i="36"/>
  <c r="B22" i="36"/>
  <c r="J21" i="36"/>
  <c r="H21" i="36"/>
  <c r="I21" i="36" s="1"/>
  <c r="E21" i="36"/>
  <c r="D21" i="36"/>
  <c r="B21" i="36"/>
  <c r="J20" i="36"/>
  <c r="H20" i="36"/>
  <c r="I20" i="36" s="1"/>
  <c r="E20" i="36"/>
  <c r="D20" i="36"/>
  <c r="B20" i="36"/>
  <c r="J19" i="36"/>
  <c r="H19" i="36"/>
  <c r="I19" i="36" s="1"/>
  <c r="E19" i="36"/>
  <c r="D19" i="36"/>
  <c r="B19" i="36"/>
  <c r="J18" i="36"/>
  <c r="H18" i="36"/>
  <c r="I18" i="36" s="1"/>
  <c r="E18" i="36"/>
  <c r="D18" i="36"/>
  <c r="B18" i="36"/>
  <c r="J17" i="36"/>
  <c r="H17" i="36"/>
  <c r="I17" i="36" s="1"/>
  <c r="E17" i="36"/>
  <c r="D17" i="36"/>
  <c r="B17" i="36"/>
  <c r="J16" i="36"/>
  <c r="H16" i="36"/>
  <c r="I16" i="36" s="1"/>
  <c r="E16" i="36"/>
  <c r="D16" i="36"/>
  <c r="B16" i="36"/>
  <c r="J15" i="36"/>
  <c r="H15" i="36"/>
  <c r="I15" i="36" s="1"/>
  <c r="E15" i="36"/>
  <c r="D15" i="36"/>
  <c r="B15" i="36"/>
  <c r="J14" i="36"/>
  <c r="H14" i="36"/>
  <c r="I14" i="36" s="1"/>
  <c r="E14" i="36"/>
  <c r="D14" i="36"/>
  <c r="B14" i="36"/>
  <c r="J13" i="36"/>
  <c r="H13" i="36"/>
  <c r="I13" i="36" s="1"/>
  <c r="E13" i="36"/>
  <c r="D13" i="36"/>
  <c r="B13" i="36"/>
  <c r="J12" i="36"/>
  <c r="H12" i="36"/>
  <c r="I12" i="36" s="1"/>
  <c r="E12" i="36"/>
  <c r="D12" i="36"/>
  <c r="B12" i="36"/>
  <c r="J11" i="36"/>
  <c r="H11" i="36"/>
  <c r="I11" i="36" s="1"/>
  <c r="E11" i="36"/>
  <c r="D11" i="36"/>
  <c r="B11" i="36"/>
  <c r="J10" i="36"/>
  <c r="H10" i="36"/>
  <c r="I10" i="36" s="1"/>
  <c r="E10" i="36"/>
  <c r="D10" i="36"/>
  <c r="J9" i="36"/>
  <c r="H9" i="36"/>
  <c r="I9" i="36" s="1"/>
  <c r="E9" i="36"/>
  <c r="D9" i="36"/>
  <c r="J8" i="36"/>
  <c r="H8" i="36"/>
  <c r="I8" i="36" s="1"/>
  <c r="E8" i="36"/>
  <c r="D8" i="36"/>
  <c r="B8" i="36"/>
  <c r="B9" i="36" s="1"/>
  <c r="B10" i="36" s="1"/>
  <c r="C5" i="36"/>
  <c r="C4" i="36"/>
  <c r="C3" i="36"/>
  <c r="J31" i="34"/>
  <c r="H31" i="34"/>
  <c r="I31" i="34" s="1"/>
  <c r="E31" i="34"/>
  <c r="D31" i="34"/>
  <c r="B31" i="34"/>
  <c r="J30" i="34"/>
  <c r="H30" i="34"/>
  <c r="I30" i="34" s="1"/>
  <c r="E30" i="34"/>
  <c r="D30" i="34"/>
  <c r="B30" i="34"/>
  <c r="J29" i="34"/>
  <c r="H29" i="34"/>
  <c r="I29" i="34" s="1"/>
  <c r="E29" i="34"/>
  <c r="D29" i="34"/>
  <c r="B29" i="34"/>
  <c r="J28" i="34"/>
  <c r="H28" i="34"/>
  <c r="I28" i="34" s="1"/>
  <c r="E28" i="34"/>
  <c r="D28" i="34"/>
  <c r="B28" i="34"/>
  <c r="J27" i="34"/>
  <c r="H27" i="34"/>
  <c r="I27" i="34" s="1"/>
  <c r="E27" i="34"/>
  <c r="D27" i="34"/>
  <c r="B27" i="34"/>
  <c r="J26" i="34"/>
  <c r="H26" i="34"/>
  <c r="I26" i="34" s="1"/>
  <c r="E26" i="34"/>
  <c r="D26" i="34"/>
  <c r="B26" i="34"/>
  <c r="J25" i="34"/>
  <c r="H25" i="34"/>
  <c r="I25" i="34" s="1"/>
  <c r="E25" i="34"/>
  <c r="D25" i="34"/>
  <c r="B25" i="34"/>
  <c r="J24" i="34"/>
  <c r="H24" i="34"/>
  <c r="I24" i="34" s="1"/>
  <c r="E24" i="34"/>
  <c r="D24" i="34"/>
  <c r="B24" i="34"/>
  <c r="J23" i="34"/>
  <c r="H23" i="34"/>
  <c r="I23" i="34" s="1"/>
  <c r="E23" i="34"/>
  <c r="D23" i="34"/>
  <c r="B23" i="34"/>
  <c r="J22" i="34"/>
  <c r="H22" i="34"/>
  <c r="I22" i="34" s="1"/>
  <c r="E22" i="34"/>
  <c r="D22" i="34"/>
  <c r="B22" i="34"/>
  <c r="J21" i="34"/>
  <c r="H21" i="34"/>
  <c r="I21" i="34" s="1"/>
  <c r="E21" i="34"/>
  <c r="D21" i="34"/>
  <c r="B21" i="34"/>
  <c r="J20" i="34"/>
  <c r="H20" i="34"/>
  <c r="I20" i="34" s="1"/>
  <c r="E20" i="34"/>
  <c r="D20" i="34"/>
  <c r="B20" i="34"/>
  <c r="J19" i="34"/>
  <c r="H19" i="34"/>
  <c r="I19" i="34" s="1"/>
  <c r="E19" i="34"/>
  <c r="D19" i="34"/>
  <c r="B19" i="34"/>
  <c r="J18" i="34"/>
  <c r="H18" i="34"/>
  <c r="I18" i="34" s="1"/>
  <c r="E18" i="34"/>
  <c r="D18" i="34"/>
  <c r="B18" i="34"/>
  <c r="J17" i="34"/>
  <c r="H17" i="34"/>
  <c r="I17" i="34" s="1"/>
  <c r="E17" i="34"/>
  <c r="D17" i="34"/>
  <c r="B17" i="34"/>
  <c r="J16" i="34"/>
  <c r="H16" i="34"/>
  <c r="I16" i="34" s="1"/>
  <c r="E16" i="34"/>
  <c r="D16" i="34"/>
  <c r="B16" i="34"/>
  <c r="J15" i="34"/>
  <c r="H15" i="34"/>
  <c r="I15" i="34" s="1"/>
  <c r="E15" i="34"/>
  <c r="D15" i="34"/>
  <c r="B15" i="34"/>
  <c r="J14" i="34"/>
  <c r="H14" i="34"/>
  <c r="I14" i="34" s="1"/>
  <c r="E14" i="34"/>
  <c r="D14" i="34"/>
  <c r="B14" i="34"/>
  <c r="J13" i="34"/>
  <c r="H13" i="34"/>
  <c r="I13" i="34" s="1"/>
  <c r="E13" i="34"/>
  <c r="D13" i="34"/>
  <c r="B13" i="34"/>
  <c r="J12" i="34"/>
  <c r="H12" i="34"/>
  <c r="I12" i="34" s="1"/>
  <c r="E12" i="34"/>
  <c r="D12" i="34"/>
  <c r="B12" i="34"/>
  <c r="J11" i="34"/>
  <c r="H11" i="34"/>
  <c r="I11" i="34" s="1"/>
  <c r="E11" i="34"/>
  <c r="D11" i="34"/>
  <c r="B11" i="34"/>
  <c r="J10" i="34"/>
  <c r="H10" i="34"/>
  <c r="I10" i="34" s="1"/>
  <c r="E10" i="34"/>
  <c r="D10" i="34"/>
  <c r="B10" i="34"/>
  <c r="J9" i="34"/>
  <c r="H9" i="34"/>
  <c r="I9" i="34" s="1"/>
  <c r="E9" i="34"/>
  <c r="D9" i="34"/>
  <c r="B9" i="34"/>
  <c r="J8" i="34"/>
  <c r="H8" i="34"/>
  <c r="I8" i="34" s="1"/>
  <c r="E8" i="34"/>
  <c r="D8" i="34"/>
  <c r="B8" i="34"/>
  <c r="C5" i="34"/>
  <c r="C4" i="34"/>
  <c r="C3" i="34"/>
  <c r="J31" i="33"/>
  <c r="H31" i="33"/>
  <c r="I31" i="33" s="1"/>
  <c r="E31" i="33"/>
  <c r="D31" i="33"/>
  <c r="B31" i="33"/>
  <c r="J30" i="33"/>
  <c r="H30" i="33"/>
  <c r="I30" i="33" s="1"/>
  <c r="E30" i="33"/>
  <c r="D30" i="33"/>
  <c r="B30" i="33"/>
  <c r="J29" i="33"/>
  <c r="H29" i="33"/>
  <c r="I29" i="33" s="1"/>
  <c r="E29" i="33"/>
  <c r="D29" i="33"/>
  <c r="B29" i="33"/>
  <c r="J28" i="33"/>
  <c r="H28" i="33"/>
  <c r="I28" i="33" s="1"/>
  <c r="E28" i="33"/>
  <c r="D28" i="33"/>
  <c r="B28" i="33"/>
  <c r="J27" i="33"/>
  <c r="H27" i="33"/>
  <c r="I27" i="33" s="1"/>
  <c r="E27" i="33"/>
  <c r="D27" i="33"/>
  <c r="B27" i="33"/>
  <c r="J26" i="33"/>
  <c r="H26" i="33"/>
  <c r="I26" i="33" s="1"/>
  <c r="E26" i="33"/>
  <c r="D26" i="33"/>
  <c r="B26" i="33"/>
  <c r="J25" i="33"/>
  <c r="H25" i="33"/>
  <c r="I25" i="33" s="1"/>
  <c r="E25" i="33"/>
  <c r="D25" i="33"/>
  <c r="B25" i="33"/>
  <c r="J24" i="33"/>
  <c r="H24" i="33"/>
  <c r="I24" i="33" s="1"/>
  <c r="E24" i="33"/>
  <c r="D24" i="33"/>
  <c r="J11" i="33"/>
  <c r="J10" i="33"/>
  <c r="J9" i="33"/>
  <c r="B8" i="33"/>
  <c r="S6" i="33"/>
  <c r="R6" i="33"/>
  <c r="Q6" i="33"/>
  <c r="P6" i="33"/>
  <c r="S5" i="33"/>
  <c r="R5" i="33"/>
  <c r="Q5" i="33"/>
  <c r="P5" i="33"/>
  <c r="C5" i="33"/>
  <c r="S4" i="33"/>
  <c r="R4" i="33"/>
  <c r="Q4" i="33"/>
  <c r="P4" i="33"/>
  <c r="C4" i="33"/>
  <c r="S3" i="33"/>
  <c r="R3" i="33"/>
  <c r="Q3" i="33"/>
  <c r="P3" i="33"/>
  <c r="C3" i="33"/>
  <c r="J31" i="32"/>
  <c r="H31" i="32"/>
  <c r="I31" i="32" s="1"/>
  <c r="E31" i="32"/>
  <c r="D31" i="32"/>
  <c r="B31" i="32"/>
  <c r="J30" i="32"/>
  <c r="H30" i="32"/>
  <c r="I30" i="32" s="1"/>
  <c r="E30" i="32"/>
  <c r="D30" i="32"/>
  <c r="B30" i="32"/>
  <c r="J29" i="32"/>
  <c r="H29" i="32"/>
  <c r="I29" i="32" s="1"/>
  <c r="E29" i="32"/>
  <c r="D29" i="32"/>
  <c r="B29" i="32"/>
  <c r="J28" i="32"/>
  <c r="H28" i="32"/>
  <c r="I28" i="32" s="1"/>
  <c r="E28" i="32"/>
  <c r="D28" i="32"/>
  <c r="B28" i="32"/>
  <c r="J27" i="32"/>
  <c r="H27" i="32"/>
  <c r="I27" i="32" s="1"/>
  <c r="E27" i="32"/>
  <c r="D27" i="32"/>
  <c r="B27" i="32"/>
  <c r="J26" i="32"/>
  <c r="H26" i="32"/>
  <c r="I26" i="32" s="1"/>
  <c r="E26" i="32"/>
  <c r="D26" i="32"/>
  <c r="B26" i="32"/>
  <c r="J25" i="32"/>
  <c r="H25" i="32"/>
  <c r="I25" i="32" s="1"/>
  <c r="E25" i="32"/>
  <c r="D25" i="32"/>
  <c r="B25" i="32"/>
  <c r="J24" i="32"/>
  <c r="H24" i="32"/>
  <c r="I24" i="32" s="1"/>
  <c r="E24" i="32"/>
  <c r="D24" i="32"/>
  <c r="B24" i="32"/>
  <c r="J23" i="32"/>
  <c r="H23" i="32"/>
  <c r="I23" i="32" s="1"/>
  <c r="E23" i="32"/>
  <c r="D23" i="32"/>
  <c r="B23" i="32"/>
  <c r="J22" i="32"/>
  <c r="H22" i="32"/>
  <c r="I22" i="32" s="1"/>
  <c r="E22" i="32"/>
  <c r="D22" i="32"/>
  <c r="B22" i="32"/>
  <c r="J21" i="32"/>
  <c r="H21" i="32"/>
  <c r="I21" i="32" s="1"/>
  <c r="E21" i="32"/>
  <c r="D21" i="32"/>
  <c r="B21" i="32"/>
  <c r="J20" i="32"/>
  <c r="H20" i="32"/>
  <c r="I20" i="32" s="1"/>
  <c r="E20" i="32"/>
  <c r="D20" i="32"/>
  <c r="B20" i="32"/>
  <c r="J19" i="32"/>
  <c r="H19" i="32"/>
  <c r="I19" i="32" s="1"/>
  <c r="E19" i="32"/>
  <c r="D19" i="32"/>
  <c r="B19" i="32"/>
  <c r="J18" i="32"/>
  <c r="H18" i="32"/>
  <c r="I18" i="32" s="1"/>
  <c r="E18" i="32"/>
  <c r="D18" i="32"/>
  <c r="B18" i="32"/>
  <c r="J17" i="32"/>
  <c r="H17" i="32"/>
  <c r="I17" i="32" s="1"/>
  <c r="E17" i="32"/>
  <c r="D17" i="32"/>
  <c r="B17" i="32"/>
  <c r="J16" i="32"/>
  <c r="H16" i="32"/>
  <c r="I16" i="32" s="1"/>
  <c r="E16" i="32"/>
  <c r="D16" i="32"/>
  <c r="B16" i="32"/>
  <c r="J15" i="32"/>
  <c r="H15" i="32"/>
  <c r="I15" i="32" s="1"/>
  <c r="E15" i="32"/>
  <c r="D15" i="32"/>
  <c r="B15" i="32"/>
  <c r="J14" i="32"/>
  <c r="H14" i="32"/>
  <c r="I14" i="32" s="1"/>
  <c r="E14" i="32"/>
  <c r="D14" i="32"/>
  <c r="B14" i="32"/>
  <c r="J13" i="32"/>
  <c r="H13" i="32"/>
  <c r="I13" i="32" s="1"/>
  <c r="E13" i="32"/>
  <c r="D13" i="32"/>
  <c r="B13" i="32"/>
  <c r="J12" i="32"/>
  <c r="H12" i="32"/>
  <c r="I12" i="32" s="1"/>
  <c r="E12" i="32"/>
  <c r="D12" i="32"/>
  <c r="B12" i="32"/>
  <c r="J11" i="32"/>
  <c r="H11" i="32"/>
  <c r="I11" i="32" s="1"/>
  <c r="E11" i="32"/>
  <c r="D11" i="32"/>
  <c r="J10" i="32"/>
  <c r="H10" i="32"/>
  <c r="I10" i="32" s="1"/>
  <c r="E10" i="32"/>
  <c r="D10" i="32"/>
  <c r="J9" i="32"/>
  <c r="H9" i="32"/>
  <c r="I9" i="32" s="1"/>
  <c r="E9" i="32"/>
  <c r="D9" i="32"/>
  <c r="J8" i="32"/>
  <c r="H8" i="32"/>
  <c r="I8" i="32" s="1"/>
  <c r="E8" i="32"/>
  <c r="D8" i="32"/>
  <c r="B8" i="32"/>
  <c r="B9" i="32" s="1"/>
  <c r="B10" i="32" s="1"/>
  <c r="B11" i="32" s="1"/>
  <c r="C5" i="32"/>
  <c r="C4" i="32"/>
  <c r="C3" i="32"/>
  <c r="J31" i="35"/>
  <c r="H31" i="35"/>
  <c r="I31" i="35" s="1"/>
  <c r="E31" i="35"/>
  <c r="D31" i="35"/>
  <c r="J30" i="35"/>
  <c r="H30" i="35"/>
  <c r="I30" i="35" s="1"/>
  <c r="E30" i="35"/>
  <c r="D30" i="35"/>
  <c r="J29" i="35"/>
  <c r="H29" i="35"/>
  <c r="I29" i="35" s="1"/>
  <c r="E29" i="35"/>
  <c r="D29" i="35"/>
  <c r="J28" i="35"/>
  <c r="H28" i="35"/>
  <c r="I28" i="35" s="1"/>
  <c r="E28" i="35"/>
  <c r="D28" i="35"/>
  <c r="J27" i="35"/>
  <c r="H27" i="35"/>
  <c r="I27" i="35" s="1"/>
  <c r="E27" i="35"/>
  <c r="D27" i="35"/>
  <c r="J26" i="35"/>
  <c r="H26" i="35"/>
  <c r="I26" i="35" s="1"/>
  <c r="E26" i="35"/>
  <c r="D26" i="35"/>
  <c r="J25" i="35"/>
  <c r="H25" i="35"/>
  <c r="I25" i="35" s="1"/>
  <c r="E25" i="35"/>
  <c r="D25" i="35"/>
  <c r="J24" i="35"/>
  <c r="H24" i="35"/>
  <c r="I24" i="35" s="1"/>
  <c r="E24" i="35"/>
  <c r="D24" i="35"/>
  <c r="J23" i="35"/>
  <c r="H23" i="35"/>
  <c r="I23" i="35" s="1"/>
  <c r="E23" i="35"/>
  <c r="D23" i="35"/>
  <c r="J22" i="35"/>
  <c r="H22" i="35"/>
  <c r="I22" i="35" s="1"/>
  <c r="E22" i="35"/>
  <c r="D22" i="35"/>
  <c r="J21" i="35"/>
  <c r="H21" i="35"/>
  <c r="I21" i="35" s="1"/>
  <c r="E21" i="35"/>
  <c r="D21" i="35"/>
  <c r="J20" i="35"/>
  <c r="H20" i="35"/>
  <c r="I20" i="35" s="1"/>
  <c r="E20" i="35"/>
  <c r="D20" i="35"/>
  <c r="J19" i="35"/>
  <c r="H19" i="35"/>
  <c r="I19" i="35" s="1"/>
  <c r="E19" i="35"/>
  <c r="D19" i="35"/>
  <c r="J18" i="35"/>
  <c r="H18" i="35"/>
  <c r="I18" i="35" s="1"/>
  <c r="E18" i="35"/>
  <c r="D18" i="35"/>
  <c r="J17" i="35"/>
  <c r="H17" i="35"/>
  <c r="I17" i="35" s="1"/>
  <c r="E17" i="35"/>
  <c r="D17" i="35"/>
  <c r="J16" i="35"/>
  <c r="H16" i="35"/>
  <c r="I16" i="35" s="1"/>
  <c r="E16" i="35"/>
  <c r="D16" i="35"/>
  <c r="J15" i="35"/>
  <c r="H15" i="35"/>
  <c r="I15" i="35" s="1"/>
  <c r="E15" i="35"/>
  <c r="D15" i="35"/>
  <c r="J14" i="35"/>
  <c r="H14" i="35"/>
  <c r="I14" i="35" s="1"/>
  <c r="E14" i="35"/>
  <c r="D14" i="35"/>
  <c r="J13" i="35"/>
  <c r="H13" i="35"/>
  <c r="I13" i="35" s="1"/>
  <c r="E13" i="35"/>
  <c r="D13" i="35"/>
  <c r="J12" i="35"/>
  <c r="H12" i="35"/>
  <c r="I12" i="35" s="1"/>
  <c r="E12" i="35"/>
  <c r="D12" i="35"/>
  <c r="J11" i="35"/>
  <c r="H11" i="35"/>
  <c r="I11" i="35" s="1"/>
  <c r="E11" i="35"/>
  <c r="D11" i="35"/>
  <c r="J10" i="35"/>
  <c r="H10" i="35"/>
  <c r="I10" i="35" s="1"/>
  <c r="E10" i="35"/>
  <c r="D10" i="35"/>
  <c r="J9" i="35"/>
  <c r="H9" i="35"/>
  <c r="I9" i="35" s="1"/>
  <c r="E9" i="35"/>
  <c r="D9" i="35"/>
  <c r="J8" i="35"/>
  <c r="H8" i="35"/>
  <c r="I8" i="35" s="1"/>
  <c r="E8" i="35"/>
  <c r="D8" i="35"/>
  <c r="B8" i="35"/>
  <c r="C5" i="35"/>
  <c r="C4" i="35"/>
  <c r="C3" i="35"/>
  <c r="J31" i="31"/>
  <c r="H31" i="31"/>
  <c r="I31" i="31" s="1"/>
  <c r="E31" i="31"/>
  <c r="D31" i="31"/>
  <c r="B31" i="31"/>
  <c r="J30" i="31"/>
  <c r="H30" i="31"/>
  <c r="I30" i="31" s="1"/>
  <c r="E30" i="31"/>
  <c r="D30" i="31"/>
  <c r="B30" i="31"/>
  <c r="J29" i="31"/>
  <c r="H29" i="31"/>
  <c r="I29" i="31" s="1"/>
  <c r="E29" i="31"/>
  <c r="D29" i="31"/>
  <c r="B29" i="31"/>
  <c r="J28" i="31"/>
  <c r="H28" i="31"/>
  <c r="I28" i="31" s="1"/>
  <c r="E28" i="31"/>
  <c r="D28" i="31"/>
  <c r="B28" i="31"/>
  <c r="J27" i="31"/>
  <c r="H27" i="31"/>
  <c r="I27" i="31" s="1"/>
  <c r="E27" i="31"/>
  <c r="D27" i="31"/>
  <c r="B27" i="31"/>
  <c r="J26" i="31"/>
  <c r="H26" i="31"/>
  <c r="I26" i="31" s="1"/>
  <c r="E26" i="31"/>
  <c r="D26" i="31"/>
  <c r="B26" i="31"/>
  <c r="J25" i="31"/>
  <c r="H25" i="31"/>
  <c r="I25" i="31" s="1"/>
  <c r="E25" i="31"/>
  <c r="D25" i="31"/>
  <c r="B25" i="31"/>
  <c r="J24" i="31"/>
  <c r="H24" i="31"/>
  <c r="I24" i="31" s="1"/>
  <c r="E24" i="31"/>
  <c r="D24" i="31"/>
  <c r="B24" i="31"/>
  <c r="J23" i="31"/>
  <c r="H23" i="31"/>
  <c r="I23" i="31" s="1"/>
  <c r="E23" i="31"/>
  <c r="D23" i="31"/>
  <c r="B23" i="31"/>
  <c r="J22" i="31"/>
  <c r="H22" i="31"/>
  <c r="I22" i="31" s="1"/>
  <c r="E22" i="31"/>
  <c r="D22" i="31"/>
  <c r="B22" i="31"/>
  <c r="J21" i="31"/>
  <c r="H21" i="31"/>
  <c r="I21" i="31" s="1"/>
  <c r="E21" i="31"/>
  <c r="D21" i="31"/>
  <c r="B21" i="31"/>
  <c r="J20" i="31"/>
  <c r="H20" i="31"/>
  <c r="I20" i="31" s="1"/>
  <c r="E20" i="31"/>
  <c r="D20" i="31"/>
  <c r="B20" i="31"/>
  <c r="J19" i="31"/>
  <c r="H19" i="31"/>
  <c r="I19" i="31" s="1"/>
  <c r="E19" i="31"/>
  <c r="D19" i="31"/>
  <c r="B19" i="31"/>
  <c r="J18" i="31"/>
  <c r="H18" i="31"/>
  <c r="I18" i="31" s="1"/>
  <c r="E18" i="31"/>
  <c r="D18" i="31"/>
  <c r="B18" i="31"/>
  <c r="J17" i="31"/>
  <c r="H17" i="31"/>
  <c r="I17" i="31" s="1"/>
  <c r="E17" i="31"/>
  <c r="D17" i="31"/>
  <c r="B17" i="31"/>
  <c r="J16" i="31"/>
  <c r="H16" i="31"/>
  <c r="I16" i="31" s="1"/>
  <c r="E16" i="31"/>
  <c r="D16" i="31"/>
  <c r="B16" i="31"/>
  <c r="J15" i="31"/>
  <c r="H15" i="31"/>
  <c r="I15" i="31" s="1"/>
  <c r="E15" i="31"/>
  <c r="D15" i="31"/>
  <c r="B15" i="31"/>
  <c r="J14" i="31"/>
  <c r="H14" i="31"/>
  <c r="I14" i="31" s="1"/>
  <c r="E14" i="31"/>
  <c r="D14" i="31"/>
  <c r="B14" i="31"/>
  <c r="J13" i="31"/>
  <c r="H13" i="31"/>
  <c r="I13" i="31" s="1"/>
  <c r="E13" i="31"/>
  <c r="D13" i="31"/>
  <c r="B13" i="31"/>
  <c r="J12" i="31"/>
  <c r="H12" i="31"/>
  <c r="I12" i="31" s="1"/>
  <c r="E12" i="31"/>
  <c r="D12" i="31"/>
  <c r="B12" i="31"/>
  <c r="J11" i="31"/>
  <c r="H11" i="31"/>
  <c r="I11" i="31" s="1"/>
  <c r="E11" i="31"/>
  <c r="D11" i="31"/>
  <c r="B11" i="31"/>
  <c r="J10" i="31"/>
  <c r="H10" i="31"/>
  <c r="I10" i="31" s="1"/>
  <c r="E10" i="31"/>
  <c r="D10" i="31"/>
  <c r="B10" i="31"/>
  <c r="J9" i="31"/>
  <c r="H9" i="31"/>
  <c r="I9" i="31" s="1"/>
  <c r="E9" i="31"/>
  <c r="D9" i="31"/>
  <c r="B9" i="31"/>
  <c r="J8" i="31"/>
  <c r="H8" i="31"/>
  <c r="I8" i="31" s="1"/>
  <c r="E8" i="31"/>
  <c r="D8" i="31"/>
  <c r="B8" i="31"/>
  <c r="C5" i="31"/>
  <c r="C4" i="31"/>
  <c r="C3" i="31"/>
  <c r="J31" i="30"/>
  <c r="H31" i="30"/>
  <c r="I31" i="30" s="1"/>
  <c r="E31" i="30"/>
  <c r="D31" i="30"/>
  <c r="B31" i="30"/>
  <c r="J30" i="30"/>
  <c r="H30" i="30"/>
  <c r="I30" i="30" s="1"/>
  <c r="E30" i="30"/>
  <c r="D30" i="30"/>
  <c r="B30" i="30"/>
  <c r="J29" i="30"/>
  <c r="H29" i="30"/>
  <c r="I29" i="30" s="1"/>
  <c r="E29" i="30"/>
  <c r="D29" i="30"/>
  <c r="B29" i="30"/>
  <c r="J28" i="30"/>
  <c r="H28" i="30"/>
  <c r="I28" i="30" s="1"/>
  <c r="E28" i="30"/>
  <c r="D28" i="30"/>
  <c r="B28" i="30"/>
  <c r="J27" i="30"/>
  <c r="H27" i="30"/>
  <c r="I27" i="30" s="1"/>
  <c r="E27" i="30"/>
  <c r="D27" i="30"/>
  <c r="B27" i="30"/>
  <c r="J26" i="30"/>
  <c r="H26" i="30"/>
  <c r="I26" i="30" s="1"/>
  <c r="E26" i="30"/>
  <c r="D26" i="30"/>
  <c r="B26" i="30"/>
  <c r="J25" i="30"/>
  <c r="H25" i="30"/>
  <c r="I25" i="30" s="1"/>
  <c r="E25" i="30"/>
  <c r="D25" i="30"/>
  <c r="B25" i="30"/>
  <c r="J24" i="30"/>
  <c r="H24" i="30"/>
  <c r="I24" i="30" s="1"/>
  <c r="E24" i="30"/>
  <c r="D24" i="30"/>
  <c r="B24" i="30"/>
  <c r="J23" i="30"/>
  <c r="H23" i="30"/>
  <c r="I23" i="30" s="1"/>
  <c r="E23" i="30"/>
  <c r="D23" i="30"/>
  <c r="B23" i="30"/>
  <c r="J22" i="30"/>
  <c r="H22" i="30"/>
  <c r="I22" i="30" s="1"/>
  <c r="E22" i="30"/>
  <c r="D22" i="30"/>
  <c r="B22" i="30"/>
  <c r="J21" i="30"/>
  <c r="H21" i="30"/>
  <c r="I21" i="30" s="1"/>
  <c r="E21" i="30"/>
  <c r="D21" i="30"/>
  <c r="B21" i="30"/>
  <c r="J20" i="30"/>
  <c r="H20" i="30"/>
  <c r="I20" i="30" s="1"/>
  <c r="E20" i="30"/>
  <c r="D20" i="30"/>
  <c r="B20" i="30"/>
  <c r="J19" i="30"/>
  <c r="H19" i="30"/>
  <c r="I19" i="30" s="1"/>
  <c r="E19" i="30"/>
  <c r="D19" i="30"/>
  <c r="B19" i="30"/>
  <c r="J18" i="30"/>
  <c r="H18" i="30"/>
  <c r="I18" i="30" s="1"/>
  <c r="E18" i="30"/>
  <c r="D18" i="30"/>
  <c r="B18" i="30"/>
  <c r="J17" i="30"/>
  <c r="H17" i="30"/>
  <c r="I17" i="30" s="1"/>
  <c r="E17" i="30"/>
  <c r="D17" i="30"/>
  <c r="B17" i="30"/>
  <c r="J16" i="30"/>
  <c r="H16" i="30"/>
  <c r="I16" i="30" s="1"/>
  <c r="E16" i="30"/>
  <c r="D16" i="30"/>
  <c r="B16" i="30"/>
  <c r="J15" i="30"/>
  <c r="H15" i="30"/>
  <c r="I15" i="30" s="1"/>
  <c r="E15" i="30"/>
  <c r="D15" i="30"/>
  <c r="B15" i="30"/>
  <c r="J14" i="30"/>
  <c r="H14" i="30"/>
  <c r="I14" i="30" s="1"/>
  <c r="E14" i="30"/>
  <c r="D14" i="30"/>
  <c r="B14" i="30"/>
  <c r="J13" i="30"/>
  <c r="H13" i="30"/>
  <c r="I13" i="30" s="1"/>
  <c r="E13" i="30"/>
  <c r="D13" i="30"/>
  <c r="J12" i="30"/>
  <c r="H12" i="30"/>
  <c r="I12" i="30" s="1"/>
  <c r="E12" i="30"/>
  <c r="D12" i="30"/>
  <c r="J11" i="30"/>
  <c r="H11" i="30"/>
  <c r="I11" i="30" s="1"/>
  <c r="E11" i="30"/>
  <c r="D11" i="30"/>
  <c r="J10" i="30"/>
  <c r="H10" i="30"/>
  <c r="I10" i="30" s="1"/>
  <c r="E10" i="30"/>
  <c r="D10" i="30"/>
  <c r="B10" i="30"/>
  <c r="B11" i="30" s="1"/>
  <c r="B12" i="30" s="1"/>
  <c r="J9" i="30"/>
  <c r="H9" i="30"/>
  <c r="I9" i="30" s="1"/>
  <c r="E9" i="30"/>
  <c r="D9" i="30"/>
  <c r="B9" i="30"/>
  <c r="J8" i="30"/>
  <c r="H8" i="30"/>
  <c r="I8" i="30" s="1"/>
  <c r="E8" i="30"/>
  <c r="D8" i="30"/>
  <c r="B8" i="30"/>
  <c r="C5" i="30"/>
  <c r="C4" i="30"/>
  <c r="C3" i="30"/>
  <c r="J32" i="29"/>
  <c r="H32" i="29"/>
  <c r="I32" i="29" s="1"/>
  <c r="E32" i="29"/>
  <c r="D32" i="29"/>
  <c r="B32" i="29"/>
  <c r="J31" i="29"/>
  <c r="H31" i="29"/>
  <c r="I31" i="29" s="1"/>
  <c r="E31" i="29"/>
  <c r="D31" i="29"/>
  <c r="B31" i="29"/>
  <c r="J30" i="29"/>
  <c r="H30" i="29"/>
  <c r="I30" i="29" s="1"/>
  <c r="E30" i="29"/>
  <c r="D30" i="29"/>
  <c r="B30" i="29"/>
  <c r="J29" i="29"/>
  <c r="H29" i="29"/>
  <c r="I29" i="29" s="1"/>
  <c r="E29" i="29"/>
  <c r="D29" i="29"/>
  <c r="B29" i="29"/>
  <c r="J28" i="29"/>
  <c r="H28" i="29"/>
  <c r="I28" i="29" s="1"/>
  <c r="E28" i="29"/>
  <c r="D28" i="29"/>
  <c r="B28" i="29"/>
  <c r="J27" i="29"/>
  <c r="H27" i="29"/>
  <c r="I27" i="29" s="1"/>
  <c r="E27" i="29"/>
  <c r="D27" i="29"/>
  <c r="B27" i="29"/>
  <c r="J26" i="29"/>
  <c r="H26" i="29"/>
  <c r="I26" i="29" s="1"/>
  <c r="E26" i="29"/>
  <c r="D26" i="29"/>
  <c r="B26" i="29"/>
  <c r="J25" i="29"/>
  <c r="H25" i="29"/>
  <c r="I25" i="29" s="1"/>
  <c r="E25" i="29"/>
  <c r="D25" i="29"/>
  <c r="B25" i="29"/>
  <c r="J24" i="29"/>
  <c r="H24" i="29"/>
  <c r="I24" i="29" s="1"/>
  <c r="E24" i="29"/>
  <c r="D24" i="29"/>
  <c r="B24" i="29"/>
  <c r="J23" i="29"/>
  <c r="H23" i="29"/>
  <c r="I23" i="29" s="1"/>
  <c r="E23" i="29"/>
  <c r="D23" i="29"/>
  <c r="J22" i="29"/>
  <c r="H22" i="29"/>
  <c r="I22" i="29" s="1"/>
  <c r="E22" i="29"/>
  <c r="D22" i="29"/>
  <c r="J21" i="29"/>
  <c r="H21" i="29"/>
  <c r="I21" i="29" s="1"/>
  <c r="E21" i="29"/>
  <c r="D21" i="29"/>
  <c r="B21" i="29"/>
  <c r="J20" i="29"/>
  <c r="H20" i="29"/>
  <c r="I20" i="29" s="1"/>
  <c r="E20" i="29"/>
  <c r="D20" i="29"/>
  <c r="B20" i="29"/>
  <c r="J19" i="29"/>
  <c r="H19" i="29"/>
  <c r="I19" i="29" s="1"/>
  <c r="E19" i="29"/>
  <c r="D19" i="29"/>
  <c r="B19" i="29"/>
  <c r="J18" i="29"/>
  <c r="H18" i="29"/>
  <c r="I18" i="29" s="1"/>
  <c r="E18" i="29"/>
  <c r="D18" i="29"/>
  <c r="J17" i="29"/>
  <c r="H17" i="29"/>
  <c r="I17" i="29" s="1"/>
  <c r="E17" i="29"/>
  <c r="D17" i="29"/>
  <c r="J16" i="29"/>
  <c r="H16" i="29"/>
  <c r="I16" i="29" s="1"/>
  <c r="E16" i="29"/>
  <c r="D16" i="29"/>
  <c r="J15" i="29"/>
  <c r="H15" i="29"/>
  <c r="I15" i="29" s="1"/>
  <c r="E15" i="29"/>
  <c r="D15" i="29"/>
  <c r="J14" i="29"/>
  <c r="H14" i="29"/>
  <c r="I14" i="29" s="1"/>
  <c r="E14" i="29"/>
  <c r="D14" i="29"/>
  <c r="J13" i="29"/>
  <c r="H13" i="29"/>
  <c r="E13" i="29"/>
  <c r="D13" i="29"/>
  <c r="J12" i="29"/>
  <c r="H12" i="29"/>
  <c r="I12" i="29" s="1"/>
  <c r="E12" i="29"/>
  <c r="D12" i="29"/>
  <c r="J10" i="29"/>
  <c r="H10" i="29"/>
  <c r="I10" i="29" s="1"/>
  <c r="E10" i="29"/>
  <c r="D10" i="29"/>
  <c r="J9" i="29"/>
  <c r="H9" i="29"/>
  <c r="I9" i="29" s="1"/>
  <c r="E9" i="29"/>
  <c r="D9" i="29"/>
  <c r="J8" i="29"/>
  <c r="I8" i="29"/>
  <c r="E8" i="29"/>
  <c r="D8" i="29"/>
  <c r="B8" i="29"/>
  <c r="B9" i="29" s="1"/>
  <c r="C5" i="29"/>
  <c r="C4" i="29"/>
  <c r="C3" i="29"/>
  <c r="J31" i="27"/>
  <c r="H31" i="27"/>
  <c r="I31" i="27" s="1"/>
  <c r="E31" i="27"/>
  <c r="D31" i="27"/>
  <c r="B31" i="27"/>
  <c r="J30" i="27"/>
  <c r="H30" i="27"/>
  <c r="I30" i="27" s="1"/>
  <c r="E30" i="27"/>
  <c r="D30" i="27"/>
  <c r="B30" i="27"/>
  <c r="J29" i="27"/>
  <c r="H29" i="27"/>
  <c r="I29" i="27" s="1"/>
  <c r="E29" i="27"/>
  <c r="D29" i="27"/>
  <c r="B29" i="27"/>
  <c r="J28" i="27"/>
  <c r="H28" i="27"/>
  <c r="I28" i="27" s="1"/>
  <c r="E28" i="27"/>
  <c r="D28" i="27"/>
  <c r="B28" i="27"/>
  <c r="J27" i="27"/>
  <c r="H27" i="27"/>
  <c r="I27" i="27" s="1"/>
  <c r="E27" i="27"/>
  <c r="D27" i="27"/>
  <c r="B27" i="27"/>
  <c r="J26" i="27"/>
  <c r="H26" i="27"/>
  <c r="I26" i="27" s="1"/>
  <c r="E26" i="27"/>
  <c r="D26" i="27"/>
  <c r="B26" i="27"/>
  <c r="J25" i="27"/>
  <c r="H25" i="27"/>
  <c r="I25" i="27" s="1"/>
  <c r="E25" i="27"/>
  <c r="D25" i="27"/>
  <c r="B25" i="27"/>
  <c r="J24" i="27"/>
  <c r="H24" i="27"/>
  <c r="I24" i="27" s="1"/>
  <c r="E24" i="27"/>
  <c r="D24" i="27"/>
  <c r="B24" i="27"/>
  <c r="J23" i="27"/>
  <c r="H23" i="27"/>
  <c r="I23" i="27" s="1"/>
  <c r="E23" i="27"/>
  <c r="D23" i="27"/>
  <c r="B23" i="27"/>
  <c r="J22" i="27"/>
  <c r="H22" i="27"/>
  <c r="I22" i="27" s="1"/>
  <c r="E22" i="27"/>
  <c r="D22" i="27"/>
  <c r="B22" i="27"/>
  <c r="J21" i="27"/>
  <c r="H21" i="27"/>
  <c r="I21" i="27" s="1"/>
  <c r="E21" i="27"/>
  <c r="D21" i="27"/>
  <c r="B21" i="27"/>
  <c r="J20" i="27"/>
  <c r="H20" i="27"/>
  <c r="I20" i="27" s="1"/>
  <c r="E20" i="27"/>
  <c r="D20" i="27"/>
  <c r="B20" i="27"/>
  <c r="J19" i="27"/>
  <c r="H19" i="27"/>
  <c r="I19" i="27" s="1"/>
  <c r="E19" i="27"/>
  <c r="D19" i="27"/>
  <c r="B19" i="27"/>
  <c r="J18" i="27"/>
  <c r="H18" i="27"/>
  <c r="I18" i="27" s="1"/>
  <c r="E18" i="27"/>
  <c r="D18" i="27"/>
  <c r="B18" i="27"/>
  <c r="J17" i="27"/>
  <c r="H17" i="27"/>
  <c r="I17" i="27" s="1"/>
  <c r="E17" i="27"/>
  <c r="D17" i="27"/>
  <c r="J16" i="27"/>
  <c r="H16" i="27"/>
  <c r="I16" i="27" s="1"/>
  <c r="E16" i="27"/>
  <c r="D16" i="27"/>
  <c r="J15" i="27"/>
  <c r="H15" i="27"/>
  <c r="I15" i="27" s="1"/>
  <c r="E15" i="27"/>
  <c r="D15" i="27"/>
  <c r="J14" i="27"/>
  <c r="H14" i="27"/>
  <c r="I14" i="27" s="1"/>
  <c r="E14" i="27"/>
  <c r="D14" i="27"/>
  <c r="J13" i="27"/>
  <c r="H13" i="27"/>
  <c r="I13" i="27" s="1"/>
  <c r="E13" i="27"/>
  <c r="D13" i="27"/>
  <c r="J12" i="27"/>
  <c r="H12" i="27"/>
  <c r="I12" i="27" s="1"/>
  <c r="E12" i="27"/>
  <c r="D12" i="27"/>
  <c r="J11" i="27"/>
  <c r="H11" i="27"/>
  <c r="I11" i="27" s="1"/>
  <c r="E11" i="27"/>
  <c r="D11" i="27"/>
  <c r="J10" i="27"/>
  <c r="H10" i="27"/>
  <c r="I10" i="27" s="1"/>
  <c r="E10" i="27"/>
  <c r="D10" i="27"/>
  <c r="J9" i="27"/>
  <c r="H9" i="27"/>
  <c r="I9" i="27" s="1"/>
  <c r="E9" i="27"/>
  <c r="D9" i="27"/>
  <c r="B9" i="27"/>
  <c r="B10" i="27" s="1"/>
  <c r="J8" i="27"/>
  <c r="H8" i="27"/>
  <c r="I8" i="27" s="1"/>
  <c r="E8" i="27"/>
  <c r="B8" i="27"/>
  <c r="C5" i="27"/>
  <c r="C4" i="27"/>
  <c r="C3" i="27"/>
  <c r="B8" i="66"/>
  <c r="C5" i="66"/>
  <c r="C4" i="66"/>
  <c r="C3" i="66"/>
  <c r="H2" i="66" a="1"/>
  <c r="H2" i="66" s="1"/>
  <c r="I13" i="29" l="1"/>
  <c r="D234" i="68"/>
  <c r="D233" i="68"/>
  <c r="D235" i="68"/>
  <c r="B9" i="37"/>
  <c r="B11" i="27"/>
  <c r="B12" i="27" s="1"/>
  <c r="B13" i="30"/>
  <c r="B10" i="29"/>
  <c r="B12" i="29" s="1"/>
  <c r="B13" i="29" s="1"/>
  <c r="B14" i="29" s="1"/>
  <c r="B9" i="35"/>
  <c r="K56" i="68"/>
  <c r="K64" i="68"/>
  <c r="K72" i="68"/>
  <c r="K80" i="68"/>
  <c r="K88" i="68"/>
  <c r="K96" i="68"/>
  <c r="K71" i="68"/>
  <c r="K49" i="68"/>
  <c r="K57" i="68"/>
  <c r="K65" i="68"/>
  <c r="K73" i="68"/>
  <c r="K81" i="68"/>
  <c r="K89" i="68"/>
  <c r="K97" i="68"/>
  <c r="K87" i="68"/>
  <c r="K50" i="68"/>
  <c r="K58" i="68"/>
  <c r="K66" i="68"/>
  <c r="K74" i="68"/>
  <c r="K82" i="68"/>
  <c r="K90" i="68"/>
  <c r="K98" i="68"/>
  <c r="K51" i="68"/>
  <c r="K59" i="68"/>
  <c r="K67" i="68"/>
  <c r="K75" i="68"/>
  <c r="K83" i="68"/>
  <c r="K91" i="68"/>
  <c r="K99" i="68"/>
  <c r="K63" i="68"/>
  <c r="K52" i="68"/>
  <c r="K60" i="68"/>
  <c r="K68" i="68"/>
  <c r="K76" i="68"/>
  <c r="K84" i="68"/>
  <c r="K92" i="68"/>
  <c r="K100" i="68"/>
  <c r="K79" i="68"/>
  <c r="K53" i="68"/>
  <c r="K61" i="68"/>
  <c r="K69" i="68"/>
  <c r="K77" i="68"/>
  <c r="K85" i="68"/>
  <c r="K93" i="68"/>
  <c r="K95" i="68"/>
  <c r="K54" i="68"/>
  <c r="K62" i="68"/>
  <c r="K70" i="68"/>
  <c r="K78" i="68"/>
  <c r="K86" i="68"/>
  <c r="K94" i="68"/>
  <c r="K55" i="68"/>
  <c r="F158" i="68"/>
  <c r="F55" i="68"/>
  <c r="F162" i="68"/>
  <c r="F35" i="68"/>
  <c r="F96" i="68"/>
  <c r="F98" i="68"/>
  <c r="F39" i="68"/>
  <c r="F87" i="68"/>
  <c r="F75" i="68"/>
  <c r="F177" i="68"/>
  <c r="F52" i="68"/>
  <c r="F42" i="68"/>
  <c r="F36" i="68"/>
  <c r="F11" i="68"/>
  <c r="F85" i="68"/>
  <c r="F28" i="68"/>
  <c r="F30" i="68"/>
  <c r="F51" i="68"/>
  <c r="F26" i="68"/>
  <c r="F89" i="68"/>
  <c r="F37" i="68"/>
  <c r="F102" i="68"/>
  <c r="F122" i="68"/>
  <c r="F32" i="68"/>
  <c r="F20" i="68"/>
  <c r="F93" i="68"/>
  <c r="F21" i="68"/>
  <c r="F147" i="68"/>
  <c r="H8" i="68" a="1"/>
  <c r="F129" i="68"/>
  <c r="F127" i="68"/>
  <c r="F170" i="68"/>
  <c r="F160" i="68"/>
  <c r="F8" i="68"/>
  <c r="F139" i="68"/>
  <c r="F159" i="68"/>
  <c r="F140" i="68"/>
  <c r="F189" i="68"/>
  <c r="F167" i="68"/>
  <c r="F112" i="68"/>
  <c r="F109" i="68"/>
  <c r="F183" i="68"/>
  <c r="F151" i="68"/>
  <c r="F134" i="68"/>
  <c r="F136" i="68"/>
  <c r="F135" i="68"/>
  <c r="F179" i="68"/>
  <c r="F164" i="68"/>
  <c r="F181" i="68"/>
  <c r="F195" i="68"/>
  <c r="F180" i="68"/>
  <c r="F172" i="68"/>
  <c r="F124" i="68"/>
  <c r="F199" i="68"/>
  <c r="F133" i="68"/>
  <c r="F174" i="68"/>
  <c r="F191" i="68"/>
  <c r="F178" i="68"/>
  <c r="F141" i="68"/>
  <c r="F175" i="68"/>
  <c r="F200" i="68"/>
  <c r="F106" i="68"/>
  <c r="F143" i="68"/>
  <c r="F198" i="68"/>
  <c r="F144" i="68"/>
  <c r="F131" i="68"/>
  <c r="F123" i="68"/>
  <c r="F153" i="68"/>
  <c r="F150" i="68"/>
  <c r="F173" i="68"/>
  <c r="F182" i="68"/>
  <c r="F152" i="68"/>
  <c r="F193" i="68"/>
  <c r="F101" i="68"/>
  <c r="F103" i="68"/>
  <c r="F108" i="68"/>
  <c r="F148" i="68"/>
  <c r="F145" i="68"/>
  <c r="F165" i="68"/>
  <c r="F126" i="68"/>
  <c r="F149" i="68"/>
  <c r="F188" i="68"/>
  <c r="F187" i="68"/>
  <c r="F197" i="68"/>
  <c r="F115" i="68"/>
  <c r="F132" i="68"/>
  <c r="F155" i="68"/>
  <c r="F196" i="68"/>
  <c r="F119" i="68"/>
  <c r="F157" i="68"/>
  <c r="F118" i="68"/>
  <c r="F117" i="68"/>
  <c r="F114" i="68"/>
  <c r="F111" i="68"/>
  <c r="F169" i="68"/>
  <c r="F156" i="68"/>
  <c r="F110" i="68"/>
  <c r="F125" i="68"/>
  <c r="F137" i="68"/>
  <c r="F176" i="68"/>
  <c r="F116" i="68"/>
  <c r="F154" i="68"/>
  <c r="F105" i="68"/>
  <c r="F16" i="68"/>
  <c r="F53" i="68"/>
  <c r="F43" i="68"/>
  <c r="F29" i="68"/>
  <c r="F95" i="68"/>
  <c r="F44" i="68"/>
  <c r="F54" i="68"/>
  <c r="F57" i="68"/>
  <c r="F38" i="68"/>
  <c r="F10" i="68"/>
  <c r="F45" i="68"/>
  <c r="F128" i="68"/>
  <c r="F192" i="68"/>
  <c r="F168" i="68"/>
  <c r="F23" i="68"/>
  <c r="F40" i="68"/>
  <c r="F72" i="68"/>
  <c r="F77" i="68"/>
  <c r="F12" i="68"/>
  <c r="F46" i="68"/>
  <c r="F14" i="68"/>
  <c r="F49" i="68"/>
  <c r="F142" i="68"/>
  <c r="F104" i="68"/>
  <c r="F194" i="68"/>
  <c r="F15" i="68"/>
  <c r="F17" i="68"/>
  <c r="F58" i="68"/>
  <c r="F69" i="68"/>
  <c r="F80" i="68"/>
  <c r="F64" i="68"/>
  <c r="F47" i="68"/>
  <c r="F82" i="68"/>
  <c r="F41" i="68"/>
  <c r="F59" i="68"/>
  <c r="F9" i="68"/>
  <c r="F62" i="68"/>
  <c r="F18" i="68"/>
  <c r="F65" i="68"/>
  <c r="F184" i="68"/>
  <c r="F163" i="68"/>
  <c r="F190" i="68"/>
  <c r="F63" i="68"/>
  <c r="F68" i="68"/>
  <c r="F34" i="68"/>
  <c r="F90" i="68"/>
  <c r="F74" i="68"/>
  <c r="F61" i="68"/>
  <c r="F92" i="68"/>
  <c r="F66" i="68"/>
  <c r="F13" i="68"/>
  <c r="F78" i="68"/>
  <c r="F22" i="68"/>
  <c r="F73" i="68"/>
  <c r="F161" i="68"/>
  <c r="F186" i="68"/>
  <c r="F166" i="68"/>
  <c r="F146" i="68"/>
  <c r="F50" i="68"/>
  <c r="F56" i="68"/>
  <c r="F33" i="68"/>
  <c r="F24" i="68"/>
  <c r="F100" i="68"/>
  <c r="F84" i="68"/>
  <c r="F71" i="68"/>
  <c r="F86" i="68"/>
  <c r="F60" i="68"/>
  <c r="F70" i="68"/>
  <c r="F76" i="68"/>
  <c r="F91" i="68"/>
  <c r="F94" i="68"/>
  <c r="F81" i="68"/>
  <c r="F171" i="68"/>
  <c r="F120" i="68"/>
  <c r="F107" i="68"/>
  <c r="F138" i="68"/>
  <c r="F48" i="68"/>
  <c r="F31" i="68"/>
  <c r="F25" i="68"/>
  <c r="F79" i="68"/>
  <c r="F88" i="68"/>
  <c r="F97" i="68"/>
  <c r="F67" i="68"/>
  <c r="F27" i="68"/>
  <c r="F83" i="68"/>
  <c r="F99" i="68"/>
  <c r="F19" i="68"/>
  <c r="F113" i="68"/>
  <c r="F130" i="68"/>
  <c r="F121" i="68"/>
  <c r="F185" i="68"/>
  <c r="I2" i="37" a="1"/>
  <c r="I2" i="37" s="1"/>
  <c r="C211" i="68" s="1"/>
  <c r="I2" i="31" a="1"/>
  <c r="I2" i="31" s="1"/>
  <c r="C207" i="68" s="1"/>
  <c r="I2" i="34" a="1"/>
  <c r="I2" i="34" s="1"/>
  <c r="C213" i="68" s="1"/>
  <c r="I2" i="36" a="1"/>
  <c r="I2" i="36" s="1"/>
  <c r="C210" i="68" s="1"/>
  <c r="I2" i="29" a="1"/>
  <c r="I2" i="29" s="1"/>
  <c r="C205" i="68" s="1"/>
  <c r="I2" i="32" a="1"/>
  <c r="I2" i="32" s="1"/>
  <c r="C209" i="68" s="1"/>
  <c r="I2" i="30" a="1"/>
  <c r="I2" i="30" s="1"/>
  <c r="C206" i="68" s="1"/>
  <c r="B9" i="33"/>
  <c r="B10" i="33" s="1"/>
  <c r="J8" i="33"/>
  <c r="D12" i="33"/>
  <c r="E8" i="33"/>
  <c r="D11" i="33"/>
  <c r="D10" i="33"/>
  <c r="E11" i="33"/>
  <c r="D9" i="33"/>
  <c r="E10" i="33"/>
  <c r="H11" i="33"/>
  <c r="I11" i="33" s="1"/>
  <c r="D8" i="33"/>
  <c r="E9" i="33"/>
  <c r="H10" i="33"/>
  <c r="I10" i="33" s="1"/>
  <c r="H9" i="33"/>
  <c r="I9" i="33" s="1"/>
  <c r="H8" i="33"/>
  <c r="I8" i="33" s="1"/>
  <c r="I2" i="35" a="1"/>
  <c r="I2" i="35" s="1"/>
  <c r="C208" i="68" s="1"/>
  <c r="I2" i="27" a="1"/>
  <c r="I2" i="27" s="1"/>
  <c r="C204" i="68" s="1"/>
  <c r="B9" i="66"/>
  <c r="B10" i="66" s="1"/>
  <c r="K48" i="68" l="1"/>
  <c r="B10" i="37"/>
  <c r="B11" i="37" s="1"/>
  <c r="B13" i="27"/>
  <c r="B14" i="27" s="1"/>
  <c r="B15" i="27" s="1"/>
  <c r="K47" i="68"/>
  <c r="K46" i="68"/>
  <c r="B10" i="35"/>
  <c r="K45" i="68"/>
  <c r="K43" i="68"/>
  <c r="K44" i="68"/>
  <c r="K42" i="68"/>
  <c r="I43" i="68"/>
  <c r="J43" i="68"/>
  <c r="B15" i="29"/>
  <c r="B16" i="29" s="1"/>
  <c r="K41" i="68"/>
  <c r="B16" i="27"/>
  <c r="B17" i="27" s="1"/>
  <c r="K40" i="68"/>
  <c r="I32" i="68"/>
  <c r="I27" i="68"/>
  <c r="I25" i="68"/>
  <c r="I16" i="68"/>
  <c r="I19" i="68"/>
  <c r="I17" i="68"/>
  <c r="I12" i="68"/>
  <c r="I24" i="68"/>
  <c r="I30" i="68"/>
  <c r="I36" i="68"/>
  <c r="I34" i="68"/>
  <c r="I31" i="68"/>
  <c r="I22" i="68"/>
  <c r="I28" i="68"/>
  <c r="I26" i="68"/>
  <c r="I23" i="68"/>
  <c r="I14" i="68"/>
  <c r="I20" i="68"/>
  <c r="I18" i="68"/>
  <c r="I15" i="68"/>
  <c r="I37" i="68"/>
  <c r="I10" i="68"/>
  <c r="I35" i="68"/>
  <c r="I33" i="68"/>
  <c r="K39" i="68"/>
  <c r="J16" i="68"/>
  <c r="J24" i="68"/>
  <c r="J32" i="68"/>
  <c r="J23" i="68"/>
  <c r="J17" i="68"/>
  <c r="J25" i="68"/>
  <c r="J33" i="68"/>
  <c r="J10" i="68"/>
  <c r="J18" i="68"/>
  <c r="J26" i="68"/>
  <c r="J34" i="68"/>
  <c r="J30" i="68"/>
  <c r="J31" i="68"/>
  <c r="J19" i="68"/>
  <c r="J27" i="68"/>
  <c r="J35" i="68"/>
  <c r="J15" i="68"/>
  <c r="J12" i="68"/>
  <c r="J20" i="68"/>
  <c r="J28" i="68"/>
  <c r="J36" i="68"/>
  <c r="J37" i="68"/>
  <c r="J14" i="68"/>
  <c r="J22" i="68"/>
  <c r="K38" i="68"/>
  <c r="K16" i="68"/>
  <c r="K24" i="68"/>
  <c r="K32" i="68"/>
  <c r="K23" i="68"/>
  <c r="K9" i="68"/>
  <c r="K17" i="68"/>
  <c r="K25" i="68"/>
  <c r="K33" i="68"/>
  <c r="K15" i="68"/>
  <c r="K10" i="68"/>
  <c r="K18" i="68"/>
  <c r="K26" i="68"/>
  <c r="K34" i="68"/>
  <c r="K11" i="68"/>
  <c r="K19" i="68"/>
  <c r="K27" i="68"/>
  <c r="K35" i="68"/>
  <c r="K12" i="68"/>
  <c r="K20" i="68"/>
  <c r="K28" i="68"/>
  <c r="K36" i="68"/>
  <c r="K31" i="68"/>
  <c r="K13" i="68"/>
  <c r="K21" i="68"/>
  <c r="K29" i="68"/>
  <c r="K37" i="68"/>
  <c r="K14" i="68"/>
  <c r="K22" i="68"/>
  <c r="K30" i="68"/>
  <c r="H8" i="68"/>
  <c r="B11" i="33"/>
  <c r="B12" i="33" s="1"/>
  <c r="J12" i="33"/>
  <c r="H12" i="33"/>
  <c r="I12" i="33" s="1"/>
  <c r="E12" i="33"/>
  <c r="D14" i="33"/>
  <c r="J14" i="33"/>
  <c r="H14" i="33"/>
  <c r="I14" i="33" s="1"/>
  <c r="E14" i="33"/>
  <c r="J13" i="33"/>
  <c r="H13" i="33"/>
  <c r="I13" i="33" s="1"/>
  <c r="E13" i="33"/>
  <c r="D13" i="33"/>
  <c r="B11" i="35" l="1"/>
  <c r="B17" i="29"/>
  <c r="K8" i="68"/>
  <c r="B13" i="33"/>
  <c r="B14" i="33" s="1"/>
  <c r="E15" i="33"/>
  <c r="D15" i="33"/>
  <c r="J15" i="33"/>
  <c r="H15" i="33"/>
  <c r="I15" i="33" s="1"/>
  <c r="B18" i="29" l="1"/>
  <c r="B22" i="29" s="1"/>
  <c r="B23" i="29" s="1"/>
  <c r="B12" i="35"/>
  <c r="B13" i="35" s="1"/>
  <c r="B15" i="33"/>
  <c r="B16" i="33" s="1"/>
  <c r="B17" i="33" s="1"/>
  <c r="H17" i="33"/>
  <c r="I17" i="33" s="1"/>
  <c r="E17" i="33"/>
  <c r="D17" i="33"/>
  <c r="J17" i="33"/>
  <c r="H16" i="33"/>
  <c r="I16" i="33" s="1"/>
  <c r="E16" i="33"/>
  <c r="D16" i="33"/>
  <c r="J16" i="33"/>
  <c r="B14" i="35" l="1"/>
  <c r="B18" i="33"/>
  <c r="B19" i="33" s="1"/>
  <c r="E18" i="33"/>
  <c r="J18" i="33"/>
  <c r="E19" i="33"/>
  <c r="J19" i="33"/>
  <c r="H19" i="33"/>
  <c r="I19" i="33" s="1"/>
  <c r="D19" i="33"/>
  <c r="J20" i="33"/>
  <c r="D18" i="33"/>
  <c r="H18" i="33"/>
  <c r="I18" i="33" s="1"/>
  <c r="B15" i="35" l="1"/>
  <c r="B20" i="33"/>
  <c r="H21" i="33"/>
  <c r="I21" i="33" s="1"/>
  <c r="D20" i="33"/>
  <c r="H20" i="33"/>
  <c r="I20" i="33" s="1"/>
  <c r="E20" i="33"/>
  <c r="B16" i="35" l="1"/>
  <c r="B21" i="33"/>
  <c r="J23" i="33"/>
  <c r="D21" i="33"/>
  <c r="E21" i="33"/>
  <c r="J21" i="33"/>
  <c r="B17" i="35" l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E22" i="33"/>
  <c r="D23" i="33"/>
  <c r="J22" i="33"/>
  <c r="E23" i="33"/>
  <c r="H22" i="33"/>
  <c r="I22" i="33" s="1"/>
  <c r="B22" i="33"/>
  <c r="B23" i="33" s="1"/>
  <c r="D22" i="33"/>
  <c r="H23" i="33"/>
  <c r="I23" i="33" s="1"/>
  <c r="I2" i="33" l="1" a="1"/>
  <c r="I2" i="33" s="1"/>
  <c r="C212" i="68" s="1"/>
  <c r="C226" i="68" s="1"/>
  <c r="B24" i="33"/>
  <c r="D228" i="68" l="1"/>
  <c r="D226" i="68"/>
  <c r="L97" i="68"/>
  <c r="L47" i="68"/>
  <c r="L76" i="68"/>
  <c r="L68" i="68"/>
  <c r="L50" i="68"/>
  <c r="L55" i="68"/>
  <c r="L53" i="68"/>
  <c r="L51" i="68"/>
  <c r="L65" i="68"/>
  <c r="L70" i="68"/>
  <c r="L93" i="68"/>
  <c r="L91" i="68"/>
  <c r="L60" i="68"/>
  <c r="L39" i="68"/>
  <c r="L94" i="68"/>
  <c r="L86" i="68"/>
  <c r="L84" i="68"/>
  <c r="L80" i="68"/>
  <c r="L77" i="68"/>
  <c r="L75" i="68"/>
  <c r="L74" i="68"/>
  <c r="A5" i="67"/>
  <c r="L40" i="68"/>
  <c r="L100" i="68"/>
  <c r="L92" i="68"/>
  <c r="L98" i="68"/>
  <c r="L96" i="68"/>
  <c r="L61" i="68"/>
  <c r="L59" i="68"/>
  <c r="L58" i="68"/>
  <c r="D236" i="68"/>
  <c r="L52" i="68"/>
  <c r="L46" i="68"/>
  <c r="L38" i="68"/>
  <c r="L82" i="68"/>
  <c r="L67" i="68"/>
  <c r="L88" i="68"/>
  <c r="L81" i="68"/>
  <c r="L45" i="68"/>
  <c r="L43" i="68"/>
  <c r="L89" i="68"/>
  <c r="L64" i="68"/>
  <c r="L54" i="68"/>
  <c r="L42" i="68"/>
  <c r="L63" i="68"/>
  <c r="L71" i="68"/>
  <c r="L95" i="68"/>
  <c r="L49" i="68"/>
  <c r="L62" i="68"/>
  <c r="L56" i="68"/>
  <c r="L73" i="68"/>
  <c r="L48" i="68"/>
  <c r="L44" i="68"/>
  <c r="L99" i="68"/>
  <c r="L90" i="68"/>
  <c r="L41" i="68"/>
  <c r="L69" i="68"/>
  <c r="L79" i="68"/>
  <c r="L78" i="68"/>
  <c r="L72" i="68"/>
  <c r="L66" i="68"/>
  <c r="L57" i="68"/>
  <c r="L87" i="68"/>
  <c r="L85" i="68"/>
  <c r="L83" i="68"/>
  <c r="L25" i="68"/>
  <c r="L28" i="68"/>
  <c r="L13" i="68"/>
  <c r="L15" i="68"/>
  <c r="L24" i="68"/>
  <c r="L31" i="68"/>
  <c r="L16" i="68"/>
  <c r="L37" i="68"/>
  <c r="L12" i="68"/>
  <c r="L20" i="68"/>
  <c r="L29" i="68"/>
  <c r="L17" i="68"/>
  <c r="L8" i="68"/>
  <c r="L10" i="68"/>
  <c r="L21" i="68"/>
  <c r="L35" i="68"/>
  <c r="L30" i="68"/>
  <c r="L33" i="68"/>
  <c r="L9" i="68"/>
  <c r="L36" i="68"/>
  <c r="L14" i="68"/>
  <c r="L23" i="68"/>
  <c r="L27" i="68"/>
  <c r="L34" i="68"/>
  <c r="L22" i="68"/>
  <c r="L32" i="68"/>
  <c r="L18" i="68"/>
  <c r="L19" i="68"/>
  <c r="L26" i="68"/>
  <c r="L11" i="68"/>
  <c r="D212" i="68"/>
  <c r="D205" i="68"/>
  <c r="D206" i="68"/>
  <c r="D210" i="68"/>
  <c r="D213" i="68"/>
  <c r="D204" i="68"/>
  <c r="D207" i="68"/>
  <c r="D209" i="68"/>
  <c r="D211" i="68"/>
  <c r="D208" i="68"/>
  <c r="I9" i="68" l="1"/>
  <c r="J9" i="68"/>
  <c r="I13" i="68"/>
  <c r="J13" i="68"/>
  <c r="J38" i="68"/>
  <c r="I38" i="68"/>
  <c r="J11" i="68"/>
  <c r="G5" i="67"/>
  <c r="I11" i="68"/>
  <c r="C228" i="68"/>
  <c r="I48" i="68" l="1"/>
  <c r="J48" i="68"/>
  <c r="J21" i="68"/>
  <c r="I21" i="68"/>
  <c r="J47" i="68"/>
  <c r="I47" i="68"/>
  <c r="J46" i="68"/>
  <c r="I46" i="68"/>
  <c r="I45" i="68"/>
  <c r="J45" i="68"/>
  <c r="J44" i="68"/>
  <c r="I44" i="68"/>
  <c r="I29" i="68"/>
  <c r="I42" i="68"/>
  <c r="J42" i="68"/>
  <c r="J29" i="68"/>
  <c r="I41" i="68"/>
  <c r="J41" i="68"/>
  <c r="J8" i="68"/>
  <c r="I8" i="68"/>
  <c r="I40" i="68"/>
  <c r="J40" i="68"/>
  <c r="I39" i="68"/>
  <c r="J39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8C2401D-9315-4CBC-8706-D749BFD91A76}" keepAlive="1" name="Consulta - TABELA_ATERRAMENTO" description="Conexão com a consulta 'TABELA_ATERRAMENTO' na pasta de trabalho." type="5" refreshedVersion="8" background="1" saveData="1">
    <dbPr connection="Provider=Microsoft.Mashup.OleDb.1;Data Source=$Workbook$;Location=TABELA_ATERRAMENTO;Extended Properties=&quot;&quot;" command="SELECT * FROM [TABELA_ATERRAMENTO]"/>
  </connection>
  <connection id="2" xr16:uid="{DA8DEC20-D3D3-42D7-9E1A-54C46D615E15}" keepAlive="1" name="Consulta - TABELA_CA_BT" description="Conexão com a consulta 'TABELA_CA_BT' na pasta de trabalho." type="5" refreshedVersion="8" background="1" saveData="1">
    <dbPr connection="Provider=Microsoft.Mashup.OleDb.1;Data Source=$Workbook$;Location=TABELA_CA_BT;Extended Properties=&quot;&quot;" command="SELECT * FROM [TABELA_CA_BT]"/>
  </connection>
  <connection id="3" xr16:uid="{2E8C573E-5E81-45E2-BA55-319F2A6D0A61}" keepAlive="1" name="Consulta - TABELA_CA_MT" description="Conexão com a consulta 'TABELA_CA_MT' na pasta de trabalho." type="5" refreshedVersion="8" background="1" saveData="1">
    <dbPr connection="Provider=Microsoft.Mashup.OleDb.1;Data Source=$Workbook$;Location=TABELA_CA_MT;Extended Properties=&quot;&quot;" command="SELECT * FROM [TABELA_CA_MT]"/>
  </connection>
  <connection id="4" xr16:uid="{8E72BFF9-0DAB-4053-94AE-1DA57CE0F5D5}" keepAlive="1" name="Consulta - TABELA_CERCAMENTO" description="Conexão com a consulta 'TABELA_CERCAMENTO' na pasta de trabalho." type="5" refreshedVersion="8" background="1" saveData="1">
    <dbPr connection="Provider=Microsoft.Mashup.OleDb.1;Data Source=$Workbook$;Location=TABELA_CERCAMENTO;Extended Properties=&quot;&quot;" command="SELECT * FROM [TABELA_CERCAMENTO]"/>
  </connection>
  <connection id="5" xr16:uid="{158BE70A-892A-4BB5-9BDD-84BCFE2750C3}" keepAlive="1" name="Consulta - TABELA_CFTV" description="Conexão com a consulta 'TABELA_CFTV' na pasta de trabalho." type="5" refreshedVersion="8" background="1" saveData="1">
    <dbPr connection="Provider=Microsoft.Mashup.OleDb.1;Data Source=$Workbook$;Location=TABELA_CFTV;Extended Properties=&quot;&quot;" command="SELECT * FROM [TABELA_CFTV]"/>
  </connection>
  <connection id="6" xr16:uid="{A68C2004-2179-45C4-92FD-768B96CB9FDF}" keepAlive="1" name="Consulta - TABELA_CIVIL" description="Conexão com a consulta 'TABELA_CIVIL' na pasta de trabalho." type="5" refreshedVersion="8" background="1" saveData="1">
    <dbPr connection="Provider=Microsoft.Mashup.OleDb.1;Data Source=$Workbook$;Location=TABELA_CIVIL;Extended Properties=&quot;&quot;" command="SELECT * FROM [TABELA_CIVIL]"/>
  </connection>
  <connection id="7" xr16:uid="{D0C37F51-2CB7-49D9-B434-6A29B8A10543}" keepAlive="1" name="Consulta - TABELA_DRENAGEM" description="Conexão com a consulta 'TABELA_DRENAGEM' na pasta de trabalho." type="5" refreshedVersion="8" background="1" saveData="1">
    <dbPr connection="Provider=Microsoft.Mashup.OleDb.1;Data Source=$Workbook$;Location=TABELA_DRENAGEM;Extended Properties=&quot;&quot;" command="SELECT * FROM [TABELA_DRENAGEM]"/>
  </connection>
  <connection id="8" xr16:uid="{CE7CBAC3-3FD7-4BEC-83D3-C3197EB9E41D}" keepAlive="1" name="Consulta - TABELA_GERAL" description="Conexão com a consulta 'TABELA_GERAL' na pasta de trabalho." type="5" refreshedVersion="8" background="1" saveData="1">
    <dbPr connection="Provider=Microsoft.Mashup.OleDb.1;Data Source=$Workbook$;Location=TABELA_GERAL;Extended Properties=&quot;&quot;" command="SELECT * FROM [TABELA_GERAL]"/>
  </connection>
  <connection id="9" xr16:uid="{FA2DC229-B4BE-4792-9E04-6F8FF8F61D73}" keepAlive="1" name="Consulta - TABELA_KIT_F" description="Conexão com a consulta 'TABELA_KIT_F' na pasta de trabalho." type="5" refreshedVersion="8" background="1" saveData="1">
    <dbPr connection="Provider=Microsoft.Mashup.OleDb.1;Data Source=$Workbook$;Location=TABELA_KIT_F;Extended Properties=&quot;&quot;" command="SELECT * FROM [TABELA_KIT_F]"/>
  </connection>
  <connection id="10" xr16:uid="{FABED794-ED20-4444-B65F-6F5E61792B2C}" keepAlive="1" name="Consulta - TABELA_MISCELÂNEA" description="Conexão com a consulta 'TABELA_MISCELÂNEA' na pasta de trabalho." type="5" refreshedVersion="8" background="1" saveData="1">
    <dbPr connection="Provider=Microsoft.Mashup.OleDb.1;Data Source=$Workbook$;Location=TABELA_MISCELÂNEA;Extended Properties=&quot;&quot;" command="SELECT * FROM [TABELA_MISCELÂNEA]"/>
  </connection>
  <connection id="11" xr16:uid="{164360D6-5660-45AA-B519-C15976434365}" keepAlive="1" name="Consulta - TABELA_PPCI" description="Conexão com a consulta 'TABELA_PPCI' na pasta de trabalho." type="5" refreshedVersion="8" background="1" saveData="1">
    <dbPr connection="Provider=Microsoft.Mashup.OleDb.1;Data Source=$Workbook$;Location=TABELA_PPCI;Extended Properties=&quot;&quot;" command="SELECT * FROM [TABELA_PPCI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<sst xmlns="http://schemas.openxmlformats.org/spreadsheetml/2006/main" count="21172" uniqueCount="3751">
  <si>
    <t>PROPRIETARIO:</t>
  </si>
  <si>
    <t>UC:</t>
  </si>
  <si>
    <t>ENDEREÇO:</t>
  </si>
  <si>
    <t>RESPONSÁVEL TÉCNICO:</t>
  </si>
  <si>
    <t>DADOS DO PROJETO:</t>
  </si>
  <si>
    <t>ESTRADA VICINAL RURAL, 0 - ESTÂNCIA MR, ÁREA RURAL, COLIDER - MT</t>
  </si>
  <si>
    <t>PROJETISTA:</t>
  </si>
  <si>
    <t>LISTAS QUE COMPÕEM O DOCUMENTO</t>
  </si>
  <si>
    <t>ITEM</t>
  </si>
  <si>
    <t>DESCRIÇÃO</t>
  </si>
  <si>
    <t>STATUS</t>
  </si>
  <si>
    <t>ATERRAMENTO</t>
  </si>
  <si>
    <t>CA BT</t>
  </si>
  <si>
    <t>CA MT</t>
  </si>
  <si>
    <t>CFTV</t>
  </si>
  <si>
    <t>CONTROLE DE REVISÕES</t>
  </si>
  <si>
    <t>REVISÃO-VERSÃO</t>
  </si>
  <si>
    <t>EMISSÃO</t>
  </si>
  <si>
    <t>OBSERVAÇÃO</t>
  </si>
  <si>
    <t>0-1</t>
  </si>
  <si>
    <t>KIT FOTOVOLTAICO E ESTRUTURA DE FIXAÇÃO</t>
  </si>
  <si>
    <t>CIVIL</t>
  </si>
  <si>
    <t>CERCAMENTO</t>
  </si>
  <si>
    <t>PPCI</t>
  </si>
  <si>
    <t>DRENAGEM</t>
  </si>
  <si>
    <t>DATA</t>
  </si>
  <si>
    <t>EMISSÃO INICIAL</t>
  </si>
  <si>
    <t>NOME</t>
  </si>
  <si>
    <t>RAPHAEL YUKIO KISHINO</t>
  </si>
  <si>
    <t>FABRICANTE DE REFERÊNCIA</t>
  </si>
  <si>
    <t>UN.</t>
  </si>
  <si>
    <t>QTD.</t>
  </si>
  <si>
    <t>OBS.</t>
  </si>
  <si>
    <t>DATA DE ATUALIZAÇÃO</t>
  </si>
  <si>
    <t>NÃO ENCONTRADO</t>
  </si>
  <si>
    <t>HIKVISION</t>
  </si>
  <si>
    <t>un.</t>
  </si>
  <si>
    <t>-</t>
  </si>
  <si>
    <t>12/2024</t>
  </si>
  <si>
    <t>ABRAÇADEIRA</t>
  </si>
  <si>
    <t>AÇO CA</t>
  </si>
  <si>
    <t>kg</t>
  </si>
  <si>
    <t>AR CONDICIONADO</t>
  </si>
  <si>
    <t>CODIGO SINAPI</t>
  </si>
  <si>
    <t>m</t>
  </si>
  <si>
    <t>TPLINK</t>
  </si>
  <si>
    <t>ARRUELA</t>
  </si>
  <si>
    <t>BRITA</t>
  </si>
  <si>
    <t>m³</t>
  </si>
  <si>
    <t>PREÇO MÉDIO R$</t>
  </si>
  <si>
    <t>CABINE MEDIÇÃO</t>
  </si>
  <si>
    <t>ROMAGNOLE</t>
  </si>
  <si>
    <t>CORFIO</t>
  </si>
  <si>
    <t>LEGRAND</t>
  </si>
  <si>
    <t>MPT</t>
  </si>
  <si>
    <t>INDUSCABO</t>
  </si>
  <si>
    <t>CAIXA DE INSPEÇÃO</t>
  </si>
  <si>
    <t>CAIXA DE PASSAGEM</t>
  </si>
  <si>
    <t>ARTEFATOS DE CONCRETO CONFIANÇA</t>
  </si>
  <si>
    <t>IN LOCO</t>
  </si>
  <si>
    <t>CONCRETO</t>
  </si>
  <si>
    <t>t</t>
  </si>
  <si>
    <t>CONDULETE</t>
  </si>
  <si>
    <t>TRILHO</t>
  </si>
  <si>
    <t>TINTA</t>
  </si>
  <si>
    <t>L</t>
  </si>
  <si>
    <t>WEG</t>
  </si>
  <si>
    <t>TERMINAL</t>
  </si>
  <si>
    <t>TOMADA</t>
  </si>
  <si>
    <t>TRANSFORMADOR</t>
  </si>
  <si>
    <t>CAPACITOR</t>
  </si>
  <si>
    <t>CENTRO DE MEDIÇÃO</t>
  </si>
  <si>
    <t>CINTA PARA FIXAÇÃO</t>
  </si>
  <si>
    <t>COBRE</t>
  </si>
  <si>
    <t>CRUZETA DE CONCRETO</t>
  </si>
  <si>
    <t>DISJUNTOR</t>
  </si>
  <si>
    <t>CAIXA DE DERIVAÇÃO</t>
  </si>
  <si>
    <t>CAIXA DE PROTEÇÃO</t>
  </si>
  <si>
    <t>CAIXA DE MEDIÇÃO</t>
  </si>
  <si>
    <t>DISPOSITIVO DPS</t>
  </si>
  <si>
    <t>ELETRODUTO</t>
  </si>
  <si>
    <t>PLASTIBRAS</t>
  </si>
  <si>
    <t>EXTINTOR DE INCENDIO</t>
  </si>
  <si>
    <t>CLAMPER</t>
  </si>
  <si>
    <t>FUSIVEL</t>
  </si>
  <si>
    <t>FITA</t>
  </si>
  <si>
    <t>INTERRUPTOR</t>
  </si>
  <si>
    <t>HASTE DE ATERRAMENTO</t>
  </si>
  <si>
    <t>GRAMPO METALICO</t>
  </si>
  <si>
    <t>cento</t>
  </si>
  <si>
    <t>BUCHA EM ALUMÍNIO</t>
  </si>
  <si>
    <t>PEDRA DE MÃO</t>
  </si>
  <si>
    <t>PARAFUSO</t>
  </si>
  <si>
    <t>PORCA</t>
  </si>
  <si>
    <t>POSTE</t>
  </si>
  <si>
    <t>ISOLADOR DE PORCELANA</t>
  </si>
  <si>
    <t>NOBREAK</t>
  </si>
  <si>
    <t>PERFILADO</t>
  </si>
  <si>
    <t>PLACA DE SINALIZAÇÃO</t>
  </si>
  <si>
    <t>RELÉ</t>
  </si>
  <si>
    <t>m²</t>
  </si>
  <si>
    <t>SUMAY</t>
  </si>
  <si>
    <t>TPK 352 E OU SIMILAR</t>
  </si>
  <si>
    <t>pacote</t>
  </si>
  <si>
    <t>SEAGATE</t>
  </si>
  <si>
    <t>SOPRANO</t>
  </si>
  <si>
    <t>TERZIAN</t>
  </si>
  <si>
    <t>TPK 01 E - KIT OU SIMILAR</t>
  </si>
  <si>
    <t>TPK 01 I - KIT OU SIMILAR</t>
  </si>
  <si>
    <t>LACERDA</t>
  </si>
  <si>
    <t>BSE PAINEIS</t>
  </si>
  <si>
    <t>ELLOS</t>
  </si>
  <si>
    <t>BLUTRAFOS SOLAR</t>
  </si>
  <si>
    <t>LONA PLÁSTICA</t>
  </si>
  <si>
    <t>CONECTOR</t>
  </si>
  <si>
    <t>ELETROCALHA</t>
  </si>
  <si>
    <t>MUFLA</t>
  </si>
  <si>
    <t>MOURÃO</t>
  </si>
  <si>
    <t>ESPAÇADOR</t>
  </si>
  <si>
    <t>PORTÃO</t>
  </si>
  <si>
    <t>PRENSA CABO</t>
  </si>
  <si>
    <t>PAINEL/QUADRO</t>
  </si>
  <si>
    <t>ILUMINAÇÃO</t>
  </si>
  <si>
    <t>BEP</t>
  </si>
  <si>
    <t>ESTRUTURAL</t>
  </si>
  <si>
    <t>CAIXA OCTOGONAL</t>
  </si>
  <si>
    <t>SKID SOLAR</t>
  </si>
  <si>
    <t>CAIXA DE INCENDIO</t>
  </si>
  <si>
    <t>CABO</t>
  </si>
  <si>
    <t>CAMPAINHA DE INCENDIO</t>
  </si>
  <si>
    <t>PDA</t>
  </si>
  <si>
    <t>MISCELÂNEA</t>
  </si>
  <si>
    <t>TELA ALAMBRADO</t>
  </si>
  <si>
    <t>UFV:</t>
  </si>
  <si>
    <t>DATA EMISSÃO:</t>
  </si>
  <si>
    <t>LISTA DE MATERIAL</t>
  </si>
  <si>
    <t>LONGI</t>
  </si>
  <si>
    <t>SOLAREDGE</t>
  </si>
  <si>
    <t>MÓDULO FOTOVOLTAICO</t>
  </si>
  <si>
    <t>OTIMIZADOR DE POTÊNCIA</t>
  </si>
  <si>
    <t>INVERSOR DE POTÊNCIA</t>
  </si>
  <si>
    <t>MARCAÇÃO A MERCADO</t>
  </si>
  <si>
    <t>QUANTIDADE</t>
  </si>
  <si>
    <t>GERAL</t>
  </si>
  <si>
    <t>VALOR TOTAL R$</t>
  </si>
  <si>
    <t>VALOR FINAL:</t>
  </si>
  <si>
    <t>AÇO INOX - M10</t>
  </si>
  <si>
    <t>AÇO INOX - M12</t>
  </si>
  <si>
    <t>AÇO INOX - M8</t>
  </si>
  <si>
    <t>AÇO INOX - M6</t>
  </si>
  <si>
    <t>ARRUELA:</t>
  </si>
  <si>
    <t>ARRUELA DE PRESSÃO:</t>
  </si>
  <si>
    <t>PARAFUSO:</t>
  </si>
  <si>
    <t>PORCA:</t>
  </si>
  <si>
    <t/>
  </si>
  <si>
    <t>TIPOS DE MISCELÂNEAS</t>
  </si>
  <si>
    <t>CHECKBOX</t>
  </si>
  <si>
    <t>FAMÍLIA</t>
  </si>
  <si>
    <t>SUB-FAMÍLIA</t>
  </si>
  <si>
    <t>0</t>
  </si>
  <si>
    <t>ANO-Pnum-LI-GP-001-100-ATM-000</t>
  </si>
  <si>
    <t>UFV XXXXX</t>
  </si>
  <si>
    <t>NÃO INICIADA</t>
  </si>
  <si>
    <t>FAMÍLIA:</t>
  </si>
  <si>
    <t>NÍVEIS</t>
  </si>
  <si>
    <t>RUIM</t>
  </si>
  <si>
    <t>REGULAR</t>
  </si>
  <si>
    <t>BOM</t>
  </si>
  <si>
    <t>EXCELENTE</t>
  </si>
  <si>
    <t>ANÁLISE DE GASTOS POR FAMÍLIA (%)</t>
  </si>
  <si>
    <t>ANÁLISES DE DADOS</t>
  </si>
  <si>
    <t>RECEITA BRUTA</t>
  </si>
  <si>
    <t>GANHOS LÍQUIDOS</t>
  </si>
  <si>
    <t>VALOR REAL</t>
  </si>
  <si>
    <t>VALOR ALVO</t>
  </si>
  <si>
    <t>ANÁLISE DE GASTOS POR FAMÍLIA (R$)</t>
  </si>
  <si>
    <t>ANÁLISE DE GASTOS POR PRODUTO (R$)</t>
  </si>
  <si>
    <t>ANÁLISE DE GASTOS POR PRODUTO (%)</t>
  </si>
  <si>
    <t>FAMÍLIA E SUB-FAMÍLIA</t>
  </si>
  <si>
    <t>VALOR TOTAL (R$)</t>
  </si>
  <si>
    <t>ANÁLISE DE GASTOS POR FAMÍLIA</t>
  </si>
  <si>
    <t>GASTOS POR PRODUTO (R$)</t>
  </si>
  <si>
    <t>ANÁLISE DE GASTOS POR PRODUTO</t>
  </si>
  <si>
    <t>ACOMPANHAMENTO ORÇAMENTÁRIO DE GANHOS</t>
  </si>
  <si>
    <t>ACOMPANHAMENTO ORÇAMENTÁRIO DE DESPESAS</t>
  </si>
  <si>
    <t>GASTOS</t>
  </si>
  <si>
    <t>POTÊNCIA ATIVA (kW)</t>
  </si>
  <si>
    <t>POTÊNCIA MÁXIMA (kWp)</t>
  </si>
  <si>
    <t>CUSTO EM RELAÇÃO A CAPACIDADE DE GERAÇÃO (MM/kWp)</t>
  </si>
  <si>
    <t>VELOCÍMETRO</t>
  </si>
  <si>
    <t>VALOR (%)</t>
  </si>
  <si>
    <t>VALOR (R$)</t>
  </si>
  <si>
    <t>MUITO RUIM</t>
  </si>
  <si>
    <t>MUITO BOM</t>
  </si>
  <si>
    <t>PONTEIRO</t>
  </si>
  <si>
    <t>COMPLEMENTO</t>
  </si>
  <si>
    <t>CAPACIDADE DE GERAÇÃO</t>
  </si>
  <si>
    <t>CUSTO ESTIMADO DO PROJETO (R$)</t>
  </si>
  <si>
    <t>DESPESAS  ESTIMADAS  (R$)</t>
  </si>
  <si>
    <t>VALOR ESTIMADO DO PROJETO (R$)</t>
  </si>
  <si>
    <t>DESPESAS TOTAIS (R$)</t>
  </si>
  <si>
    <t>RECEITA BRUTA (R$)</t>
  </si>
  <si>
    <t>GANHOS LÍQUIDOS (R$)</t>
  </si>
  <si>
    <t>09/12/2025</t>
  </si>
  <si>
    <t>Curva Galvanizada Eletrolítica 135° Eletrodutos Galvanizados de 3/4"</t>
  </si>
  <si>
    <t>10/12/2025</t>
  </si>
  <si>
    <t>SIL</t>
  </si>
  <si>
    <t>SINAPI 2024</t>
  </si>
  <si>
    <t>TF-10-L - Intelli</t>
  </si>
  <si>
    <t>TF-10-L-6 - Intelli</t>
  </si>
  <si>
    <t>TF-16-L - Intelli</t>
  </si>
  <si>
    <t>CONDEX</t>
  </si>
  <si>
    <t>FONTE DO PREÇO MÉDIO</t>
  </si>
  <si>
    <t>TF-16-L-8 - Intelli</t>
  </si>
  <si>
    <t>TF-25-L - Intelli</t>
  </si>
  <si>
    <t>TF-35-L - Intelli</t>
  </si>
  <si>
    <t>TF-35-L-10 - Intelli</t>
  </si>
  <si>
    <t>TF-50-L-6 - Intelli</t>
  </si>
  <si>
    <t>TF-50-L - Intelli</t>
  </si>
  <si>
    <t>TF-50-L-10 - Intelli</t>
  </si>
  <si>
    <t>TF-50-L-13 - Intelli</t>
  </si>
  <si>
    <t xml:space="preserve"> TF-70-L - Intelli</t>
  </si>
  <si>
    <t>TF-70-L-10 - Intelli</t>
  </si>
  <si>
    <t>TF-95-L-10 - Intelli</t>
  </si>
  <si>
    <t>TF-185-L - Intelli</t>
  </si>
  <si>
    <t>TF-150-L - Intelli</t>
  </si>
  <si>
    <t>TF-120-L-10 - Intelli</t>
  </si>
  <si>
    <t>TF-120-L - Intelli</t>
  </si>
  <si>
    <t>TF-95-L - Intelli</t>
  </si>
  <si>
    <t>TF-70-L-8 - Intelli</t>
  </si>
  <si>
    <t>TF-240-L - Intelli</t>
  </si>
  <si>
    <t>TF-300-L - Intelli</t>
  </si>
  <si>
    <t>TF-400-L - Intelli</t>
  </si>
  <si>
    <t>TF-500-L - Intelli</t>
  </si>
  <si>
    <t>DIVERSOS</t>
  </si>
  <si>
    <t>TEL-934</t>
  </si>
  <si>
    <t>TEL-935</t>
  </si>
  <si>
    <t>TEL-930</t>
  </si>
  <si>
    <t>TEL-931</t>
  </si>
  <si>
    <t>TEL-932</t>
  </si>
  <si>
    <t>TEL-933</t>
  </si>
  <si>
    <t>TEL-936</t>
  </si>
  <si>
    <t>11/12/2025</t>
  </si>
  <si>
    <t>KAPPLAN ENERGY</t>
  </si>
  <si>
    <t>TEL-3570</t>
  </si>
  <si>
    <t>TEL-3571</t>
  </si>
  <si>
    <t>TEL-3470</t>
  </si>
  <si>
    <t>TEL-5870</t>
  </si>
  <si>
    <t>TEL-7012</t>
  </si>
  <si>
    <t>TEL-1212</t>
  </si>
  <si>
    <t>TEL-1235</t>
  </si>
  <si>
    <t>TEL-3572</t>
  </si>
  <si>
    <t>TEL-3575</t>
  </si>
  <si>
    <t>TEL-3576</t>
  </si>
  <si>
    <t>TEL-3577</t>
  </si>
  <si>
    <t>TF-16 - Intelli</t>
  </si>
  <si>
    <t>TF-6 - Intelli</t>
  </si>
  <si>
    <t>TF-10 - Intelli</t>
  </si>
  <si>
    <t>TF-25 - Intelli</t>
  </si>
  <si>
    <t>TF-35 - Intelli</t>
  </si>
  <si>
    <t>TF-50 - Intelli</t>
  </si>
  <si>
    <t>TF-70 - Intelli</t>
  </si>
  <si>
    <t>TF-95 - Intelli</t>
  </si>
  <si>
    <t>TF-120 - Intelli</t>
  </si>
  <si>
    <t>TF-150 - Intelli</t>
  </si>
  <si>
    <t>TF-185 - Intelli</t>
  </si>
  <si>
    <t>TF-240 - Intelli</t>
  </si>
  <si>
    <t>TF-300 - Intelli</t>
  </si>
  <si>
    <t>TF-400 - Intelli</t>
  </si>
  <si>
    <t>TF-500 - Intelli</t>
  </si>
  <si>
    <t>TF-6-6 - Intelli</t>
  </si>
  <si>
    <t>TF-10-6 - Intelli</t>
  </si>
  <si>
    <t>TF-10-8 - Intelli</t>
  </si>
  <si>
    <t>TF-16-6 - Intelli</t>
  </si>
  <si>
    <t>TF-16-8 - Intelli</t>
  </si>
  <si>
    <t>TF-25-5 - Intelli</t>
  </si>
  <si>
    <t>TF-25-8 - Intelli</t>
  </si>
  <si>
    <t>TF-25-10 - Intelli</t>
  </si>
  <si>
    <t>TF-35-6 - Intelli</t>
  </si>
  <si>
    <t>TF-35-10 - Intelli</t>
  </si>
  <si>
    <t>TF-50-6 - Intelli</t>
  </si>
  <si>
    <t>TF-50-8 - Intelli</t>
  </si>
  <si>
    <t>TF-50-13 - Intelli</t>
  </si>
  <si>
    <t>TF-70-8 - Intelli</t>
  </si>
  <si>
    <t>TF-70-13 - Intelli</t>
  </si>
  <si>
    <t>TF-95-8 - Intelli</t>
  </si>
  <si>
    <t>TF-95-13 - Intelli</t>
  </si>
  <si>
    <t>TF-120-13 - Intelli</t>
  </si>
  <si>
    <t>TF-150-10 - Intelli</t>
  </si>
  <si>
    <t>TF-185-10 - Intelli</t>
  </si>
  <si>
    <t>TF-240-10 - Intelli</t>
  </si>
  <si>
    <t>TF-300-13 - Intelli</t>
  </si>
  <si>
    <t>TF-400-13 - Intelli</t>
  </si>
  <si>
    <t>TM-2,5 - Intelli</t>
  </si>
  <si>
    <t>TM-2,5-6 - Intelli</t>
  </si>
  <si>
    <t>TM-6 - Intelli</t>
  </si>
  <si>
    <t>TM-6-6 - Intelli</t>
  </si>
  <si>
    <t>TM-10 - Intelli</t>
  </si>
  <si>
    <t>TM-10-6 - Intelli</t>
  </si>
  <si>
    <t>TM-10-8 - Intelli</t>
  </si>
  <si>
    <t>TM-16 - Intelli</t>
  </si>
  <si>
    <t>TM-16-6 - Intelli</t>
  </si>
  <si>
    <t>TM-16-8 - Intelli</t>
  </si>
  <si>
    <t>TM-25-5 - Intelli</t>
  </si>
  <si>
    <t>TM-25 - Intelli</t>
  </si>
  <si>
    <t>TM-25-8 - Intelli</t>
  </si>
  <si>
    <t>TM-25-10 - Intelli</t>
  </si>
  <si>
    <t>TM-35-6 - Intelli</t>
  </si>
  <si>
    <t>TM-35 - Intelli</t>
  </si>
  <si>
    <t>TM-35-10 - Intelli</t>
  </si>
  <si>
    <t>TM-50-6 - Intelli</t>
  </si>
  <si>
    <t>TM-50-8 - Intelli</t>
  </si>
  <si>
    <t>TM-50 - Intelli</t>
  </si>
  <si>
    <t>TM-50-13 - Intelli</t>
  </si>
  <si>
    <t>TM-70-8 - Intelli</t>
  </si>
  <si>
    <t>TM-70 - Intelli</t>
  </si>
  <si>
    <t>TM-70-13 - Intelli</t>
  </si>
  <si>
    <t>TM-95-8 - Intelli</t>
  </si>
  <si>
    <t>TM-95 - Intelli</t>
  </si>
  <si>
    <t>TM-95-13 - Intelli</t>
  </si>
  <si>
    <t>TM-120 - Intelli</t>
  </si>
  <si>
    <t>TM-120-13 - Intelli</t>
  </si>
  <si>
    <t>TM-150-10 - Intelli</t>
  </si>
  <si>
    <t>TM-150 - Intelli</t>
  </si>
  <si>
    <t>TM-185-10 - Intelli</t>
  </si>
  <si>
    <t>TM-185 - Intelli</t>
  </si>
  <si>
    <t>TM-240-10 - Intelli</t>
  </si>
  <si>
    <t>TM-240 - Intelli</t>
  </si>
  <si>
    <t>TM-300-13 - Intelli</t>
  </si>
  <si>
    <t>TM-300 - Intelli</t>
  </si>
  <si>
    <t>TM-400-13 - Intelli</t>
  </si>
  <si>
    <t>TM-400 - Intelli</t>
  </si>
  <si>
    <t>TM-500 - Intelli</t>
  </si>
  <si>
    <t>TM-630 - Intelli</t>
  </si>
  <si>
    <t>Copel</t>
  </si>
  <si>
    <t>TF-70-2 - Intelli</t>
  </si>
  <si>
    <t>TF-10-2 - Intelli</t>
  </si>
  <si>
    <t>TF-16-2 - Intelli</t>
  </si>
  <si>
    <t>TF-25-2 - Intelli</t>
  </si>
  <si>
    <t>TF-35-2 - Intelli</t>
  </si>
  <si>
    <t>TF-50-2 - Intelli</t>
  </si>
  <si>
    <t>TF-95-2 - Intelli</t>
  </si>
  <si>
    <t>TF-120-2 - Intelli</t>
  </si>
  <si>
    <t>TF-150-2 - Intelli</t>
  </si>
  <si>
    <t>TF-185-2 - Intelli</t>
  </si>
  <si>
    <t>TF-240-2 - Intelli</t>
  </si>
  <si>
    <t>TF-300-2 - Intelli</t>
  </si>
  <si>
    <t>TF-400-2 - Intelli</t>
  </si>
  <si>
    <t>TF-500-2 - Intelli</t>
  </si>
  <si>
    <t>TF-10-2L - Intelli</t>
  </si>
  <si>
    <t>TF-16-2L-5 - Intelli</t>
  </si>
  <si>
    <t>TF-16-2L - Intelli</t>
  </si>
  <si>
    <t>TF-25-2L-5 - Intelli</t>
  </si>
  <si>
    <t>TF-25-2L - Intelli</t>
  </si>
  <si>
    <t>TF-25-2L-8 - Intelli</t>
  </si>
  <si>
    <t>TF-35-2L - Intelli</t>
  </si>
  <si>
    <t>TF-35-2L-6 - Intelli</t>
  </si>
  <si>
    <t>TF-35-2L-10 - Intelli</t>
  </si>
  <si>
    <t>TF-50-2L-6 - Intelli</t>
  </si>
  <si>
    <t>TF-50-2L - Intelli</t>
  </si>
  <si>
    <t>TF-50-2L-10 - Intelli</t>
  </si>
  <si>
    <t>TF-70-2L - Intelli</t>
  </si>
  <si>
    <t>TF-95-2L-10 - Intelli</t>
  </si>
  <si>
    <t>TF-95-2L - Intelli</t>
  </si>
  <si>
    <t>TF-120-2L-10 - Intelli</t>
  </si>
  <si>
    <t>TF-120-2L - Intelli</t>
  </si>
  <si>
    <t>TF-150-2L - Intelli</t>
  </si>
  <si>
    <t>TF-185-2L-10 - Intelli</t>
  </si>
  <si>
    <t>TF-185-2L - Intelli</t>
  </si>
  <si>
    <t>TF-240-2L - Intelli</t>
  </si>
  <si>
    <t>TF-300-2L - Intelli</t>
  </si>
  <si>
    <t>TF-400-2L - Intelli</t>
  </si>
  <si>
    <t>TF-500-2L - Intelli</t>
  </si>
  <si>
    <t>TM-10-2 - Intelli</t>
  </si>
  <si>
    <t>TM-16-2 - Intelli</t>
  </si>
  <si>
    <t>TM-25-2 - Intelli</t>
  </si>
  <si>
    <t>TM-35-2 - Intelli</t>
  </si>
  <si>
    <t>TM-50-2 - Intelli</t>
  </si>
  <si>
    <t>TM-70-2 - Intelli</t>
  </si>
  <si>
    <t>TM-95-2 - Intelli</t>
  </si>
  <si>
    <t>TM-120-2 - Intelli</t>
  </si>
  <si>
    <t>TM-150-2 - Intelli</t>
  </si>
  <si>
    <t>TM-185-2 - Intelli</t>
  </si>
  <si>
    <t>TM-240-2 - Intelli</t>
  </si>
  <si>
    <t>TM-300-2 - Intelli</t>
  </si>
  <si>
    <t>TM-400-2 - Intelli</t>
  </si>
  <si>
    <t>TM-500-2 - Intelli</t>
  </si>
  <si>
    <t>TM-630-2 - Intelli</t>
  </si>
  <si>
    <t>TM-10-2L - Intelli</t>
  </si>
  <si>
    <t>TM-16-2L - Intelli</t>
  </si>
  <si>
    <t>TM-25-2L - Intelli</t>
  </si>
  <si>
    <t>TM-35-2L - Intelli</t>
  </si>
  <si>
    <t>TM-50-2L - Intelli</t>
  </si>
  <si>
    <t>TM-70-2L - Intelli</t>
  </si>
  <si>
    <t>TM-95-2L - Intelli</t>
  </si>
  <si>
    <t>TM-120-2L - Intelli</t>
  </si>
  <si>
    <t>TM-150-2L - Intelli</t>
  </si>
  <si>
    <t>TM-185-2L - Intelli</t>
  </si>
  <si>
    <t>TM-240-2L - Intelli</t>
  </si>
  <si>
    <t>TM-300-2L - Intelli</t>
  </si>
  <si>
    <t>TM-400-2L - Intelli</t>
  </si>
  <si>
    <t>TM-500-2L - Intelli</t>
  </si>
  <si>
    <t>TM-630-2L - Intelli</t>
  </si>
  <si>
    <t>TEL-541</t>
  </si>
  <si>
    <t>TEL-1580</t>
  </si>
  <si>
    <t>PF-50 - Intelli</t>
  </si>
  <si>
    <t>PF-10 - Intelli</t>
  </si>
  <si>
    <t>PF-16 - Intelli</t>
  </si>
  <si>
    <t>PF-25 - Intelli</t>
  </si>
  <si>
    <t>PF-35 - Intelli</t>
  </si>
  <si>
    <t>PF-70 - Intelli</t>
  </si>
  <si>
    <t>PF-95 - Intelli</t>
  </si>
  <si>
    <t>PF-120 - Intelli</t>
  </si>
  <si>
    <t>PF-150 - Intelli</t>
  </si>
  <si>
    <t>PF-185 - Intelli</t>
  </si>
  <si>
    <t>PF-240 - Intelli</t>
  </si>
  <si>
    <t>TM-10-L - Intelli</t>
  </si>
  <si>
    <t>TM-10-L-6 - Intelli</t>
  </si>
  <si>
    <t>TM-16-L - Intelli</t>
  </si>
  <si>
    <t>TM-16-L-8 - Intelli</t>
  </si>
  <si>
    <t>TM-25-L - Intelli</t>
  </si>
  <si>
    <t>TM-25-L-10 - Intelli</t>
  </si>
  <si>
    <t>TM-35-L - Intelli</t>
  </si>
  <si>
    <t>TM-35-L-10 - Intelli</t>
  </si>
  <si>
    <t>TM-50-L - Intelli</t>
  </si>
  <si>
    <t>TM-50-L-10 - Intelli</t>
  </si>
  <si>
    <t>TM-50-L-13 - Intelli</t>
  </si>
  <si>
    <t>TM-70-L - Intelli</t>
  </si>
  <si>
    <t>TM-70-L-10 - Intelli</t>
  </si>
  <si>
    <t>TM-70-L-8 - Intelli</t>
  </si>
  <si>
    <t>TM-95-L-10 - Intelli</t>
  </si>
  <si>
    <t>TM-95-L - Intelli</t>
  </si>
  <si>
    <t>TM-120-L-10 - Intelli</t>
  </si>
  <si>
    <t>TM-120-L - Intelli</t>
  </si>
  <si>
    <t>TM-150-L - Intelli</t>
  </si>
  <si>
    <t>TM-185-L - Intelli</t>
  </si>
  <si>
    <t>TM-240-L - Intelli</t>
  </si>
  <si>
    <t>TM-300-L - Intelli</t>
  </si>
  <si>
    <t>TM-400-L - Intelli</t>
  </si>
  <si>
    <t>TM-500-L - Intelli</t>
  </si>
  <si>
    <t>TM-630-L - Intelli</t>
  </si>
  <si>
    <t>TCF-16-2 - Intelli</t>
  </si>
  <si>
    <t>TCF-25-2 - Intelli</t>
  </si>
  <si>
    <t>TCF-35-2 - Intelli</t>
  </si>
  <si>
    <t>TCF-50-2 - Intelli</t>
  </si>
  <si>
    <t>TCF-70-2 - Intelli</t>
  </si>
  <si>
    <t>TCF-95-2 - Intelli</t>
  </si>
  <si>
    <t>TBB-10-25 - Intelli</t>
  </si>
  <si>
    <t>TBPC-16-20 - Intelli</t>
  </si>
  <si>
    <t>TBPC-25-20 - Intelli</t>
  </si>
  <si>
    <t>TBPC-35-20 - Intelli</t>
  </si>
  <si>
    <t>TBPC-50-20 - Intelli</t>
  </si>
  <si>
    <t>TBPC-70-20 - Intelli</t>
  </si>
  <si>
    <t>TBTA-16-10 - Intelli</t>
  </si>
  <si>
    <t>TBTA-25-10 - Intelli</t>
  </si>
  <si>
    <t>TBTA-35-8 - Intelli</t>
  </si>
  <si>
    <t>TBTA-35-13 - Intelli</t>
  </si>
  <si>
    <t>TBTA-50-13 - Intelli</t>
  </si>
  <si>
    <t>TBTA-70-10 - Intelli</t>
  </si>
  <si>
    <t>TBTA-70-13 - Intelli</t>
  </si>
  <si>
    <t>TBTA-95-13 - Intelli</t>
  </si>
  <si>
    <t>TBTA-120-10 - Intelli</t>
  </si>
  <si>
    <t>TBTA-120-13 - Intelli</t>
  </si>
  <si>
    <t>TBTA-150-10 - Intelli</t>
  </si>
  <si>
    <t>TBTA-150-13 - Intelli</t>
  </si>
  <si>
    <t>TBTA-185-10 - Intelli</t>
  </si>
  <si>
    <t>TBTA-185-13 - Intelli</t>
  </si>
  <si>
    <t>TBTA-240-10 - Intelli</t>
  </si>
  <si>
    <t>TBTA-240-13 - Intelli</t>
  </si>
  <si>
    <t>TBTA-300-10 - Intelli</t>
  </si>
  <si>
    <t>TBTA-300-13 - Intelli</t>
  </si>
  <si>
    <t>TBTA-400-10 - Intelli</t>
  </si>
  <si>
    <t>TBTA-400-13 - Intelli</t>
  </si>
  <si>
    <t>TBTA-500-13 - Intelli</t>
  </si>
  <si>
    <t>TBTA-35-10 - Intelli</t>
  </si>
  <si>
    <t>TPAM-50 - Intelli</t>
  </si>
  <si>
    <t>TPAM-70 - Intelli</t>
  </si>
  <si>
    <t>TPAM-120 - Intelli</t>
  </si>
  <si>
    <t>TPAM-150 - Intelli</t>
  </si>
  <si>
    <t>TPAM-185 - Intelli</t>
  </si>
  <si>
    <t>TPAM-300 - Intelli</t>
  </si>
  <si>
    <t>TA-6 - Intelli</t>
  </si>
  <si>
    <t>TA-10 - Intelli</t>
  </si>
  <si>
    <t>TA-16 - Intelli</t>
  </si>
  <si>
    <t>TA-25 - Intelli</t>
  </si>
  <si>
    <t>TA-35 - Intelli</t>
  </si>
  <si>
    <t>TA-50 - Intelli</t>
  </si>
  <si>
    <t>TA-70 - Intelli</t>
  </si>
  <si>
    <t>TA-95 - Intelli</t>
  </si>
  <si>
    <t>TA-120 - Intelli</t>
  </si>
  <si>
    <t>TA-150 - Intelli</t>
  </si>
  <si>
    <t>TA-185 - Intelli</t>
  </si>
  <si>
    <t>TA-240 - Intelli</t>
  </si>
  <si>
    <t>TA-300 - Intelli</t>
  </si>
  <si>
    <t>TA-400 - Intelli</t>
  </si>
  <si>
    <t>TA-500 - Intelli</t>
  </si>
  <si>
    <t>CTRB-6-636-2N - Intelli</t>
  </si>
  <si>
    <t>CTRB-6-636-4N - Intelli</t>
  </si>
  <si>
    <t>TTBC-4-1/0-2N - Intelli</t>
  </si>
  <si>
    <t>TTBC-2/0-4/0-2N - Intelli</t>
  </si>
  <si>
    <t>TTBC-250-500-2N - Intelli</t>
  </si>
  <si>
    <t>TTBC-250-500-4N - Intelli</t>
  </si>
  <si>
    <t>TTBC-500-800-2N - Intelli</t>
  </si>
  <si>
    <t>TTBC-500-800-4N - Intelli</t>
  </si>
  <si>
    <t>CTRA-6-636-2N - Intelli</t>
  </si>
  <si>
    <t>CTRA-6-636-4N - Intelli</t>
  </si>
  <si>
    <t>TTAC-4-1/0-2N - Intelli</t>
  </si>
  <si>
    <t>TTAC-1/0-250-2N - Intelli</t>
  </si>
  <si>
    <t>TTAC-1/0-250-4N - Intelli</t>
  </si>
  <si>
    <t>TTAC-250-400-2N - Intelli</t>
  </si>
  <si>
    <t>TTAC-250-400-4N - Intelli</t>
  </si>
  <si>
    <t>TTAC-350-600-2N - Intelli</t>
  </si>
  <si>
    <t>TTAC-350-600-4N - Intelli</t>
  </si>
  <si>
    <t>TTAC-600-900-2N - Intelli</t>
  </si>
  <si>
    <t>TTAC-600-900-4N - Intelli</t>
  </si>
  <si>
    <t>15/12/2025</t>
  </si>
  <si>
    <t>META</t>
  </si>
  <si>
    <t>TUBOLAR</t>
  </si>
  <si>
    <t>CAIXA DE SOBREPOR</t>
  </si>
  <si>
    <t>Caixa Sobrepor 1 Módulo Branco</t>
  </si>
  <si>
    <t>Caixa Sobrepor 2 Módulos Branco</t>
  </si>
  <si>
    <t>Miluz - Schneider</t>
  </si>
  <si>
    <t>LizFlex - Tramontina</t>
  </si>
  <si>
    <t>PRONTAX</t>
  </si>
  <si>
    <t>TAB-10 - Intelli</t>
  </si>
  <si>
    <t>TAB-14 - Intelli</t>
  </si>
  <si>
    <t>TAB-20 - Intelli</t>
  </si>
  <si>
    <t>TAC-4/0-2N - Intelli</t>
  </si>
  <si>
    <t>TAC-336,4-2N - Intelli</t>
  </si>
  <si>
    <t>TAC-4/0-4N - Intelli</t>
  </si>
  <si>
    <t>TAC-336,4-4N - Intelli</t>
  </si>
  <si>
    <t>TABA-13-2N - Intelli</t>
  </si>
  <si>
    <t>TPT-10-6 - Intelli</t>
  </si>
  <si>
    <t>TPT-10-8 - Intelli</t>
  </si>
  <si>
    <t>TPT-16-6 - Intelli</t>
  </si>
  <si>
    <t>TPT-16-8 - Intelli</t>
  </si>
  <si>
    <t>TPT-25-6 - Intelli</t>
  </si>
  <si>
    <t>TPT-25-8 - Intelli</t>
  </si>
  <si>
    <t>TPT-25-10 - Intelli</t>
  </si>
  <si>
    <t>TPT-35-6 - Intelli</t>
  </si>
  <si>
    <t>TPT-35-8 - Intelli</t>
  </si>
  <si>
    <t>TPT-35-10 - Intelli</t>
  </si>
  <si>
    <t>TPT-50-6 - Intelli</t>
  </si>
  <si>
    <t>TPT-50-8 - Intelli</t>
  </si>
  <si>
    <t>TPT-50-10 - Intelli</t>
  </si>
  <si>
    <t>TPT-50-13 - Intelli</t>
  </si>
  <si>
    <t>TPT-70-8 - Intelli</t>
  </si>
  <si>
    <t>TPT-70-10 - Intelli</t>
  </si>
  <si>
    <t>TPT-70-13 - Intelli</t>
  </si>
  <si>
    <t>16/12/2025</t>
  </si>
  <si>
    <t>CISER</t>
  </si>
  <si>
    <t>BSI</t>
  </si>
  <si>
    <t>TP-1,5-6 - Intelli</t>
  </si>
  <si>
    <t>TP-1,5-8 - Intelli</t>
  </si>
  <si>
    <t>TP-2,5-6 - Intelli</t>
  </si>
  <si>
    <t>TP-2,5-8 - Intelli</t>
  </si>
  <si>
    <t>TP-6-6 - Intelli</t>
  </si>
  <si>
    <t>TP-6-8 - Intelli</t>
  </si>
  <si>
    <t>TP-6-10 - Intelli</t>
  </si>
  <si>
    <t>TPP-1,5-8 - Intelli</t>
  </si>
  <si>
    <t>TPP-1,5-12 - Intelli</t>
  </si>
  <si>
    <t>TPP-2,5-8 - Intelli</t>
  </si>
  <si>
    <t>TPP-2,5-12 - Intelli</t>
  </si>
  <si>
    <t>TPP-6-12 - Intelli</t>
  </si>
  <si>
    <t>TPP-10-15 - Intelli</t>
  </si>
  <si>
    <t>TPP-16-16 - Intelli</t>
  </si>
  <si>
    <t>TPP-25-16 - Intelli</t>
  </si>
  <si>
    <t>TPP-35-17 - Intelli</t>
  </si>
  <si>
    <t>TPP-50-24 - Intelli</t>
  </si>
  <si>
    <t>TPP-70-24 - Intelli</t>
  </si>
  <si>
    <t>Terminal Pré-Isolado Tipo Pino - Condutor 0,5-1,5mm2 e 22-16 AWG/MCM - Comprimento Pino 8mm</t>
  </si>
  <si>
    <t>Terminal Pré-Isolado Tipo Pino - Condutor 0,5-1,5mm2 e 22-16 AWG/MCM - Comprimento Pino 12mm</t>
  </si>
  <si>
    <t>Terminal Pré-Isolado Tipo Pino - Condutor 1,5-2,5mm2 e 16-14 AWG/MCM - Comprimento Pino 8mm</t>
  </si>
  <si>
    <t>Terminal Pré-Isolado Tipo Pino - Condutor 1,5-2,5mm2 e 16-14 AWG/MCM - Comprimento Pino 12mm</t>
  </si>
  <si>
    <t>Terminal Pré-Isolado Tipo Pino - Condutor 4-6mm2 e 12-10 AWG/MCM - Comprimento Pino 12mm</t>
  </si>
  <si>
    <t>LEP-1,5 - Intelli</t>
  </si>
  <si>
    <t>LEP-2,5 - Intelli</t>
  </si>
  <si>
    <t>LEP-6 - Intelli</t>
  </si>
  <si>
    <t>TPF-1,5-5 - Intelli</t>
  </si>
  <si>
    <t>TPF-2,5-5 - Intelli</t>
  </si>
  <si>
    <t>TPF-6-5 - Intelli</t>
  </si>
  <si>
    <t>FE-1,5-6 - Intelli</t>
  </si>
  <si>
    <t>MA-1,5-6 - Intelli</t>
  </si>
  <si>
    <t>FE-2,5-6 - Intelli</t>
  </si>
  <si>
    <t>MA-2,5-6 - Intelli</t>
  </si>
  <si>
    <t>FE-6-6 - Intelli</t>
  </si>
  <si>
    <t>MA-6-6 - Intelli</t>
  </si>
  <si>
    <t>FET-1,5-6 - Intelli</t>
  </si>
  <si>
    <t>MAT-1,5-6 - Intelli</t>
  </si>
  <si>
    <t>FET-2,5-6 - Intelli</t>
  </si>
  <si>
    <t>MAT-2,5-6 - Intelli</t>
  </si>
  <si>
    <t>TI-0,5-8 - Intelli</t>
  </si>
  <si>
    <t>TI-0,75-8 - Intelli</t>
  </si>
  <si>
    <t>TI-1-8 - Intelli</t>
  </si>
  <si>
    <t>TI-1,5-8 - Intelli</t>
  </si>
  <si>
    <t>TI-2,5-8 - Intelli</t>
  </si>
  <si>
    <t>TI-2,5-10 - Intelli</t>
  </si>
  <si>
    <t>TI-4-12 - Intelli</t>
  </si>
  <si>
    <t>TI-6-12 - Intelli</t>
  </si>
  <si>
    <t>TI-6-22 - Intelli</t>
  </si>
  <si>
    <t>TI-10-12 - Intelli</t>
  </si>
  <si>
    <t>TI-10-18 - Intelli</t>
  </si>
  <si>
    <t>TI-10-22 - Intelli</t>
  </si>
  <si>
    <t>TI-16-12 - Intelli</t>
  </si>
  <si>
    <t>TI-16-18 - Intelli</t>
  </si>
  <si>
    <t>TI-16-22 - Intelli</t>
  </si>
  <si>
    <t>TI-25-16 - Intelli</t>
  </si>
  <si>
    <t>TI-25-22 - Intelli</t>
  </si>
  <si>
    <t>TI-35-16 - Intelli</t>
  </si>
  <si>
    <t>TI-35-25 - Intelli</t>
  </si>
  <si>
    <t>TI-50-20 - Intelli</t>
  </si>
  <si>
    <t>TI-50-25 - Intelli</t>
  </si>
  <si>
    <t>TI-70-20 - Intelli</t>
  </si>
  <si>
    <t>TI-70-25 - Intelli</t>
  </si>
  <si>
    <t>TI-95-25 - Intelli</t>
  </si>
  <si>
    <t>TI-120-27 - Intelli</t>
  </si>
  <si>
    <t>TI-150-32 - Intelli</t>
  </si>
  <si>
    <t>TID-0,5-8 - Intelli</t>
  </si>
  <si>
    <t>TID-0,75-8 - Intelli</t>
  </si>
  <si>
    <t>TID-1-8 - Intelli</t>
  </si>
  <si>
    <t>TID-1,5-8 - Intelli</t>
  </si>
  <si>
    <t>TID-2,5-10 - Intelli</t>
  </si>
  <si>
    <t>TID-4-12 - Intelli</t>
  </si>
  <si>
    <t>TID-6-14 - Intelli</t>
  </si>
  <si>
    <t>TID-10-14 - Intelli</t>
  </si>
  <si>
    <t>TID-16-14 - Intelli</t>
  </si>
  <si>
    <t>LF-10 - Intelli</t>
  </si>
  <si>
    <t>LF-16 - Intelli</t>
  </si>
  <si>
    <t>LF-25 - Intelli</t>
  </si>
  <si>
    <t>LF-35 - Intelli</t>
  </si>
  <si>
    <t>LF-50 - Intelli</t>
  </si>
  <si>
    <t>LF-70 - Intelli</t>
  </si>
  <si>
    <t>LF-95 - Intelli</t>
  </si>
  <si>
    <t>LF-120 - Intelli</t>
  </si>
  <si>
    <t>LF-150 - Intelli</t>
  </si>
  <si>
    <t>LF-185 - Intelli</t>
  </si>
  <si>
    <t>LF-240 - Intelli</t>
  </si>
  <si>
    <t>LF-300 - Intelli</t>
  </si>
  <si>
    <t>LF-400 - Intelli</t>
  </si>
  <si>
    <t>LF-500 - Intelli</t>
  </si>
  <si>
    <t>LAR-28 - Intelli</t>
  </si>
  <si>
    <t>LAR-32 - Intelli</t>
  </si>
  <si>
    <t>LAR-38 - Intelli</t>
  </si>
  <si>
    <t>LAR-44 - Intelli</t>
  </si>
  <si>
    <t>LAR-49 - Intelli</t>
  </si>
  <si>
    <t>LAR-58 - Intelli</t>
  </si>
  <si>
    <t>LAR-60 - Intelli</t>
  </si>
  <si>
    <t>LAR-72 - Intelli</t>
  </si>
  <si>
    <t>LAR-80 - Intelli</t>
  </si>
  <si>
    <t>LAR-92 - Intelli</t>
  </si>
  <si>
    <t>LB-35-25 - Intelli</t>
  </si>
  <si>
    <t>LB-50-35 - Intelli</t>
  </si>
  <si>
    <t>LB-70-50 - Intelli</t>
  </si>
  <si>
    <t>LB-95-70 - Intelli</t>
  </si>
  <si>
    <t>LB-120-95 - Intelli</t>
  </si>
  <si>
    <t>CÂMERA</t>
  </si>
  <si>
    <t>CONECTOR RJ 45</t>
  </si>
  <si>
    <t>SIRENE</t>
  </si>
  <si>
    <t>DISP. CÂMERA</t>
  </si>
  <si>
    <t>DISP. WI-FI</t>
  </si>
  <si>
    <t>AUXILIAR CFTV</t>
  </si>
  <si>
    <t>IH-812 - Intelli</t>
  </si>
  <si>
    <t>IH-1012 - Intelli</t>
  </si>
  <si>
    <t>IH-858 - Intelli</t>
  </si>
  <si>
    <t>IH-1058 - Intelli</t>
  </si>
  <si>
    <t>IH-834 - Intelli</t>
  </si>
  <si>
    <t>IH-1034 - Intelli</t>
  </si>
  <si>
    <t>IH-81 - Intelli</t>
  </si>
  <si>
    <t>IH-101 - Intelli</t>
  </si>
  <si>
    <t>Haste de Aterramento (Alta Camada) - Comprimento 2400mm (8') e Diâmetro Nominal 1/2"</t>
  </si>
  <si>
    <t>Haste de Aterramento (Alta Camada) - Comprimento 3000mm (10') e Diâmetro Nominal 1/2"</t>
  </si>
  <si>
    <t>Haste de Aterramento (Alta Camada) - Comprimento 2400mm (8') e Diâmetro Nominal 5/8"</t>
  </si>
  <si>
    <t>Haste de Aterramento (Alta Camada) - Comprimento 3000mm (10') e Diâmetro Nominal 5/8"</t>
  </si>
  <si>
    <t>Haste de Aterramento (Alta Camada) - Comprimento 2400mm (8') e Diâmetro Nominal 3/4"</t>
  </si>
  <si>
    <t>Haste de Aterramento (Alta Camada) - Comprimento 3000mm (10') e Diâmetro Nominal 3/4"</t>
  </si>
  <si>
    <t>Haste de Aterramento (Alta Camada) - Comprimento 2400mm (8') e Diâmetro Nominal 1"</t>
  </si>
  <si>
    <t>Haste de Aterramento (Alta Camada) - Comprimento 3000mm (10') e Diâmetro Nominal 1"</t>
  </si>
  <si>
    <t>IHP-858 - Intelli</t>
  </si>
  <si>
    <t>IHP-1058 - Intelli</t>
  </si>
  <si>
    <t>IHP-834 - Intelli</t>
  </si>
  <si>
    <t>IHP-1034 - Intelli</t>
  </si>
  <si>
    <t>IHP-81 - Intelli</t>
  </si>
  <si>
    <t>IHP-101 - Intelli</t>
  </si>
  <si>
    <t>Haste de Aterramento Prolongável (Alta Camada) - Comprimento 2400mm (8') e Diâmetro Nominal 5/8"</t>
  </si>
  <si>
    <t>Haste de Aterramento Prolongável (Alta Camada) - Comprimento 3000mm (10') e Diâmetro Nominal 5/8"</t>
  </si>
  <si>
    <t>Haste de Aterramento Prolongável (Alta Camada) - Comprimento 2400mm (8') e Diâmetro Nominal 1"</t>
  </si>
  <si>
    <t>Haste de Aterramento Prolongável (Alta Camada) - Comprimento 3000mm (10') e Diâmetro Nominal 1"</t>
  </si>
  <si>
    <t>Haste de Aterramento Prolongável (Alta Camada) - Comprimento 2400mm (8') e Diâmetro Nominal 3/4"</t>
  </si>
  <si>
    <t>Haste de Aterramento Prolongável (Alta Camada) - Comprimento 3000mm (10') e Diâmetro Nominal 3/4"</t>
  </si>
  <si>
    <t>GTDU-3/8"-IPS-8-4 - Intelli</t>
  </si>
  <si>
    <t>GTDU-3/8"-IPS-4-2/0 - Intelli</t>
  </si>
  <si>
    <t>GTDU-3/8"-IPS-2/0-250 - Intelli</t>
  </si>
  <si>
    <t>GTDU-1/2"-3/4"-IPS-4-2/0 - Intelli</t>
  </si>
  <si>
    <t>GTDU-1/2"-3/4"-IPS-2/0-250 - Intelli</t>
  </si>
  <si>
    <t>GTDU-1"-IPS-4-2/0 - Intelli</t>
  </si>
  <si>
    <t>GTDU-1"-IPS-2/0-250 - Intelli</t>
  </si>
  <si>
    <t>GTDU-1.1/2"-IPS-4-2/0 - Intelli</t>
  </si>
  <si>
    <t>GTDU-1.1/2"-IPS-2/0-250 - Intelli</t>
  </si>
  <si>
    <t>GTDU-2"-IPS-4-2/0 - Intelli</t>
  </si>
  <si>
    <t>GTDU-2"-IPS-2/0-250 - Intelli</t>
  </si>
  <si>
    <t>GTDU-2.1/2"-IPS-2/0-250 - Intelli</t>
  </si>
  <si>
    <t>GTDU-1/4"-IPS-8-4 - Intelli</t>
  </si>
  <si>
    <t>GTDU-1/4"-IPS-4-2/0 - Intelli</t>
  </si>
  <si>
    <t>GTDU-3/8"-IPS-300-500 - Intelli</t>
  </si>
  <si>
    <t>GTDU-1"-IPS-8-4 - Intelli</t>
  </si>
  <si>
    <t>GTDU-1"-IPS-300-500 - Intelli</t>
  </si>
  <si>
    <t>GTDU-1.1/4"-IPS-2/0-250 - Intelli</t>
  </si>
  <si>
    <t>GTDU-1.1/2"-IPS-8-4 - Intelli</t>
  </si>
  <si>
    <t>GTDU-2"-IPS-8-4 - Intelli</t>
  </si>
  <si>
    <t>GTDU-2"-IPS-300-500 - Intelli</t>
  </si>
  <si>
    <t>GTDU-2.1/2"-IPS-8-4 - Intelli</t>
  </si>
  <si>
    <t>GTDU-2.1/2"-IPS-4-2/0 - Intelli</t>
  </si>
  <si>
    <t>GTDU-2.1/2"-IPS-300-500 - Intelli</t>
  </si>
  <si>
    <t>GTDU-1/2"-3/4"-IPS-8-4 - Intelli</t>
  </si>
  <si>
    <t>GTDU-1/2"-3/4"-IPS-300-500 - Intelli</t>
  </si>
  <si>
    <t>GTDU-3"-IPS-8-4 - Intelli</t>
  </si>
  <si>
    <t>GTDU-4"-IPS-8-4 - Intelli</t>
  </si>
  <si>
    <t>GTDU-3"-IPS-4-2/0 - Intelli</t>
  </si>
  <si>
    <t>GTDU-3"-IPS-2/0-250 - Intelli</t>
  </si>
  <si>
    <t>GTDU-3.1/2"-IPS-4-2/0 - Intelli</t>
  </si>
  <si>
    <t>GTDU-4"-IPS-4-2/0 - Intelli</t>
  </si>
  <si>
    <t>GTDU-4"-IPS-2/0-250 - Intelli</t>
  </si>
  <si>
    <t>CCA-12-25 - Intelli</t>
  </si>
  <si>
    <t>CCA-12-35 - Intelli</t>
  </si>
  <si>
    <t>CCA-58-25 - Intelli</t>
  </si>
  <si>
    <t>CCA-58-35 - Intelli</t>
  </si>
  <si>
    <t>CAT-58-16 - Intelli</t>
  </si>
  <si>
    <t>CAT-58-35 - Intelli</t>
  </si>
  <si>
    <t>CAT-58-50 (SOB CONSULTA) - Intelli</t>
  </si>
  <si>
    <t>LEH-58-R - Intelli</t>
  </si>
  <si>
    <t>LEH-34-R - Intelli</t>
  </si>
  <si>
    <t>LEH-1-R - Intelli</t>
  </si>
  <si>
    <t>PH-58 - Intelli</t>
  </si>
  <si>
    <t>PH-34 - Intelli</t>
  </si>
  <si>
    <t>05/01/2026</t>
  </si>
  <si>
    <t>TP-2,5-5 - Intelli</t>
  </si>
  <si>
    <t>TPF-2,5-4 - Intelli</t>
  </si>
  <si>
    <t>TP-6-5 - Intelli</t>
  </si>
  <si>
    <t>06/01/2026</t>
  </si>
  <si>
    <t>TAL-32 - Intelli</t>
  </si>
  <si>
    <t>07/01/2026</t>
  </si>
  <si>
    <t>TBB-16-25 - Intelli</t>
  </si>
  <si>
    <t>TBB-25-30 - Intelli</t>
  </si>
  <si>
    <t>TBB-35-30 - Intelli</t>
  </si>
  <si>
    <t>TBB-50-45 - Intelli</t>
  </si>
  <si>
    <t>TBB-70-45 - Intelli</t>
  </si>
  <si>
    <t>TBB-95-45 - Intelli</t>
  </si>
  <si>
    <t>TBB-120-55 - Intelli</t>
  </si>
  <si>
    <t>CCO-50-50 - Intelli</t>
  </si>
  <si>
    <t>CCO-25-25 - Intelli</t>
  </si>
  <si>
    <t>SACGL-1258-35-120 - Intelli</t>
  </si>
  <si>
    <t>SACC-70-70 - Intelli</t>
  </si>
  <si>
    <t>SACC-120-120 - Intelli</t>
  </si>
  <si>
    <t>SACC-120-70 - Intelli</t>
  </si>
  <si>
    <t>SACG-1258-35 - Intelli</t>
  </si>
  <si>
    <t>SACG-1258-70 - Intelli</t>
  </si>
  <si>
    <t>SACG-1258-150 - Intelli</t>
  </si>
  <si>
    <t>SACG-5834-35 - Intelli</t>
  </si>
  <si>
    <t>SACG-5834-70 - Intelli</t>
  </si>
  <si>
    <t>SACG-5834-150 - Intelli</t>
  </si>
  <si>
    <t>TAL-44 – Intelli</t>
  </si>
  <si>
    <t>TAL-49 – Intelli</t>
  </si>
  <si>
    <t>TAL-38 – Intelli</t>
  </si>
  <si>
    <t>TAL-60 – Intelli</t>
  </si>
  <si>
    <t>TAL-16 – Intelli</t>
  </si>
  <si>
    <t>TAL-58 – Intelli</t>
  </si>
  <si>
    <t>TAL-49-2 - Intelli</t>
  </si>
  <si>
    <t>TAL 44-2 - Intelli</t>
  </si>
  <si>
    <t>TAL 38-2 - Intelli</t>
  </si>
  <si>
    <t>TAL 32-2 - Intelli</t>
  </si>
  <si>
    <t>TAL 70-2 - Intelli</t>
  </si>
  <si>
    <t xml:space="preserve"> TAL-60-2 - Intelli</t>
  </si>
  <si>
    <t>TAL 150-2 - Intelli</t>
  </si>
  <si>
    <t>TAL 58-2 - Intelli</t>
  </si>
  <si>
    <t>TAL 72-2 - Intelli</t>
  </si>
  <si>
    <t>TAL 80-2 - Intelli</t>
  </si>
  <si>
    <t>TAL 92-2 - Intelli</t>
  </si>
  <si>
    <t>TBD-120-10 - Intelli</t>
  </si>
  <si>
    <t>TBD-150-10 - Intelli</t>
  </si>
  <si>
    <t>TBD-185-10 - Intelli</t>
  </si>
  <si>
    <t>TBD-240-10 - Intelli</t>
  </si>
  <si>
    <t>TBD-300-10 - Intelli</t>
  </si>
  <si>
    <t>TBD-16-8 - Intelli</t>
  </si>
  <si>
    <t>TBD-25-8 - Intelli</t>
  </si>
  <si>
    <t>TBD-35-8 - Intelli</t>
  </si>
  <si>
    <t>TBD-50-8 - Intelli</t>
  </si>
  <si>
    <t>TBD-70-8 - Intelli</t>
  </si>
  <si>
    <t>TBD-95-8 - Intelli</t>
  </si>
  <si>
    <t>INECEL</t>
  </si>
  <si>
    <t>BRASDUTO</t>
  </si>
  <si>
    <t>JEA SUL</t>
  </si>
  <si>
    <t>BELENUS</t>
  </si>
  <si>
    <t>PERFILEX</t>
  </si>
  <si>
    <t>08/01/2026</t>
  </si>
  <si>
    <t>JOMARCA</t>
  </si>
  <si>
    <t>FIXWELL / AIEDEM</t>
  </si>
  <si>
    <t>INECEL / PERFILEX</t>
  </si>
  <si>
    <t>AIEDEM</t>
  </si>
  <si>
    <t>INFRA ELETROCALHAS</t>
  </si>
  <si>
    <t>CONDUÍTE</t>
  </si>
  <si>
    <t>09/01/2026</t>
  </si>
  <si>
    <t>INFRA ELETROCALHAS - ANDALUZ</t>
  </si>
  <si>
    <t>INFRA ELETROCALHAS - TRAMONTINA</t>
  </si>
  <si>
    <t>INFRA ELETROCALHAS - INPOL</t>
  </si>
  <si>
    <t>ARAME</t>
  </si>
  <si>
    <t>MÃO FRANCESA</t>
  </si>
  <si>
    <t>TIRANTE</t>
  </si>
  <si>
    <t>CHUMBADOR</t>
  </si>
  <si>
    <t>JAQUETA E CONE</t>
  </si>
  <si>
    <t>PROLONGADOR</t>
  </si>
  <si>
    <t>NEXANS</t>
  </si>
  <si>
    <t>INDUSCABO E NEXANS</t>
  </si>
  <si>
    <t>INDUSCABO E PRYSMIAN</t>
  </si>
  <si>
    <t>12/01/2026</t>
  </si>
  <si>
    <t>TRAMONTINA</t>
  </si>
  <si>
    <t>DAISA</t>
  </si>
  <si>
    <t>NORD-LOCK</t>
  </si>
  <si>
    <t>GA-12 - Intelli</t>
  </si>
  <si>
    <t>GA-38 - Intelli</t>
  </si>
  <si>
    <t>TH-12-58 - Intelli</t>
  </si>
  <si>
    <t>TH-12-58-R - Intelli</t>
  </si>
  <si>
    <t>TH-58 - Intelli</t>
  </si>
  <si>
    <t>TH-58-R - Intelli</t>
  </si>
  <si>
    <t>TH-34 - Intelli</t>
  </si>
  <si>
    <t>TH-34-R - Intelli</t>
  </si>
  <si>
    <t>TH-38 - Intelli</t>
  </si>
  <si>
    <t>TH-1 - Intelli</t>
  </si>
  <si>
    <t>TH-1-R - Intelli</t>
  </si>
  <si>
    <t>ÔMEGA - INFRA ELETROCALHAS</t>
  </si>
  <si>
    <t>13/01/2026</t>
  </si>
  <si>
    <t>Cabo 750V Flexivel 120mm2 Preto Classe 5</t>
  </si>
  <si>
    <t>Cabo 750V Flexivel 120mm2 Verde Classe 5</t>
  </si>
  <si>
    <t>Cabo 750V Flexivel 50mm2 Azul Classe 5</t>
  </si>
  <si>
    <t>Cabo 750V Flexivel 50mm2 Verde Classe 5</t>
  </si>
  <si>
    <t>Cabo 750V Flexivel 95mm2 Azul Classe 5</t>
  </si>
  <si>
    <t>Conector Gar P/ Aterramento Pa-30 Bronze Padrão Copel - Betel</t>
  </si>
  <si>
    <t>Abraçadeira Copo 1"</t>
  </si>
  <si>
    <t>Abraçadeira Copo 1.1/2"</t>
  </si>
  <si>
    <t>Abraçadeira Copo 1.1/4"</t>
  </si>
  <si>
    <t>Abraçadeira Copo 1/2"</t>
  </si>
  <si>
    <t>Abraçadeira Copo 2"</t>
  </si>
  <si>
    <t>Abraçadeira Copo 3"</t>
  </si>
  <si>
    <t>Abraçadeira Copo 3/4"</t>
  </si>
  <si>
    <t>Abraçadeira Cunha 1"</t>
  </si>
  <si>
    <t>Abraçadeira Cunha 1.1/2"</t>
  </si>
  <si>
    <t>Abraçadeira Cunha 1.1/4"</t>
  </si>
  <si>
    <t>Abraçadeira Cunha 1/2"</t>
  </si>
  <si>
    <t>Abraçadeira Cunha 2"</t>
  </si>
  <si>
    <t>Abraçadeira Cunha 3"</t>
  </si>
  <si>
    <t>Abraçadeira Cunha 3/4"</t>
  </si>
  <si>
    <t>Abraçadeira Cunha 4"</t>
  </si>
  <si>
    <t>Abraçadeira Tipo "D" 1"</t>
  </si>
  <si>
    <t>Abraçadeira Tipo "D" 1.1/2"</t>
  </si>
  <si>
    <t>Abraçadeira Tipo "D" 1.1/4"</t>
  </si>
  <si>
    <t>Abraçadeira Tipo "D" 1/2"</t>
  </si>
  <si>
    <t>Abraçadeira Tipo "D" 2"</t>
  </si>
  <si>
    <t>Abraçadeira Tipo "D" 3"</t>
  </si>
  <si>
    <t>Abraçadeira Tipo "D" 3/4"</t>
  </si>
  <si>
    <t>Abraçadeira Tipo "D" 4"</t>
  </si>
  <si>
    <t>Abraçadeira Tipo "U" 1"</t>
  </si>
  <si>
    <t>Abraçadeira Tipo "U" 1.1/2"</t>
  </si>
  <si>
    <t>Abraçadeira Tipo "U" 1.1/4"</t>
  </si>
  <si>
    <t>Abraçadeira Tipo "U" 1/2"</t>
  </si>
  <si>
    <t>Abraçadeira Tipo "U" 2"</t>
  </si>
  <si>
    <t>Abraçadeira Tipo "U" 3/4"</t>
  </si>
  <si>
    <t>Ar Condicionado Split On/Off, Cassete (Teto), 18000 Btus/H, Ciclo Quente/Frio, 60 Hz, Classificacao Energetica C - Selo Procel, Gas Hfc, Controle S/ Fio</t>
  </si>
  <si>
    <t>Ar Condicionado Split On/Off, Cassete (Teto), 24000 Btus/H, Ciclo Quente/Frio, 60 Hz, Classificacao Energetica C - Selo Procel, Gas Hfc, Controle S/ Fio</t>
  </si>
  <si>
    <t>Ar Condicionado Split On/Off, Cassete (Teto), Frio 4 Vias 18000 Btus/H, Classificacao Energetica C - Selo Procel, Gas Hfc, Controle S/ Fio</t>
  </si>
  <si>
    <t>Ar Condicionado Split On/Off, Cassete (Teto), Frio 4 Vias 24000 Btus/H, Classificacao Energetica C - Selo Procel, Gas Hfc, Controle S/ Fio</t>
  </si>
  <si>
    <t>Ar Condicionado Split On/Off, Cassete (Teto), Frio 4 Vias 36000 Btus/H, Classificacao Energetica C - Selo Procel, Gas Hfc, Controle S/ Fio</t>
  </si>
  <si>
    <t>Ar Condicionado Split On/Off, Cassete (Teto), Frio 4 Vias 48000 Btus/H, Classificacao Energetica C - Selo Procel, Gas Hfc, Controle S/ Fio</t>
  </si>
  <si>
    <t>Ar Condicionado Split On/Off, Cassete (Teto), Frio 4 Vias 60000 Btus/H, Classificacao Energetica C - Selo Procel, Gas Hfc, Controle S/ Fio</t>
  </si>
  <si>
    <t>Ar Condicionado Split On/Off, Piso Teto, 18.000 Btu/H, Ciclo Frio, 60Hz, Classificacao Energetica C - Selo Procel, Gas Hfc, Controle S/Fio</t>
  </si>
  <si>
    <t>Ar Condicionado Split On/Off, Piso Teto, 24.000 Btu/H, Ciclo Frio, 60Hz, Classificacao Energetica C - Selo Procel, Gas Hfc, Controle S/Fio</t>
  </si>
  <si>
    <t>Ar Condicionado Split On/Off, Piso Teto, 36.000 Btu/H, Ciclo Frio, 60Hz, Classificacao Energetica C - Selo Procel, Gas Hfc, Controle S/Fio</t>
  </si>
  <si>
    <t>Ar Condicionado Split On/Off, Piso Teto, 48.000 Btu/H, Ciclo Frio, 60Hz, Classificacao Energetica C - Selo Procel, Gas Hfc, Controle S/Fio</t>
  </si>
  <si>
    <t>Ar Condicionado Split On/Off, Piso Teto, 60.000 Btu/H, Ciclo Frio, 60Hz, Classificacao Energetica C - Selo Procel, Gas Hfc, Controle S/Fio</t>
  </si>
  <si>
    <t>Duto Corrugado Tipo Kanaflex - 1"</t>
  </si>
  <si>
    <t>Duto Corrugado Tipo Kanaflex - 1.1/2"</t>
  </si>
  <si>
    <t>Duto Corrugado Tipo Kanaflex - 1.1/4"</t>
  </si>
  <si>
    <t>Duto Corrugado Tipo Kanaflex - 2"</t>
  </si>
  <si>
    <t>Duto Corrugado Tipo Kanaflex - 3"</t>
  </si>
  <si>
    <t>Duto Corrugado Tipo Kanaflex - 3/4"</t>
  </si>
  <si>
    <t>Duto Corrugado Tipo Kanaflex - 4"</t>
  </si>
  <si>
    <t>Hiperflex (Sealtubo Sem Aço) - 1"</t>
  </si>
  <si>
    <t>Hiperflex (Sealtubo Sem Aço) - 1.1/2"</t>
  </si>
  <si>
    <t>Hiperflex (Sealtubo Sem Aço) - 1.1/4"</t>
  </si>
  <si>
    <t>Hiperflex (Sealtubo Sem Aço) - 1/2"</t>
  </si>
  <si>
    <t>Hiperflex (Sealtubo Sem Aço) - 2"</t>
  </si>
  <si>
    <t>Hiperflex (Sealtubo Sem Aço) - 3/4"</t>
  </si>
  <si>
    <t>Sealtubo Com Capa - 1"</t>
  </si>
  <si>
    <t>Sealtubo Com Capa - 1.1/2"</t>
  </si>
  <si>
    <t>Sealtubo Com Capa - 1.1/4"</t>
  </si>
  <si>
    <t>Sealtubo Com Capa - 1/2"</t>
  </si>
  <si>
    <t>Sealtubo Com Capa - 2"</t>
  </si>
  <si>
    <t>Sealtubo Com Capa - 3/4"</t>
  </si>
  <si>
    <t>Sealtubo Metálico Sem Capa - 1"</t>
  </si>
  <si>
    <t>Sealtubo Metálico Sem Capa - 3/4"</t>
  </si>
  <si>
    <t>Tomada Branca Dupla Para Condulete - 10A</t>
  </si>
  <si>
    <t>Tomada Branca Dupla Para Condulete - 20A</t>
  </si>
  <si>
    <t>Tomada Branca Simples Para Condulete - 10A</t>
  </si>
  <si>
    <t>Tomada Branca Simples Para Condulete - 20A</t>
  </si>
  <si>
    <t>Tomada Preta Dupla Para Condulete - 10A</t>
  </si>
  <si>
    <t>Tomada Preta Dupla Para Condulete - 20A</t>
  </si>
  <si>
    <t>Tomada Preta Simples Para Condulete - 10A</t>
  </si>
  <si>
    <t>Tomada Preta Simples Para Condulete - 20A</t>
  </si>
  <si>
    <t>Tomada Vermelha Dupla Para Condulete - 20A</t>
  </si>
  <si>
    <t>Tomada Vermelha Simples Para Condulete - 10A</t>
  </si>
  <si>
    <t>Tomada Vermelha Simples Para Condulete - 20A</t>
  </si>
  <si>
    <t>Conector Macho Rj 45, Categoria 6 (Cat 6) Para Cabos</t>
  </si>
  <si>
    <t>Conector Rápido Tipo B Click Sm-Fbwapc</t>
  </si>
  <si>
    <t>Disjuntor Caixa Moldada Tramontina - 3X100A</t>
  </si>
  <si>
    <t>Disjuntor Caixa Moldada Tramontina - 3X150A</t>
  </si>
  <si>
    <t>Disjuntor Caixa Moldada Tramontina - 3X200A</t>
  </si>
  <si>
    <t>Disjuntor Caixa Moldada Tramontina - 3X250A</t>
  </si>
  <si>
    <t>Disjuntor Din Bipolar Tramontina - 2X10A</t>
  </si>
  <si>
    <t>Disjuntor Din Bipolar Tramontina - 2X16A</t>
  </si>
  <si>
    <t>Disjuntor Din Bipolar Tramontina - 2X20A</t>
  </si>
  <si>
    <t>Disjuntor Din Bipolar Tramontina - 2X25A</t>
  </si>
  <si>
    <t>Disjuntor Din Bipolar Tramontina - 2X32A</t>
  </si>
  <si>
    <t>Disjuntor Din Bipolar Tramontina - 2X40A</t>
  </si>
  <si>
    <t>Disjuntor Din Bipolar Tramontina - 2X6A</t>
  </si>
  <si>
    <t>Disjuntor Din Mono Tramontina - 1X10A</t>
  </si>
  <si>
    <t>Disjuntor Din Mono Tramontina - 1X16A</t>
  </si>
  <si>
    <t>Disjuntor Din Mono Tramontina - 1X20A</t>
  </si>
  <si>
    <t>Disjuntor Din Mono Tramontina - 1X25A</t>
  </si>
  <si>
    <t>Disjuntor Din Mono Tramontina - 1X32A</t>
  </si>
  <si>
    <t>Disjuntor Din Mono Tramontina - 1X6A</t>
  </si>
  <si>
    <t>Disjuntor Din Tripolar Tramontina - 3X100A</t>
  </si>
  <si>
    <t>Disjuntor Din Tripolar Tramontina - 3X10A</t>
  </si>
  <si>
    <t>Disjuntor Din Tripolar Tramontina - 3X16A</t>
  </si>
  <si>
    <t>Disjuntor Din Tripolar Tramontina - 3X20A</t>
  </si>
  <si>
    <t>Disjuntor Din Tripolar Tramontina - 3X25A</t>
  </si>
  <si>
    <t>Disjuntor Din Tripolar Tramontina - 3X32A</t>
  </si>
  <si>
    <t>Disjuntor Din Tripolar Tramontina - 3X40A</t>
  </si>
  <si>
    <t>Disjuntor Din Tripolar Tramontina - 3X50A</t>
  </si>
  <si>
    <t>Disjuntor Din Tripolar Tramontina - 3X63A</t>
  </si>
  <si>
    <t>Disjuntor Din Tripolar Tramontina - 3X80A</t>
  </si>
  <si>
    <t>Disjuntor Termomagnetico Para Trilho Din (Iec), Bipolar, 40 - 50 A</t>
  </si>
  <si>
    <t>Disjuntor Termomagnetico Para Trilho Din (Iec), Bipolar, 6 - 32 A</t>
  </si>
  <si>
    <t>Disjuntor Termomagnetico Para Trilho Din (Iec), Bipolar, 63 A</t>
  </si>
  <si>
    <t>Disjuntor Termomagnetico Para Trilho Din (Iec), Monopolar, 40 - 50 A</t>
  </si>
  <si>
    <t>Disjuntor Termomagnetico Para Trilho Din (Iec), Monopolar, 6 - 32 A</t>
  </si>
  <si>
    <t>Disjuntor Termomagnetico Para Trilho Din (Iec), Monopolar, 63 A</t>
  </si>
  <si>
    <t>Disjuntor Termomagnetico Para Trilho Din (Iec), Tripolar, 10 - 50 A</t>
  </si>
  <si>
    <t>Disjuntor Termomagnetico Para Trilho Din (Iec), Tripolar, 63 A</t>
  </si>
  <si>
    <t>Disjuntor Tipo Nema, Bipolar 10 Ate 50 A, Tensao Maxima 415 V</t>
  </si>
  <si>
    <t>Disjuntor Tipo Nema, Bipolar 60 Ate 100A, Tensao Maxima 415 V</t>
  </si>
  <si>
    <t>Grampo "C" Galvanizado Com Balancim Completo</t>
  </si>
  <si>
    <t>Saída Horizontal 1"</t>
  </si>
  <si>
    <t>Saída Horizontal 1.1/2"</t>
  </si>
  <si>
    <t>Saída Horizontal 1.1/4"</t>
  </si>
  <si>
    <t>Saída Horizontal 1/2"</t>
  </si>
  <si>
    <t>Saída Horizontal 2"</t>
  </si>
  <si>
    <t>Saída Horizontal 3/4"</t>
  </si>
  <si>
    <t>Arruela 1" Para Eletroduto</t>
  </si>
  <si>
    <t>Arruela 1.1/2" Para Eletroduto</t>
  </si>
  <si>
    <t>Arruela 1.1/4" Para Eletroduto</t>
  </si>
  <si>
    <t>Arruela 1/2" Para Eletroduto</t>
  </si>
  <si>
    <t>Arruela 2" Para Eletroduto</t>
  </si>
  <si>
    <t>Arruela 3" Para Eletroduto</t>
  </si>
  <si>
    <t>Arruela 3/4" Para Eletroduto</t>
  </si>
  <si>
    <t>Arruela 4" Para Eletroduto</t>
  </si>
  <si>
    <t>Box Curvo 1" Para Eletroduto</t>
  </si>
  <si>
    <t>Box Curvo 1.1/2" Para Eletroduto</t>
  </si>
  <si>
    <t>Box Curvo 1.1/4" Para Eletroduto</t>
  </si>
  <si>
    <t>Box Curvo 1/2" Para Eletroduto</t>
  </si>
  <si>
    <t>Box Curvo 2" Para Eletroduto</t>
  </si>
  <si>
    <t>Box Curvo 3/4" Para Eletroduto</t>
  </si>
  <si>
    <t>Box Reto 1" Para Eletroduto</t>
  </si>
  <si>
    <t>Box Reto 1.1/2" Para Eletroduto</t>
  </si>
  <si>
    <t>Box Reto 1.1/4" Para Eletroduto</t>
  </si>
  <si>
    <t>Box Reto 1/2" Para Eletroduto</t>
  </si>
  <si>
    <t>Box Reto 2" Para Eletroduto</t>
  </si>
  <si>
    <t>Box Reto 2.1/2" Para Eletroduto</t>
  </si>
  <si>
    <t>Box Reto 3" Para Eletroduto</t>
  </si>
  <si>
    <t>Box Reto 3/4" Para Eletroduto</t>
  </si>
  <si>
    <t>Box Reto 4" Para Eletroduto</t>
  </si>
  <si>
    <t>Bucha 1" Para Eletroduto</t>
  </si>
  <si>
    <t>Bucha 1.1/2" Para Eletroduto</t>
  </si>
  <si>
    <t>Bucha 1.1/4" Para Eletroduto</t>
  </si>
  <si>
    <t>Bucha 1/2" Para Eletroduto</t>
  </si>
  <si>
    <t>Bucha 2" Para Eletroduto</t>
  </si>
  <si>
    <t>Bucha 3" Para Eletroduto</t>
  </si>
  <si>
    <t>Bucha 3/4" Para Eletroduto</t>
  </si>
  <si>
    <t>Bucha 4" Para Eletroduto</t>
  </si>
  <si>
    <t>Curva Galvanizada 1"</t>
  </si>
  <si>
    <t>Curva Galvanizada 1.1/2"</t>
  </si>
  <si>
    <t>Curva Galvanizada 1.1/4"</t>
  </si>
  <si>
    <t>Curva Galvanizada 1/2"</t>
  </si>
  <si>
    <t>Curva Galvanizada 2"</t>
  </si>
  <si>
    <t>Curva Galvanizada 2.1/2"</t>
  </si>
  <si>
    <t>Curva Galvanizada 3"</t>
  </si>
  <si>
    <t>Curva Galvanizada 3/4"</t>
  </si>
  <si>
    <t>Curva Galvanizada 4"</t>
  </si>
  <si>
    <t>Eletroduto Galvanizado 1" Leve - 3 Metros</t>
  </si>
  <si>
    <t>Eletroduto Galvanizado 1.1/2" Médio - 3 Metros</t>
  </si>
  <si>
    <t>Eletroduto Galvanizado 1.1/4" Médio - 3 Metros</t>
  </si>
  <si>
    <t>Eletroduto Galvanizado 1/2" Leve - 3 Metros</t>
  </si>
  <si>
    <t>Eletroduto Galvanizado 2" Médio - 3 Metros</t>
  </si>
  <si>
    <t>Eletroduto Galvanizado 2.1/2" Médio - 3 Metros</t>
  </si>
  <si>
    <t>Eletroduto Galvanizado 3" Médio - 3 Metros</t>
  </si>
  <si>
    <t>Eletroduto Galvanizado 3/4" Leve - 3 Metros</t>
  </si>
  <si>
    <t>Eletroduto Galvanizado 4" Médio - 3 Metros</t>
  </si>
  <si>
    <t>Emenda Para Eletroduto Corrugado Flexível Reforçado Laranja Ø1 1/2"</t>
  </si>
  <si>
    <t>Emenda Para Eletroduto Corrugado Flexível Tipo Pead Ø1 1/4"</t>
  </si>
  <si>
    <t>Emenda Para Eletroduto Corrugado Flexível Tipo Pead Ø2"</t>
  </si>
  <si>
    <t>Emenda Para Eletroduto Corrugado Flexível Tipo Pead Ø3"</t>
  </si>
  <si>
    <t>Emenda Para Eletroduto Corrugado Flexível Tipo Pead Ø5"</t>
  </si>
  <si>
    <t>Emenda Para Eletroduto Rígido Galvanizado - Ø1 1/2"</t>
  </si>
  <si>
    <t>Saída Horizontal Galvanizada Para Eletroduto - 1/2"</t>
  </si>
  <si>
    <t>Saída Horizontal Galvanizada Para Eletroduto - 3/4"</t>
  </si>
  <si>
    <t>Saída Horizontal Galvanizada Para Eletroduto - 4"</t>
  </si>
  <si>
    <t>Saída Simples Para Eletroduto - 1"</t>
  </si>
  <si>
    <t>Saída Simples Para Eletroduto - 3/4"</t>
  </si>
  <si>
    <t>Saída Vertical Galvanizada Para Eletroduto - 1"</t>
  </si>
  <si>
    <t>Saída Vertical Galvanizada Para Eletroduto - 1.1/4"</t>
  </si>
  <si>
    <t>Saída Vertical Galvanizada Para Eletroduto - 2"</t>
  </si>
  <si>
    <t>Saída Vertical Galvanizada Para Eletroduto - 3/4"</t>
  </si>
  <si>
    <t>Unidut Reto Alumínio (Luva Sem Rosca) 1"</t>
  </si>
  <si>
    <t>Unidut Reto Alumínio (Luva Sem Rosca) 1.1/2"</t>
  </si>
  <si>
    <t>Unidut Reto Alumínio (Luva Sem Rosca) 1.1/4"</t>
  </si>
  <si>
    <t>Unidut Reto Alumínio (Luva Sem Rosca) 1/2"</t>
  </si>
  <si>
    <t>Unidut Reto Alumínio (Luva Sem Rosca) 2"</t>
  </si>
  <si>
    <t>Unidut Reto Alumínio (Luva Sem Rosca) 2.1/2"</t>
  </si>
  <si>
    <t>Unidut Reto Alumínio (Luva Sem Rosca) 3"</t>
  </si>
  <si>
    <t>Unidut Reto Alumínio (Luva Sem Rosca) 3/4"</t>
  </si>
  <si>
    <t>Unidut Reto Alumínio (Luva Sem Rosca) 4"</t>
  </si>
  <si>
    <t>Lampada Led 10 W Bivolt Branca, Formato Tradicional (Base E27)</t>
  </si>
  <si>
    <t>Lampada Led 6 W Bivolt Branca, Formato Tradicional (Base E27)</t>
  </si>
  <si>
    <t>Lampada Led Tipo Dicroica Bivolt, Luz Branca, 5 W (Base Gu10)</t>
  </si>
  <si>
    <t>Lampada Led Tubular Bivolt 18/20 W, Base G13</t>
  </si>
  <si>
    <t>Lampada Led Tubular Bivolt 9/10 W, Base G13</t>
  </si>
  <si>
    <t>Luminaria Led Refletor Retangular Bivolt, Luz Branca, 10 W</t>
  </si>
  <si>
    <t>Luminaria Led Refletor Retangular Bivolt, Luz Branca, 30 W</t>
  </si>
  <si>
    <t>Luminaria Led Refletor Retangular Bivolt, Luz Branca, 50 W</t>
  </si>
  <si>
    <t>Plafon Com Soquete 100W Branco</t>
  </si>
  <si>
    <t>Suporte Galvanizado P/ Luminária Curto</t>
  </si>
  <si>
    <t>Suporte Galvanizado P/ Luminária Longo</t>
  </si>
  <si>
    <t>Interruptor Bipolar 10A, 250V, Conjunto Montado Para Embutir 4" X 2" (Placa + Suporte + Modulo)</t>
  </si>
  <si>
    <t>Interruptor Bipolar Simples 10 A, 250 V (Apenas Modulo)</t>
  </si>
  <si>
    <t>Interruptor Intermediario 10 A, 250 V (Apenas Modulo)</t>
  </si>
  <si>
    <t>Interruptor Intermediario 10A, 250V, Conjunto Montado Para Embutir 4" X 2" (Placa + Suporte + Modulo)</t>
  </si>
  <si>
    <t>Interruptor Paralelo + Tomada 2P+T 10A, 250V, Conjunto Montado Para Embutir 4" X 2" (Placa + Suporte + Modulos)</t>
  </si>
  <si>
    <t>Interruptor Paralelo 10A, 250V (Apenas Modulo)</t>
  </si>
  <si>
    <t>Interruptor Paralelo 10A, 250V, Conjunto Montado Para Embutir 4" X 2" (Placa + Suporte + Modulo)</t>
  </si>
  <si>
    <t>Interruptor Simples + 2 Interruptores Paralelos 10A, 250V, Conjunto Montado Para Embutir 4" X 2" (Placa + Suporte + Modulos)</t>
  </si>
  <si>
    <t>Interruptor Simples + Interruptor Paralelo + Tomada 2P+T 10A, 250V, Conjunto Montado Para Embutir 4" X 2" (Placa + Suporte + Modulos)</t>
  </si>
  <si>
    <t>Interruptor Simples + Interruptor Paralelo 10A, 250V, Conjunto Montado Para Embutir 4" X 2" (Placa + Suporte + Modulos)</t>
  </si>
  <si>
    <t>Interruptor Simples + Tomada 2P+T 10A, 250V, Conjunto Montado Para Embutir 4" X 2" (Placa + Suporte + Modulos)</t>
  </si>
  <si>
    <t>Interruptor Simples 10A, 250V (Apenas Modulo)</t>
  </si>
  <si>
    <t>Interruptor Simples 10A, 250V, Conjunto Montado Para Embutir 4" X 2" (Placa + Suporte + Modulo)</t>
  </si>
  <si>
    <t>Interruptor Simples 10A, 250V, Conjunto Montado Para Sobrepor 4" X 2" (Caixa + 2 Modulos)</t>
  </si>
  <si>
    <t>Interruptor Simples 10A, 250V, Conjunto Montado Para Sobrepor 4" X 2" (Caixa + Modulo)</t>
  </si>
  <si>
    <t>Interruptores Paralelos (2 Modulos) + Tomada 2P+T 10A, 250V, Conjunto Montado Para Embutir 4" X 2" (Placa + Suporte + Modulos)</t>
  </si>
  <si>
    <t>Interruptores Paralelos (2 Modulos) 10A, 250V, Conjunto Montado Para Embutir 4" X 2" (Placa + Suporte + Modulos)</t>
  </si>
  <si>
    <t>Interruptores Paralelos (3 Modulos) 10A, 250V, Conjunto Montado Para Embutir 4" X 2" (Placa + Suporte + Modulo)</t>
  </si>
  <si>
    <t>Interruptores Simples (2 Modulos) + 1 Interruptor Paralelo 10A, 250V, Conjunto Montado Para Embutir 4" X 2" (Placa + Suporte + Modulos)</t>
  </si>
  <si>
    <t>Interruptores Simples (2 Modulos) + Tomada 2P+T 10A, 250V, Conjunto Montado Para Embutir 4" X 2" (Placa + Suporte + Modulos)</t>
  </si>
  <si>
    <t>Interruptores Simples (2 Modulos) 10A, 250V, Conjunto Montado Para Embutir 4" X 2" (Placa + Suporte + Modulos)</t>
  </si>
  <si>
    <t>Interruptores Simples (3 Modulos) 10A, 250V, Conjunto Montado Para Embutir 4" X 2" (Placa + Suporte + Modulos)</t>
  </si>
  <si>
    <t>Nobreak New Orion Premium 2000Va - Bivolt - Com Bateria - 9 Tomadas</t>
  </si>
  <si>
    <t>Barramento Neutro - 8 Terminais - Para Quadro Cftv</t>
  </si>
  <si>
    <t>Barramento Terra - 8 Terminais - Para Quadro Cftv</t>
  </si>
  <si>
    <t>Contatora 220Vca - 40A (Sugerido Cwb40)</t>
  </si>
  <si>
    <t>Quadro Essencial 0,3X0,3X0,2M</t>
  </si>
  <si>
    <t>Caixa Para Tomada Vazia Perfilado</t>
  </si>
  <si>
    <t>Distanciador Duplo Para Perfilado</t>
  </si>
  <si>
    <t>Distanciador Simples Para Perfilado</t>
  </si>
  <si>
    <t>Grapa Fixa Para Perfilado</t>
  </si>
  <si>
    <t>Saída Final 1" Para Perfilado</t>
  </si>
  <si>
    <t>Saída Final 1/2" Para Perfilado</t>
  </si>
  <si>
    <t>Saída Final 3/4" Para Perfilado</t>
  </si>
  <si>
    <t>Saída Lateral 1" Para Perfilado</t>
  </si>
  <si>
    <t>Saída Lateral 1/2" Para Perfilado</t>
  </si>
  <si>
    <t>Saída Lateral 3/4" Para Perfilado</t>
  </si>
  <si>
    <t>Saída Lateral Para Perfilado 1"</t>
  </si>
  <si>
    <t>Saída Lateral Para Perfilado 1/2"</t>
  </si>
  <si>
    <t>Saída Lateral Para Perfilado 3/4"</t>
  </si>
  <si>
    <t>Saída Superior 1" Para Perfilado</t>
  </si>
  <si>
    <t>Saída Superior 1/2" Para Perfilado</t>
  </si>
  <si>
    <t>Saída Superior 3/4" Para Perfilado</t>
  </si>
  <si>
    <t>Suporte Galvanizado P/ Perfilado Gancho Curto</t>
  </si>
  <si>
    <t>Suporte Galvanizado P/ Perfilado Gancho Longo</t>
  </si>
  <si>
    <t>Suporte Gancho Curto Para Perfilado</t>
  </si>
  <si>
    <t>Suporte Gancho Longo Para Perfilado</t>
  </si>
  <si>
    <t>Prensa Cabo - Pg 7</t>
  </si>
  <si>
    <t>Prensa Cabo - Pg16</t>
  </si>
  <si>
    <t>Timer Para Trilho Din 100-240Vca (Sugerido Rtw17-Da-01-Mat-E05)</t>
  </si>
  <si>
    <t>Tomada 2P+T 10A, 250V (Apenas Modulo)</t>
  </si>
  <si>
    <t>Tomada 2P+T 10A, 250V, Conjunto Montado Para Embutir 4" X 2" (Placa + Suporte + Modulo)</t>
  </si>
  <si>
    <t>Tomada 2P+T 10A, 250V, Conjunto Montado Para Sobrepor 4" X 2" (Caixa + Modulo)</t>
  </si>
  <si>
    <t>Tomada 2P+T 20A, 250V (Apenas Modulo)</t>
  </si>
  <si>
    <t>Tomada Rj11, 2 Fios (Apenas Modulo)</t>
  </si>
  <si>
    <t>Tomada Rj11, 2 Fios, Conjunto Montado Para Embutir 4" X 2" (Placa + Suporte + Modulo)</t>
  </si>
  <si>
    <t>Tomada Rj45, 8 Fios, Cat 5E, Conjunto Montado Para Embutir 4" X 2" (Placa + Suporte + Modulo)</t>
  </si>
  <si>
    <t>Tomadas (2 Modulos) 2P+T 10A, 250V, Conjunto Montado Para Embutir 4" X 2" (Placa + Suporte + Modulos)</t>
  </si>
  <si>
    <t>Tela Alambrado Fio 14X3</t>
  </si>
  <si>
    <t>Hd 10Tb Seagate Exos 7E10</t>
  </si>
  <si>
    <t>Conector / Tomada Femea Rj 45, Categoria 6 (Cat 6) Para Cabos</t>
  </si>
  <si>
    <t>Suporte Para Câmera Montagem Vertical Ds-1275Zj-S-Sus</t>
  </si>
  <si>
    <t>Archer C80 Ac1900</t>
  </si>
  <si>
    <t>Sirene Interna Wi-Fi - Ds-Ps1-I-We/Red</t>
  </si>
  <si>
    <t>Espaçador Treliçado H8 3,00M</t>
  </si>
  <si>
    <t>Espaçador Treliçado H8 4,00M</t>
  </si>
  <si>
    <t>Módulo Fotovoltaico Bifacial Monocristalino, 144 Células, Potência 550W, Código:Lr5-72Hbd-550M</t>
  </si>
  <si>
    <t>Arruela Aço Inox - M10</t>
  </si>
  <si>
    <t>Arruela Aço Inox - M12</t>
  </si>
  <si>
    <t>Arruela Aço Inox - M6</t>
  </si>
  <si>
    <t>Arruela Aço Inox - M8</t>
  </si>
  <si>
    <t>Arruela Lisa 1/4"</t>
  </si>
  <si>
    <t>Arruela Lisa 3/8"</t>
  </si>
  <si>
    <t>Arruela Lisa 5/16"</t>
  </si>
  <si>
    <t>Arruela Lisa Aço Polido - M10</t>
  </si>
  <si>
    <t>Arruela Lisa Aço Polido - M12</t>
  </si>
  <si>
    <t>Arruela Lisa Aço Polido - M6</t>
  </si>
  <si>
    <t>Arruela Lisa Aço Polido - M8</t>
  </si>
  <si>
    <t>Arruela Lisa Bicromatizado - M10</t>
  </si>
  <si>
    <t>Arruela Lisa Bicromatizado - M12</t>
  </si>
  <si>
    <t>Arruela Lisa Bicromatizado - M6</t>
  </si>
  <si>
    <t>Arruela Lisa Bicromatizado - M8</t>
  </si>
  <si>
    <t>Arruela Lisa Zincado Branco - M10</t>
  </si>
  <si>
    <t>Arruela Lisa Zincado Branco - M12</t>
  </si>
  <si>
    <t>Arruela Lisa Zincado Branco - M6</t>
  </si>
  <si>
    <t>Arruela Lisa Zincado Branco - M8</t>
  </si>
  <si>
    <t>Bucha Com Parafuso - S10</t>
  </si>
  <si>
    <t>Bucha Com Parafuso - S6</t>
  </si>
  <si>
    <t>Bucha Com Parafuso - S7</t>
  </si>
  <si>
    <t>Bucha Com Parafuso - S8</t>
  </si>
  <si>
    <t>Parafuso Lentilha 1/4"X1/2"</t>
  </si>
  <si>
    <t>Parafuso Lentilha 1/4"X3/4"</t>
  </si>
  <si>
    <t>Parafuso Lentilha 1/4"X5/8"</t>
  </si>
  <si>
    <t>Parafuso Lentilha 3/8"</t>
  </si>
  <si>
    <t>Parafuso Lentilha 5/16"X3/4"</t>
  </si>
  <si>
    <t>Parafuso Lentilha Cabeça Fenda 1/4X1/2"</t>
  </si>
  <si>
    <t>Parafuso Lentilha Cabeça Fenda 1/4X3/4"</t>
  </si>
  <si>
    <t>Parafuso Lentilha Cabeça Fenda 3/8X3/4"</t>
  </si>
  <si>
    <t>Parafuso Lentilha Cabeça Fenda 5/16X3/4"</t>
  </si>
  <si>
    <t>Parafuso Para Cravação - Rosca/Comprimento Do Parafuso 3/4" Unc X 2"</t>
  </si>
  <si>
    <t>Parafuso Para Cravação - Rosca/Comprimento Do Parafuso 5/8" Unc X 2"</t>
  </si>
  <si>
    <t>Porca Losangular 1/4"</t>
  </si>
  <si>
    <t>Porca Losangular 1/4" Com Pino</t>
  </si>
  <si>
    <t>Porca Losangular 3/8"</t>
  </si>
  <si>
    <t>Porca Sextavada 1/4"</t>
  </si>
  <si>
    <t>Porca Sextavada 3/8"</t>
  </si>
  <si>
    <t>Porca Sextavada 5/16"</t>
  </si>
  <si>
    <t>Porca Sextavada Travante Nylon Zincado Branco Ma - M10</t>
  </si>
  <si>
    <t>Porca Sextavada Travante Nylon Zincado Branco Ma - M12</t>
  </si>
  <si>
    <t>Porca Sextavada Travante Nylon Zincado Branco Ma - M6</t>
  </si>
  <si>
    <t>Porca Sextavada Travante Nylon Zincado Branco Ma - M8</t>
  </si>
  <si>
    <t>Porca Zincada, Quadrada, Diametro 3/8"</t>
  </si>
  <si>
    <t>Porca Zincada, Quadrada, Diametro 5/8"</t>
  </si>
  <si>
    <t>Porca Zincada, Sextavada, Diametro 1"</t>
  </si>
  <si>
    <t>Porca Zincada, Sextavada, Diametro 1/2"</t>
  </si>
  <si>
    <t>Porca Zincada, Sextavada, Diametro 1/4"</t>
  </si>
  <si>
    <t>Porca Zincada, Sextavada, Diametro 3/8"</t>
  </si>
  <si>
    <t>Porca Zincada, Sextavada, Diametro 5/16"</t>
  </si>
  <si>
    <t>Porca Zincada, Sextavada, Diametro 5/8"</t>
  </si>
  <si>
    <t>Prolongador Sextavado 1/4" - Curto</t>
  </si>
  <si>
    <t>Prolongador Sextavado 1/4" - Longo</t>
  </si>
  <si>
    <t>Prolongador Sextavado 3/8" - Longo</t>
  </si>
  <si>
    <t>Barra Roscada (Tirante) 1/4" - 3 Metros</t>
  </si>
  <si>
    <t>Barra Roscada (Tirante) 3/8" - 3 Metros</t>
  </si>
  <si>
    <t>Barra Roscada (Tirante) 5/16" - 3 Metros</t>
  </si>
  <si>
    <t>Acionador Sup (Caixa Met /Pint Epoxi) 100 X 100 X 45</t>
  </si>
  <si>
    <t>Campainha Cigarra 127 V / 220 V (Apenas Modulo)</t>
  </si>
  <si>
    <t>Campainha Cigarra 127 V / 220 V, Conjunto Montado Para Embutir 4" X 2" (Placa + Suporte + Modulo)</t>
  </si>
  <si>
    <t>Tinta Acrilica Premium Para Piso</t>
  </si>
  <si>
    <t>Conector Para Aterramento Cabo/Haste 1/2"-5/8" 16-35mm</t>
  </si>
  <si>
    <t>Conector Para Aterramento Cabo/Haste 1/2"-5/8" 50-70mm</t>
  </si>
  <si>
    <t>Conector Para Aterramento Cabo/Haste 1/2"-5/8" 95-150mm</t>
  </si>
  <si>
    <t>Conector Para Aterramento Cabo/Haste 5/8"-3/4" 16-35mm</t>
  </si>
  <si>
    <t>Conector Para Aterramento Cabo/Haste 5/8"-3/4" 50-70mm</t>
  </si>
  <si>
    <t>Conector Para Aterramento Cabo/Haste 5/8"-3/4" 95-150mm</t>
  </si>
  <si>
    <t>Arame Galvanizado 16mm (Rolo)</t>
  </si>
  <si>
    <t>Cabo 750V Flexivel 6mm Azul Rolo C/ 100 Metros</t>
  </si>
  <si>
    <t>Cabo 750V Flexivel 6mm Verde Rolo C/ 100 Metros</t>
  </si>
  <si>
    <t>Conector Metalico Tipo Parafuso Fendido (Split Bolt), Para Cabos Ate 10 mm2</t>
  </si>
  <si>
    <t>Conector Metalico Tipo Parafuso Fendido (Split Bolt), Para Cabos Ate 120 mm2</t>
  </si>
  <si>
    <t>Conector Metalico Tipo Parafuso Fendido (Split Bolt), Para Cabos Ate 150 mm2</t>
  </si>
  <si>
    <t>Conector Metalico Tipo Parafuso Fendido (Split Bolt), Para Cabos Ate 16 mm2</t>
  </si>
  <si>
    <t>Conector Metalico Tipo Parafuso Fendido (Split Bolt), Para Cabos Ate 185 mm2</t>
  </si>
  <si>
    <t>Conector Metalico Tipo Parafuso Fendido (Split Bolt), Para Cabos Ate 25 mm2</t>
  </si>
  <si>
    <t>Conector Metalico Tipo Parafuso Fendido (Split Bolt), Para Cabos Ate 35 mm2</t>
  </si>
  <si>
    <t>Conector Metalico Tipo Parafuso Fendido (Split Bolt), Para Cabos Ate 50 mm2</t>
  </si>
  <si>
    <t>Conector Metalico Tipo Parafuso Fendido (Split Bolt), Para Cabos Ate 6 mm2</t>
  </si>
  <si>
    <t>Conector Metalico Tipo Parafuso Fendido (Split Bolt), Para Cabos Ate 70 mm2</t>
  </si>
  <si>
    <t>Conector Metalico Tipo Parafuso Fendido (Split Bolt), Para Cabos Ate 95 mm2</t>
  </si>
  <si>
    <t>Conector Omega (Suporte Angular Duplo) Para Eletrocalha - 100mm X 50mm</t>
  </si>
  <si>
    <t>Conector Omega (Suporte Angular Duplo) Para Eletrocalha - 150mm X 100mm</t>
  </si>
  <si>
    <t>Conector Omega (Suporte Angular Duplo) Para Eletrocalha - 200mm X 100mm</t>
  </si>
  <si>
    <t>Conector Omega (Suporte Angular Duplo) Para Eletrocalha - 300mm X 100mm</t>
  </si>
  <si>
    <t>Conector Omega (Suporte Angular Duplo) Para Eletrocalha - 50mm X 50mm</t>
  </si>
  <si>
    <t>Cotovelo Reto 90º Para Eletrocalha - 100X 50mm</t>
  </si>
  <si>
    <t>Cotovelo Reto 90º Para Eletrocalha - 200X100mm</t>
  </si>
  <si>
    <t>Cotovelo Reto 90º Para Eletrocalha - 50X50mm</t>
  </si>
  <si>
    <t>Curva Horizontal Galvanizada Lisa 90º - 100X50mm</t>
  </si>
  <si>
    <t>Curva Horizontal Galvanizada Lisa 90º - 200X100mm</t>
  </si>
  <si>
    <t>Curva Horizontal Galvanizada Lisa 90º - 300X100mm</t>
  </si>
  <si>
    <t>Curva Horizontal Galvanizada Lisa 90º - 50X50mm</t>
  </si>
  <si>
    <t>Curva Horizontal Galvanizada Perfurada 90º - 100X100mm</t>
  </si>
  <si>
    <t>Curva Horizontal Galvanizada Perfurada 90º - 100X50mm</t>
  </si>
  <si>
    <t>Curva Horizontal Galvanizada Perfurada 90º - 150X100mm</t>
  </si>
  <si>
    <t>Curva Horizontal Galvanizada Perfurada 90º - 150X50mm</t>
  </si>
  <si>
    <t>Curva Horizontal Galvanizada Perfurada 90º - 200X100mm</t>
  </si>
  <si>
    <t>Curva Horizontal Galvanizada Perfurada 90º - 200X50mm</t>
  </si>
  <si>
    <t>Curva Horizontal Galvanizada Perfurada 90º - 300X100mm</t>
  </si>
  <si>
    <t>Curva Horizontal Galvanizada Perfurada 90º - 50X50mm</t>
  </si>
  <si>
    <t>Curva Inversão Galvanizada Liza - 100X100mm</t>
  </si>
  <si>
    <t>Curva Inversão Galvanizada Liza - 100X50mm</t>
  </si>
  <si>
    <t>Curva Inversão Galvanizada Perfurada - 100X100mm</t>
  </si>
  <si>
    <t>Curva Inversão Galvanizada Perfurada - 100X50mm</t>
  </si>
  <si>
    <t>Curva Inversão Galvanizada Perfurada - 150X100mm</t>
  </si>
  <si>
    <t>Curva Inversão Galvanizada Perfurada - 300X100mm</t>
  </si>
  <si>
    <t>Curva Inversão Galvanizada Perfurada - 50X50mm</t>
  </si>
  <si>
    <t>Curva Vertical Externa Lisa 90G - 100X100mm</t>
  </si>
  <si>
    <t>Curva Vertical Externa Lisa 90G - 200X100mm</t>
  </si>
  <si>
    <t>Curva Vertical Galvanizada Externa Perfurada 45º - 100X100mm</t>
  </si>
  <si>
    <t>Curva Vertical Galvanizada Externa Perfurada 45º - 100X50mm</t>
  </si>
  <si>
    <t>Curva Vertical Galvanizada Externa Perfurada 45º - 150X100mm</t>
  </si>
  <si>
    <t>Curva Vertical Galvanizada Externa Perfurada 45º - 300X100mm</t>
  </si>
  <si>
    <t>Curva Vertical Galvanizada Externa Perfurada 90º - 100X100mm</t>
  </si>
  <si>
    <t>Curva Vertical Galvanizada Externa Perfurada 90º - 100X50mm</t>
  </si>
  <si>
    <t>Curva Vertical Galvanizada Externa Perfurada 90º - 150X100mm</t>
  </si>
  <si>
    <t>Curva Vertical Galvanizada Externa Perfurada 90º - 150X50mm</t>
  </si>
  <si>
    <t>Curva Vertical Galvanizada Externa Perfurada 90º - 200X100mm</t>
  </si>
  <si>
    <t>Curva Vertical Galvanizada Externa Perfurada 90º - 200X50mm</t>
  </si>
  <si>
    <t>Curva Vertical Galvanizada Externa Perfurada 90º - 300X100mm</t>
  </si>
  <si>
    <t>Curva Vertical Galvanizada Externa Perfurada 90º - 50X50mm</t>
  </si>
  <si>
    <t>Curva Vertical Galvanizada Interna Lisa 90º - 100X100mm</t>
  </si>
  <si>
    <t>Curva Vertical Galvanizada Interna Lisa 90º - 50X50mm</t>
  </si>
  <si>
    <t>Curva Vertical Galvanizada Interna Perfurada 90º - 100X100mm</t>
  </si>
  <si>
    <t>Curva Vertical Galvanizada Interna Perfurada 90º - 100X50mm</t>
  </si>
  <si>
    <t>Curva Vertical Galvanizada Interna Perfurada 90º - 150X100mm</t>
  </si>
  <si>
    <t>Curva Vertical Galvanizada Interna Perfurada 90º - 150X50mm</t>
  </si>
  <si>
    <t>Curva Vertical Galvanizada Interna Perfurada 90º - 200X100mm</t>
  </si>
  <si>
    <t>Curva Vertical Galvanizada Interna Perfurada 90º - 200X50mm</t>
  </si>
  <si>
    <t>Curva Vertical Galvanizada Interna Perfurada 90º - 300X100mm</t>
  </si>
  <si>
    <t>Curva Vertical Galvanizada Interna Perfurada 90º - 50X50mm</t>
  </si>
  <si>
    <t>Eletrocalha Perfurada - 100mm X 100mm - 3 Metros</t>
  </si>
  <si>
    <t>Eletrocalha Perfurada - 100mm X 50mm - 3 Metros</t>
  </si>
  <si>
    <t>Eletrocalha Perfurada - 150mm X 100mm - 3 Metros</t>
  </si>
  <si>
    <t>Eletrocalha Perfurada - 150mm X 50mm - 3 Metros</t>
  </si>
  <si>
    <t>Eletrocalha Perfurada - 200mm X 100mm - 3 Metros</t>
  </si>
  <si>
    <t>Eletrocalha Perfurada - 200mm X 50mm - 3 Metros</t>
  </si>
  <si>
    <t>Eletrocalha Perfurada - 250mm X 50mm - 3 Metros</t>
  </si>
  <si>
    <t>Eletrocalha Perfurada - 300mm X 100mm - 3 Metros</t>
  </si>
  <si>
    <t>Eletrocalha Perfurada - 50mm X 50mm - 3 Metros</t>
  </si>
  <si>
    <t>Emenda Galvanizada 100X50mm Liza</t>
  </si>
  <si>
    <t>Emenda Galvanizada Interna "U" - 100X100mm</t>
  </si>
  <si>
    <t>Emenda Galvanizada Interna "U" - 100X50mm</t>
  </si>
  <si>
    <t>Emenda Galvanizada Interna "U" - 150X100mm</t>
  </si>
  <si>
    <t>Emenda Galvanizada Interna "U" - 150X50mm</t>
  </si>
  <si>
    <t>Emenda Galvanizada Interna "U" - 200X100mm</t>
  </si>
  <si>
    <t>Emenda Galvanizada Interna "U" - 200X50mm</t>
  </si>
  <si>
    <t>Emenda Galvanizada Interna "U" - 300X100mm</t>
  </si>
  <si>
    <t>Emenda Galvanizada Interna "U" - 50X50mm</t>
  </si>
  <si>
    <t>Emenda Integral "U" - 100X100mm</t>
  </si>
  <si>
    <t>Emenda Integral "U" - 100X50mm</t>
  </si>
  <si>
    <t>Emenda Integral "U" - 150X100mm</t>
  </si>
  <si>
    <t>Emenda Integral "U" - 150X50mm</t>
  </si>
  <si>
    <t>Emenda Integral "U" - 200X100mm</t>
  </si>
  <si>
    <t>Emenda Integral "U" - 200X50mm</t>
  </si>
  <si>
    <t>Emenda Integral "U" - 300X100mm</t>
  </si>
  <si>
    <t>Emenda Integral "U" - 300X50mm</t>
  </si>
  <si>
    <t>Emenda Integral "U" - 400X100mm</t>
  </si>
  <si>
    <t>Emenda Integral "U" - 400X50mm</t>
  </si>
  <si>
    <t>Emenda Integral "U" - 50X50mm</t>
  </si>
  <si>
    <t>Emenda Redução Perfurada Galvanizada 100X50mm P/ 50X50mm</t>
  </si>
  <si>
    <t>Emenda Redução Perfurada Galvanizada 150X100mm P/ 100X100mm</t>
  </si>
  <si>
    <t>Emenda Redução Perfurada Galvanizada 200X100mm P/ 100X100mm</t>
  </si>
  <si>
    <t>Emenda Redução Perfurada Galvanizada 200X100mm P/ 150X100mm</t>
  </si>
  <si>
    <t>Flange Para Eletrocalha - 100mm X 100mm</t>
  </si>
  <si>
    <t>Flange Para Eletrocalha - 100mm X 50mm</t>
  </si>
  <si>
    <t>Flange Para Eletrocalha - 150mm X 50mm</t>
  </si>
  <si>
    <t>Flange Para Eletrocalha - 200mm X 100mm</t>
  </si>
  <si>
    <t>Flange Para Eletrocalha - 300mm X 100mm</t>
  </si>
  <si>
    <t>Flange Para Eletrocalha - 50mm X 50mm</t>
  </si>
  <si>
    <t>Junção Reta (Tala) Para Eletrocalha 100mm</t>
  </si>
  <si>
    <t>Junção Reta (Tala) Para Eletrocalha 50mm</t>
  </si>
  <si>
    <t>Junção Reta (Tala) Para Eletrocalha 75mm</t>
  </si>
  <si>
    <t>Septo Divisor - 100mm</t>
  </si>
  <si>
    <t>Septo Divisor - 50mm</t>
  </si>
  <si>
    <t>Suporte Horizontal (Gancho Suspenso) Galvanizado Para Eletrocalha - 100X50mm</t>
  </si>
  <si>
    <t>Suporte Horizontal (Gancho Suspenso) Galvanizado Para Eletrocalha - 150X100mm</t>
  </si>
  <si>
    <t>Suporte Horizontal (Gancho Suspenso) Galvanizado Para Eletrocalha - 150X50mm</t>
  </si>
  <si>
    <t>Suporte Horizontal (Gancho Suspenso) Galvanizado Para Eletrocalha - 200X100mm</t>
  </si>
  <si>
    <t>Suporte Horizontal (Gancho Suspenso) Galvanizado Para Eletrocalha - 200X50mm</t>
  </si>
  <si>
    <t>Suporte Horizontal (Gancho Suspenso) Galvanizado Para Eletrocalha - 50X50mm</t>
  </si>
  <si>
    <t>Suporte Vertical "Igrejinha" - 100X100mm</t>
  </si>
  <si>
    <t>Suporte Vertical "Igrejinha" - 100X50mm</t>
  </si>
  <si>
    <t>Suporte Vertical "Igrejinha" - 150X100mm</t>
  </si>
  <si>
    <t>Suporte Vertical "Igrejinha" - 150X50mm</t>
  </si>
  <si>
    <t>Suporte Vertical "Igrejinha" - 200X100mm</t>
  </si>
  <si>
    <t>Suporte Vertical "Igrejinha" - 200X50mm</t>
  </si>
  <si>
    <t>Suporte Vertical "Igrejinha" - 300X100mm</t>
  </si>
  <si>
    <t>Suporte Vertical "Igrejinha" - 300X50mm</t>
  </si>
  <si>
    <t>Suporte Vertical "Igrejinha" - 400X100mm</t>
  </si>
  <si>
    <t>Suporte Vertical "Igrejinha" - 400X50mm</t>
  </si>
  <si>
    <t>Suporte Vertical "Igrejinha" - 50X50mm</t>
  </si>
  <si>
    <t>Suporte Vertical (Gancho Suspenso) Galvanizado Para Eletrocalha - 100X100mm</t>
  </si>
  <si>
    <t>Suporte Vertical (Gancho Suspenso) Galvanizado Para Eletrocalha - 100X50mm</t>
  </si>
  <si>
    <t>Suporte Vertical (Gancho Suspenso) Galvanizado Para Eletrocalha - 150X100mm</t>
  </si>
  <si>
    <t>Suporte Vertical (Gancho Suspenso) Galvanizado Para Eletrocalha - 150X50mm</t>
  </si>
  <si>
    <t>Suporte Vertical (Gancho Suspenso) Galvanizado Para Eletrocalha - 200X100mm</t>
  </si>
  <si>
    <t>Suporte Vertical (Gancho Suspenso) Galvanizado Para Eletrocalha - 200X50mm</t>
  </si>
  <si>
    <t>Suporte Vertical (Gancho Suspenso) Galvanizado Para Eletrocalha - 300X100mm</t>
  </si>
  <si>
    <t>Suporte Vertical (Gancho Suspenso) Galvanizado Para Eletrocalha - 50X50mm</t>
  </si>
  <si>
    <t>Tampa Curva Galvanizada Inversão 100mm</t>
  </si>
  <si>
    <t>Tampa Curva Vertical Galvanizada Externa 90º - 100mm</t>
  </si>
  <si>
    <t>Tampa Curva Vertical Galvanizada Externa 90º - 150mm</t>
  </si>
  <si>
    <t>Tampa Curva Vertical Galvanizada Externa 90º - 200mm</t>
  </si>
  <si>
    <t>Tampa Curva Vertical Galvanizada Externa 90º - 50mm</t>
  </si>
  <si>
    <t>Tampa Curva Vertical Galvanizada Interna 90º - 100mm</t>
  </si>
  <si>
    <t>Tampa Curva Vertical Galvanizada Interna 90º - 150mm</t>
  </si>
  <si>
    <t>Tampa Curva Vertical Galvanizada Interna 90º - 200mm</t>
  </si>
  <si>
    <t>Tampa Curva Vertical Galvanizada Interna 90º - 50mm</t>
  </si>
  <si>
    <t>Tampa Te Galvanizada Horizontal 150mm</t>
  </si>
  <si>
    <t>Tampa Te Galvanizada Horizontal 200mm</t>
  </si>
  <si>
    <t>Tampa Te Galvanizada Horizontal 50mm</t>
  </si>
  <si>
    <t>Te Horizontal Galvanizado Perfurado 90º - 100X100mm</t>
  </si>
  <si>
    <t>Te Horizontal Galvanizado Perfurado 90º - 100X50mm</t>
  </si>
  <si>
    <t>Te Horizontal Galvanizado Perfurado 90º - 150X100mm</t>
  </si>
  <si>
    <t>Te Horizontal Galvanizado Perfurado 90º - 150X50mm</t>
  </si>
  <si>
    <t>Te Horizontal Galvanizado Perfurado 90º - 200X100mm</t>
  </si>
  <si>
    <t>Te Horizontal Galvanizado Perfurado 90º - 200X50mm</t>
  </si>
  <si>
    <t>Te Horizontal Galvanizado Perfurado 90º - 200X75mm</t>
  </si>
  <si>
    <t>Te Horizontal Galvanizado Perfurado 90º - 300X100mm</t>
  </si>
  <si>
    <t>Te Horizontal Galvanizado Perfurado 90º - 50X50mm</t>
  </si>
  <si>
    <t>Tampa Com Saída Para Eletroduto Ø1 1/2" Para Eletrocalha 200mm X 100mm</t>
  </si>
  <si>
    <t>Mão Francesa Reforçada - 200mm</t>
  </si>
  <si>
    <t>Mão Francesa Reforçada - 300mm</t>
  </si>
  <si>
    <t>Mão Francesa Reforçada - 400mm</t>
  </si>
  <si>
    <t>Mão Francesa Reforçada - 500mm</t>
  </si>
  <si>
    <t>Mão Francesa Reforçada Para Eletrocalha - 200mm</t>
  </si>
  <si>
    <t>Mão Francesa Reforçada Para Eletrocalha - 300mm</t>
  </si>
  <si>
    <t>Mão Francesa Reforçada Para Eletrocalha - 500mm</t>
  </si>
  <si>
    <t>Mão Francesa Simples - 100mm</t>
  </si>
  <si>
    <t>Mão Francesa Simples - 150mm</t>
  </si>
  <si>
    <t>Mão Francesa Simples - 200mm</t>
  </si>
  <si>
    <t>Mão Francesa Simples - 300mm</t>
  </si>
  <si>
    <t>Mão Francesa Simples - 400mm</t>
  </si>
  <si>
    <t>Mão Francesa Simples Para Eletrocalha - 100mm</t>
  </si>
  <si>
    <t>Mão Francesa Simples Para Eletrocalha - 150mm</t>
  </si>
  <si>
    <t>Mão Francesa Simples Para Eletrocalha - 200mm</t>
  </si>
  <si>
    <t>Mão Francesa Simples Para Eletrocalha - 300mm</t>
  </si>
  <si>
    <t>Mão Francesa Simples Para Eletrocalha - 400mm</t>
  </si>
  <si>
    <t>Mão Francesa Simples Para Eletrocalha - 500mm</t>
  </si>
  <si>
    <t>Mão Francesa Simples Para Eletrocalha - 50mm</t>
  </si>
  <si>
    <t>Mão Francesa Simples Para Eletrocalha - 600mm</t>
  </si>
  <si>
    <t>Curva Horizontal Galvanizada 90º P/ Perfilado 38X38mm</t>
  </si>
  <si>
    <t>Junção "I" 38X19mm</t>
  </si>
  <si>
    <t>Junção "I" 38X38mm</t>
  </si>
  <si>
    <t>Junção "L" 38X19mm</t>
  </si>
  <si>
    <t>Junção "L" 38X38mm</t>
  </si>
  <si>
    <t>Junção "T" 38X19mm</t>
  </si>
  <si>
    <t>Junção "T" 38X38mm</t>
  </si>
  <si>
    <t>Junção "X" 38X19mm</t>
  </si>
  <si>
    <t>Junção "X" 38X38mm</t>
  </si>
  <si>
    <t>Perfilado Perfurado 19 X 38 mm, Chapa 22</t>
  </si>
  <si>
    <t>Perfilado Perfurado Duplo 38 X 76 mm, Chapa 22</t>
  </si>
  <si>
    <t>Perfilado Perfurado Simples 38 X 38 mm, Chapa 22</t>
  </si>
  <si>
    <t>Sapata 4 Furos Interna 38X38mm</t>
  </si>
  <si>
    <t>Sapata Estreita Interna 38X38mm</t>
  </si>
  <si>
    <t>Suporte Lateral P/ Leito 100mm</t>
  </si>
  <si>
    <t>Tampa Encaixe 38mm</t>
  </si>
  <si>
    <t>Arame Farpado Galvanizado, 14 Bwg (2,11 mm), Classe 250</t>
  </si>
  <si>
    <t>Arame Farpado Galvanizado, 16 Bwg (1,65 mm), Classe 250</t>
  </si>
  <si>
    <t>Câmera Analógica Colorida Bullet Turbo Hd 1080P Lente 2.8 mm - 2Mp Ip66</t>
  </si>
  <si>
    <t>Câmera Dome Colorvu Lente 2.8mm - Ip67</t>
  </si>
  <si>
    <t>Aco Ca-25, 32,0 mm, Vergalhao</t>
  </si>
  <si>
    <t>Aco Ca-50, 10,0 mm, Vergalhao</t>
  </si>
  <si>
    <t>Aco Ca-50, 32,0 mm, Vergalhao</t>
  </si>
  <si>
    <t>Aco Ca-50, 6,3 mm, Vergalhao</t>
  </si>
  <si>
    <t>Aco Ca-50, 8,0 mm, Vergalhao</t>
  </si>
  <si>
    <t>Arruela Serrilhada Cônica Aço Standers 10mm</t>
  </si>
  <si>
    <t>Arruela Serrilhada Cônica Aço Standers 12mm</t>
  </si>
  <si>
    <t>Arruela Serrilhada Cônica Aço Standers 5mm</t>
  </si>
  <si>
    <t>Arruela Serrilhada Cônica Aço Standers 6mm</t>
  </si>
  <si>
    <t>Arruela Serrilhada Cônica Aço Standers 8mm</t>
  </si>
  <si>
    <t>Parafuso Aço Inox - 25mm - M10</t>
  </si>
  <si>
    <t>Parafuso Aço Inox - 25mm - M12</t>
  </si>
  <si>
    <t>Parafuso Aço Inox - 25mm - M6</t>
  </si>
  <si>
    <t>Parafuso Aço Inox - 25mm - M8</t>
  </si>
  <si>
    <t>Parafuso Auto Brocante 4,2X13mm</t>
  </si>
  <si>
    <t>Parafuso Zincado, Autobrocante, Flangeado, 4,2 mm X 19 mm</t>
  </si>
  <si>
    <t>Porca Borboleta Zincado Branco Ma - M10X1,50mm</t>
  </si>
  <si>
    <t>Porca Borboleta Zincado Branco Ma - M12X1,75mm</t>
  </si>
  <si>
    <t>Porca Borboleta Zincado Branco Ma - M6X1,0mm</t>
  </si>
  <si>
    <t>Porca Borboleta Zincado Branco Ma - M8X1,25mm</t>
  </si>
  <si>
    <t>Porca Sextavada Polida Ma - M10X1,50mm</t>
  </si>
  <si>
    <t>Porca Sextavada Polida Ma - M12X1,75mm</t>
  </si>
  <si>
    <t>Porca Sextavada Polida Ma - M6X1,0mm</t>
  </si>
  <si>
    <t>Porca Sextavada Polida Ma - M8X1,25mm</t>
  </si>
  <si>
    <t>Porca Sextavada Zincado Branco Ma - M10X1,50mm</t>
  </si>
  <si>
    <t>Porca Sextavada Zincado Branco Ma - M12X1,75mm</t>
  </si>
  <si>
    <t>Porca Sextavada Zincado Branco Ma - M6X1,0mm</t>
  </si>
  <si>
    <t>Porca Sextavada Zincado Branco Ma - M8X1,25mm</t>
  </si>
  <si>
    <t>Porca Uniao/Juncao Zincada Sextavada 1/4 ", Chave 7/16 ", Comprimento = 25 mm</t>
  </si>
  <si>
    <t>Terminal Borne Sak - 2,5mm - Para Trilho Din</t>
  </si>
  <si>
    <t>Terminal Dupla Compressão Para Condutores Flexíveis - Longo - M10 - 120mm</t>
  </si>
  <si>
    <t>Terminal Dupla Compressão Para Condutores Flexíveis - Longo - M10 - 35mm</t>
  </si>
  <si>
    <t>Terminal Dupla Compressão Para Condutores Flexíveis - Longo - M10 - 50mm</t>
  </si>
  <si>
    <t>Terminal Dupla Compressão Para Condutores Flexíveis - Longo - M10 - 70mm</t>
  </si>
  <si>
    <t>Terminal Dupla Compressão Para Condutores Flexíveis - Longo - M10 - 95mm</t>
  </si>
  <si>
    <t>Terminal Dupla Compressão Para Condutores Flexíveis - Longo - M12 - 120mm</t>
  </si>
  <si>
    <t>Terminal Dupla Compressão Para Condutores Flexíveis - Longo - M12 - 150mm</t>
  </si>
  <si>
    <t>Terminal Dupla Compressão Para Condutores Flexíveis - Longo - M12 - 185mm</t>
  </si>
  <si>
    <t>Terminal Dupla Compressão Para Condutores Flexíveis - Longo - M12 - 240mm</t>
  </si>
  <si>
    <t>Terminal Dupla Compressão Para Condutores Flexíveis - Longo - M12 - 300mm</t>
  </si>
  <si>
    <t>Terminal Dupla Compressão Para Condutores Flexíveis - Longo - M12 - 400mm</t>
  </si>
  <si>
    <t>Terminal Dupla Compressão Para Condutores Flexíveis - Longo - M12 - 500mm</t>
  </si>
  <si>
    <t>Terminal Dupla Compressão Para Condutores Flexíveis - Longo - M12 - 50mm</t>
  </si>
  <si>
    <t>Terminal Dupla Compressão Para Condutores Flexíveis - Longo - M12 - 70mm</t>
  </si>
  <si>
    <t>Terminal Dupla Compressão Para Condutores Flexíveis - Longo - M12 - 95mm</t>
  </si>
  <si>
    <t>Terminal Dupla Compressão Para Condutores Flexíveis - Longo - M5 - 10mm</t>
  </si>
  <si>
    <t>Terminal Dupla Compressão Para Condutores Flexíveis - Longo - M6 - 10mm</t>
  </si>
  <si>
    <t>Terminal Dupla Compressão Para Condutores Flexíveis - Longo - M6 - 16mm</t>
  </si>
  <si>
    <t>Terminal Dupla Compressão Para Condutores Flexíveis - Longo - M6 - 25mm</t>
  </si>
  <si>
    <t>Terminal Dupla Compressão Para Condutores Flexíveis - Longo - M6 - 50mm</t>
  </si>
  <si>
    <t>Terminal Dupla Compressão Para Condutores Flexíveis - Longo - M8 - 16mm</t>
  </si>
  <si>
    <t>Terminal Dupla Compressão Para Condutores Flexíveis - Longo - M8 - 35mm</t>
  </si>
  <si>
    <t>Terminal Dupla Compressão Para Condutores Flexíveis - Longo - M8 - 50mm</t>
  </si>
  <si>
    <t>Terminal Dupla Compressão Para Condutores Flexíveis - Longo - M8 - 70mm</t>
  </si>
  <si>
    <t>Terminal Pré-Isolado Tipo Olhal Tubular - M10 - Condutor 10mm2</t>
  </si>
  <si>
    <t>Terminal Pré-Isolado Tipo Olhal Tubular - M10 - Condutor 25mm2</t>
  </si>
  <si>
    <t>Terminal Pré-Isolado Tipo Olhal Tubular - M10 - Condutor 35mm2</t>
  </si>
  <si>
    <t>Terminal Pré-Isolado Tipo Olhal Tubular - M10 - Condutor 50mm2</t>
  </si>
  <si>
    <t>Terminal Pré-Isolado Tipo Olhal Tubular - M12 - Condutor 10mm2</t>
  </si>
  <si>
    <t>Terminal Pré-Isolado Tipo Olhal Tubular - M12 - Condutor 50mm2</t>
  </si>
  <si>
    <t>Terminal Pré-Isolado Tipo Olhal Tubular - M6 - Condutor 10mm2</t>
  </si>
  <si>
    <t>Terminal Pré-Isolado Tipo Olhal Tubular - M6 - Condutor 16mm2</t>
  </si>
  <si>
    <t>Terminal Pré-Isolado Tipo Olhal Tubular - M6 - Condutor 25mm2</t>
  </si>
  <si>
    <t>Terminal Pré-Isolado Tipo Olhal Tubular - M6 - Condutor 35mm2</t>
  </si>
  <si>
    <t>Terminal Pré-Isolado Tipo Olhal Tubular - M6 - Condutor 50mm2</t>
  </si>
  <si>
    <t>Terminal Pré-Isolado Tipo Olhal Tubular - M8 - Condutor 10mm2</t>
  </si>
  <si>
    <t>Terminal Pré-Isolado Tipo Olhal Tubular - M8 - Condutor 16mm2</t>
  </si>
  <si>
    <t>Terminal Pré-Isolado Tipo Olhal Tubular - M8 - Condutor 25mm2</t>
  </si>
  <si>
    <t>Terminal Pré-Isolado Tipo Olhal Tubular - M8 - Condutor 35mm2</t>
  </si>
  <si>
    <t>Terminal Pré-Isolado Tipo Olhal Tubular - M8 - Condutor 50mm2</t>
  </si>
  <si>
    <t>Terminal Pré-Isolado Tipo Olhal Tubular - M8 - Condutor 70mm2</t>
  </si>
  <si>
    <t>Terminal Pré-Isolado Tipo Pino Tubular - Condutor 10mm2 - Comprimento Pino 15mm</t>
  </si>
  <si>
    <t>Terminal Pré-Isolado Tipo Pino Tubular - Condutor 16mm2 - Comprimento Pino 16,5mm</t>
  </si>
  <si>
    <t>Terminal Pré-Isolado Tipo Pino Tubular - Condutor 25mm2 - Comprimento Pino 16,5mm</t>
  </si>
  <si>
    <t>Terminal Pré-Isolado Tipo Pino Tubular - Condutor 35mm2 - Comprimento Pino 17mm</t>
  </si>
  <si>
    <t>Terminal Pré-Isolado Tipo Pino Tubular - Condutor 50mm2 - Comprimento Pino 24mm</t>
  </si>
  <si>
    <t>Terminal Pré-Isolado Tipo Pino Tubular - Condutor 70mm2 - Comprimento Pino 24mm</t>
  </si>
  <si>
    <t>Campainha Alta Potencia 110V / 220V, Diametro 150 mm</t>
  </si>
  <si>
    <t>Cabo de Cobre NU 10 mm2 Meio-Duro</t>
  </si>
  <si>
    <t>Cabo de Cobre NU 120 mm2 Meio-Duro</t>
  </si>
  <si>
    <t>Cabo de Cobre NU 150 mm2 Meio-Duro</t>
  </si>
  <si>
    <t>Cabo de Cobre NU 16 mm2 Meio-Duro</t>
  </si>
  <si>
    <t>Cabo de Cobre NU 185 mm2 Meio-Duro</t>
  </si>
  <si>
    <t>Cabo de Cobre NU 240 mm2 Meio-Duro</t>
  </si>
  <si>
    <t>Cabo de Cobre NU 25 mm2 Meio-Duro</t>
  </si>
  <si>
    <t>Cabo de Cobre NU 300 mm2 Meio-Duro</t>
  </si>
  <si>
    <t>Cabo de Cobre NU 35 mm2 Meio-Duro</t>
  </si>
  <si>
    <t>Cabo de Cobre NU 50 mm2 Meio-Duro</t>
  </si>
  <si>
    <t>Cabo de Cobre NU 70 mm2 Meio-Duro</t>
  </si>
  <si>
    <t>Cabo de Cobre NU 95 mm2 Meio-Duro</t>
  </si>
  <si>
    <t>Conector Split-Bolt Para Cabo de Cobre NU | 10 mm</t>
  </si>
  <si>
    <t>Conector Split-Bolt Para Cabo de Cobre NU | 120 mm</t>
  </si>
  <si>
    <t>Conector Split-Bolt Para Cabo de Cobre NU | 150 mm</t>
  </si>
  <si>
    <t>Conector Split-Bolt Para Cabo de Cobre NU | 16 mm</t>
  </si>
  <si>
    <t>Conector Split-Bolt Para Cabo de Cobre NU | 185 mm</t>
  </si>
  <si>
    <t>Conector Split-Bolt Para Cabo de Cobre NU | 240 mm</t>
  </si>
  <si>
    <t>Conector Split-Bolt Para Cabo de Cobre NU | 25 mm</t>
  </si>
  <si>
    <t>Conector Split-Bolt Para Cabo de Cobre NU | 35 mm</t>
  </si>
  <si>
    <t>Conector Split-Bolt Para Cabo de Cobre NU | 50 mm (7 Fios)</t>
  </si>
  <si>
    <t>Conector Split-Bolt Para Cabo de Cobre NU | 70 mm</t>
  </si>
  <si>
    <t>Conector Split-Bolt Para Cabo de Cobre NU | 95 mm</t>
  </si>
  <si>
    <t>Luva de Emenda Para Hastes Prolongáveis - Rosca/Haste 1"</t>
  </si>
  <si>
    <t>Luva de Emenda Para Hastes Prolongáveis - Rosca/Haste 3/4"</t>
  </si>
  <si>
    <t>Luva de Emenda Para Hastes Prolongáveis - Rosca/Haste 5/8"</t>
  </si>
  <si>
    <t>Cabo de Aco Galvanizado, Diametro 12,7 mm (1/2"), Com Alma de Aco Cabo Independente 6 X 25 F</t>
  </si>
  <si>
    <t>Cabo de Aco Galvanizado, Diametro 12,7 mm (1/2"), Com Alma de Fibra 6 X 25 F</t>
  </si>
  <si>
    <t>Cabo de Aco Galvanizado, Diametro 9,53 mm (3/8"), Com Alma de Fibra 6 X 25 F</t>
  </si>
  <si>
    <t>Cabo de Cobre Flexivel Nao Halogenado, Sem Emissao de Fumaca, 750V, Secao Nominal 120 mm</t>
  </si>
  <si>
    <t>Cabo de Cobre Flexivel Nao Halogenado, Sem Emissao de Fumaca, 750V, Secao Nominal 2,5 mm</t>
  </si>
  <si>
    <t>Cabo de Cobre Flexivel Nao Halogenado, Sem Emissao de Fumaca, 750V, Secao Nominal 240 mm</t>
  </si>
  <si>
    <t>Cabo de Cobre Flexivel Nao Halogenado, Sem Emissao de Fumaca, 750V, Secao Nominal 50 mm</t>
  </si>
  <si>
    <t>Cabo de Cobre Flexivel Nao Halogenado, Sem Emissao de Fumaca, 750V, Secao Nominal 6,0 mm</t>
  </si>
  <si>
    <t>Luva de Emenda Para Cabos de Cobre (Tração Reduzida) - Condutor 10mm2</t>
  </si>
  <si>
    <t>Luva de Emenda Para Cabos de Cobre (Tração Reduzida) - Condutor 120mm2</t>
  </si>
  <si>
    <t>Luva de Emenda Para Cabos de Cobre (Tração Reduzida) - Condutor 150mm2</t>
  </si>
  <si>
    <t>Luva de Emenda Para Cabos de Cobre (Tração Reduzida) - Condutor 16mm2</t>
  </si>
  <si>
    <t>Luva de Emenda Para Cabos de Cobre (Tração Reduzida) - Condutor 185mm2</t>
  </si>
  <si>
    <t>Luva de Emenda Para Cabos de Cobre (Tração Reduzida) - Condutor 240mm2</t>
  </si>
  <si>
    <t>Luva de Emenda Para Cabos de Cobre (Tração Reduzida) - Condutor 25mm2</t>
  </si>
  <si>
    <t>Luva de Emenda Para Cabos de Cobre (Tração Reduzida) - Condutor 300mm2</t>
  </si>
  <si>
    <t>Luva de Emenda Para Cabos de Cobre (Tração Reduzida) - Condutor 35mm2</t>
  </si>
  <si>
    <t>Luva de Emenda Para Cabos de Cobre (Tração Reduzida) - Condutor 400mm2</t>
  </si>
  <si>
    <t>Luva de Emenda Para Cabos de Cobre (Tração Reduzida) - Condutor 500mm2</t>
  </si>
  <si>
    <t>Luva de Emenda Para Cabos de Cobre (Tração Reduzida) - Condutor 50mm2</t>
  </si>
  <si>
    <t>Luva de Emenda Para Cabos de Cobre (Tração Reduzida) - Condutor 70mm2</t>
  </si>
  <si>
    <t>Luva de Emenda Para Cabos de Cobre (Tração Reduzida) - Condutor 95mm2</t>
  </si>
  <si>
    <t>Caixa de Concreto Armado Pre-Moldado, Sem Fundo, Quadrada, Dimensoes de 0,30 X 0,30 X 0,30 M</t>
  </si>
  <si>
    <t>Caixa de Concreto Armado Pre-Moldado, Sem Fundo, Quadrada, Dimensoes de 0,40 X 0,40 X 0,40 M</t>
  </si>
  <si>
    <t>Caixa de Concreto Armado Pre-Moldado, Sem Fundo, Quadrada, Dimensoes de 0,60 X 0,60 X 0,50 M</t>
  </si>
  <si>
    <t>Caixa de Concreto Armado Pre-Moldado, Sem Fundo, Quadrada, Dimensoes de 0,80 X 0,80 X 0,50 M</t>
  </si>
  <si>
    <t>Caixa de Concreto Armado Pre-Moldado, Sem Fundo, Quadrada, Dimensoes de 1,00 X 1,00 X 0,50 M</t>
  </si>
  <si>
    <t>Caixa de Passagem de Concreto 0,25X0,25X0,25M</t>
  </si>
  <si>
    <t>Caixa Elétrica de Concreto 0,25X0,25X0,25M</t>
  </si>
  <si>
    <t>Caixa de Sobrepor 1 Tomada 2P+T 10A - 127V Branca</t>
  </si>
  <si>
    <t>Condulete de Aluminio Tipo B, Para Eletroduto Roscavel de 1", Com Tampa Cega</t>
  </si>
  <si>
    <t>Condulete de Aluminio Tipo B, Para Eletroduto Roscavel de 1/2", Com Tampa Cega</t>
  </si>
  <si>
    <t>Condulete de Aluminio Tipo B, Para Eletroduto Roscavel de 3/4", Com Tampa Cega</t>
  </si>
  <si>
    <t>Condulete de Aluminio Tipo C, Para Eletroduto Roscavel de 1", Com Tampa Cega</t>
  </si>
  <si>
    <t>Condulete de Aluminio Tipo C, Para Eletroduto Roscavel de 1/2", Com Tampa Cega</t>
  </si>
  <si>
    <t>Condulete de Aluminio Tipo C, Para Eletroduto Roscavel de 3/4", Com Tampa Cega</t>
  </si>
  <si>
    <t>Condulete de Aluminio Tipo C, Para Eletroduto Roscavel de 4", Com Tampa Cega</t>
  </si>
  <si>
    <t>Condulete de Aluminio Tipo E, Para Eletroduto Roscavel de 1 1/2", Com Tampa Cega</t>
  </si>
  <si>
    <t>Condulete de Aluminio Tipo E, Para Eletroduto Roscavel de 1 1/4", Com Tampa Cega</t>
  </si>
  <si>
    <t>Condulete de Aluminio Tipo E, Para Eletroduto Roscavel de 1", Com Tampa Cega</t>
  </si>
  <si>
    <t>Condulete de Aluminio Tipo E, Para Eletroduto Roscavel de 1/2", Com Tampa Cega</t>
  </si>
  <si>
    <t>Condulete de Aluminio Tipo E, Para Eletroduto Roscavel de 2", Com Tampa Cega</t>
  </si>
  <si>
    <t>Condulete de Aluminio Tipo E, Para Eletroduto Roscavel de 3", Com Tampa Cega</t>
  </si>
  <si>
    <t>Condulete de Aluminio Tipo E, Para Eletroduto Roscavel de 3/4", Com Tampa Cega</t>
  </si>
  <si>
    <t>Condulete de Aluminio Tipo E, Para Eletroduto Roscavel de 4", Com Tampa Cega</t>
  </si>
  <si>
    <t>Condulete de Aluminio Tipo T, Para Eletroduto Roscavel de 1 1/2", Com Tampa Cega</t>
  </si>
  <si>
    <t>Condulete de Aluminio Tipo T, Para Eletroduto Roscavel de 1 1/4", Com Tampa Cega</t>
  </si>
  <si>
    <t>Condulete de Aluminio Tipo T, Para Eletroduto Roscavel de 1", Com Tampa Cega</t>
  </si>
  <si>
    <t>Condulete de Aluminio Tipo T, Para Eletroduto Roscavel de 1/2", Com Tampa Cega</t>
  </si>
  <si>
    <t>Condulete de Aluminio Tipo T, Para Eletroduto Roscavel de 2", Com Tampa Cega</t>
  </si>
  <si>
    <t>Condulete de Aluminio Tipo T, Para Eletroduto Roscavel de 3", Com Tampa Cega</t>
  </si>
  <si>
    <t>Condulete de Aluminio Tipo T, Para Eletroduto Roscavel de 3/4", Com Tampa Cega</t>
  </si>
  <si>
    <t>Condulete de Aluminio Tipo T, Para Eletroduto Roscavel de 4", Com Tampa Cega</t>
  </si>
  <si>
    <t>Condulete de Aluminio Tipo X, Para Eletroduto Roscavel de 1 1/2", Com Tampa Cega</t>
  </si>
  <si>
    <t>Condulete de Aluminio Tipo X, Para Eletroduto Roscavel de 1 1/4", Com Tampa Cega</t>
  </si>
  <si>
    <t>Condulete de Aluminio Tipo X, Para Eletroduto Roscavel de 1", Com Tampa Cega</t>
  </si>
  <si>
    <t>Condulete de Aluminio Tipo X, Para Eletroduto Roscavel de 1/2", Com Tampa Cega</t>
  </si>
  <si>
    <t>Condulete de Aluminio Tipo X, Para Eletroduto Roscavel de 2", Com Tampa Cega</t>
  </si>
  <si>
    <t>Condulete de Aluminio Tipo X, Para Eletroduto Roscavel de 3", Com Tampa Cega</t>
  </si>
  <si>
    <t>Condulete de Aluminio Tipo X, Para Eletroduto Roscavel de 3/4", Com Tampa Cega</t>
  </si>
  <si>
    <t>Condulete de Aluminio Tipo X, Para Eletroduto Roscavel de 4", Com Tampa Cega</t>
  </si>
  <si>
    <t>Conector Condulete de Alumínio Multiplo - 1"</t>
  </si>
  <si>
    <t>Conector Condulete de Alumínio Multiplo - 1.1/2"</t>
  </si>
  <si>
    <t>Conector Condulete de Alumínio Multiplo - 1.1/4"</t>
  </si>
  <si>
    <t>Conector Condulete de Alumínio Multiplo - 1/2"</t>
  </si>
  <si>
    <t>Conector Condulete de Alumínio Multiplo - 2"</t>
  </si>
  <si>
    <t>Conector Condulete de Alumínio Multiplo - 3/4"</t>
  </si>
  <si>
    <t>Tampa 1 Posto Para Condulete de Alumínio - 1"</t>
  </si>
  <si>
    <t>Tampa 1 Posto Para Condulete de Alumínio - 3/4"</t>
  </si>
  <si>
    <t>Tampa 1 Rj (Registered Jack) Para Condulete de Alumínio - 1"</t>
  </si>
  <si>
    <t>Tampa 1 Rj (Registered Jack) Para Condulete de Alumínio - 3/4"</t>
  </si>
  <si>
    <t>Tampa 2 Posto Para Condulete de Alumínio - 1"</t>
  </si>
  <si>
    <t>Tampa 2 Posto Para Condulete de Alumínio - 3/4"</t>
  </si>
  <si>
    <t>Tampa 2 Rj (Registered Jack) Para Condulete de Alumínio - 1"</t>
  </si>
  <si>
    <t>Tampa 2 Rj (Registered Jack) Para Condulete de Alumínio - 3/4"</t>
  </si>
  <si>
    <t>Tampa Cega Para Condulete de Alumínio - 1"</t>
  </si>
  <si>
    <t>Tampa Cega Para Condulete de Alumínio - 3/4"</t>
  </si>
  <si>
    <t>Tampa Tomada Padrão Brasileiro Para Condulete de Alumínio - 1"</t>
  </si>
  <si>
    <t>Tampa Tomada Padrão Brasileiro Para Condulete de Alumínio - 3/4"</t>
  </si>
  <si>
    <t>Tampa Tomada Redonda Para Condulete de Alumínio - 1"</t>
  </si>
  <si>
    <t>Tampa Tomada Redonda Para Condulete de Alumínio - 3/4"</t>
  </si>
  <si>
    <t>Conector Metalico Tipo Parafuso Fendido (Split Bolt), Com Separador de Cabos Bimetalicos, Para Cabos Ate 25 mm2</t>
  </si>
  <si>
    <t>Conector Metalico Tipo Parafuso Fendido (Split Bolt), Com Separador de Cabos Bimetalicos, Para Cabos Ate 50 mm2</t>
  </si>
  <si>
    <t>Conector Metalico Tipo Parafuso Fendido (Split Bolt), Com Separador de Cabos Bimetalicos, Para Cabos Ate 70 mm2</t>
  </si>
  <si>
    <t>Disjuntor Tipo Nema, Monopolar 10 Ate 30A, Tensao Maxima de 240 V</t>
  </si>
  <si>
    <t>Disjuntor Tipo Nema, Monopolar 35 Ate 50 A, Tensao Maxima de 240 V</t>
  </si>
  <si>
    <t>Disjuntor Tipo Nema, Monopolar de 60 Ate 70A, Tensao Maxima de 240 V</t>
  </si>
  <si>
    <t>Disjuntor Tipo Nema, Tripolar 10 Ate 50A, Tensao Maxima de 415 V</t>
  </si>
  <si>
    <t>Disjuntor Tipo Nema, Tripolar 60 Ate 100 A, Tensao Maxima de 415 V</t>
  </si>
  <si>
    <t>Fita de Aço Perfurada 19mm C/ 10Mts</t>
  </si>
  <si>
    <t>Fita de Aço Perfurada 19mm C/ 25Mts</t>
  </si>
  <si>
    <t>Fita de Aço Perfurada 19mm C/ 30Mts</t>
  </si>
  <si>
    <t>Luva Emenda P/ Vergalho de Eletrocalha Galvanizada - 1/4"</t>
  </si>
  <si>
    <t>Luva Emenda P/ Vergalho de Eletrocalha Galvanizada - 3/8"</t>
  </si>
  <si>
    <t>Saída Horizontal de Eletrocalha Para Eletroduto 1"</t>
  </si>
  <si>
    <t>Saída Horizontal de Eletrocalha Para Eletroduto 1.1/2"</t>
  </si>
  <si>
    <t>Saída Horizontal de Eletrocalha Para Eletroduto 1.1/4"</t>
  </si>
  <si>
    <t>Saída Horizontal de Eletrocalha Para Eletroduto 2"</t>
  </si>
  <si>
    <t>Saída Horizontal de Eletrocalha Para Eletroduto 3/4"</t>
  </si>
  <si>
    <t>Tala de Emenda Reta - 100mm</t>
  </si>
  <si>
    <t>Tala de Emenda Reta - 50mm</t>
  </si>
  <si>
    <t>Tampa de Encaixe Para Eletrocalha 100X10mm - 3 Metros</t>
  </si>
  <si>
    <t>Tampa de Encaixe Para Eletrocalha 150X10mm - 3 Metros</t>
  </si>
  <si>
    <t>Tampa de Encaixe Para Eletrocalha 300X10mm - 3 Metros</t>
  </si>
  <si>
    <t>Tampa de Encaixe Para Eletrocalha 50X10mm - 3 Metros</t>
  </si>
  <si>
    <t>Tampas de Encaixe Para Eletrocalhas - 100mm - 3 Metros</t>
  </si>
  <si>
    <t>Tampas de Encaixe Para Eletrocalhas - 150mm - 3 Metros</t>
  </si>
  <si>
    <t>Tampas de Encaixe Para Eletrocalhas - 200mm - 3 Metros</t>
  </si>
  <si>
    <t>Tampas de Encaixe Para Eletrocalhas - 300mm - 3 Metros</t>
  </si>
  <si>
    <t>Tampas de Encaixe Para Eletrocalhas - 400mm - 3 Metros</t>
  </si>
  <si>
    <t>Tampas de Encaixe Para Eletrocalhas - 50mm - 3 Metros</t>
  </si>
  <si>
    <t>Terminal de Fechamento - 100X100mm</t>
  </si>
  <si>
    <t>Terminal de Fechamento - 100X50mm</t>
  </si>
  <si>
    <t>Terminal de Fechamento - 150X100mm</t>
  </si>
  <si>
    <t>Terminal de Fechamento - 150X50mm</t>
  </si>
  <si>
    <t>Terminal de Fechamento - 200X100mm</t>
  </si>
  <si>
    <t>Terminal de Fechamento - 200X50mm</t>
  </si>
  <si>
    <t>Terminal de Fechamento - 300X100mm</t>
  </si>
  <si>
    <t>Terminal de Fechamento - 300X50mm</t>
  </si>
  <si>
    <t>Terminal de Fechamento - 400X100mm</t>
  </si>
  <si>
    <t>Terminal de Fechamento - 400X50mm</t>
  </si>
  <si>
    <t>Terminal de Fechamento - 50X50mm</t>
  </si>
  <si>
    <t>Terminal de Fechamento Para Eletrocalha 100mm X 100mm</t>
  </si>
  <si>
    <t>Terminal de Fechamento Para Eletrocalha 150mm X 100mm</t>
  </si>
  <si>
    <t>Terminal de Fechamento Para Eletrocalha 200mm X 100mm</t>
  </si>
  <si>
    <t>Eletroduto de Ferro Galvanizado 3/4" (Barra de 3M)</t>
  </si>
  <si>
    <t>Junção Para Eletroduto de Ferro Galvanizado 3/4" (Unidut Reto Para Eletroduto de Ferro Galvanizado)</t>
  </si>
  <si>
    <t>Luminaria de Emergencia 30 Leds, Potencia 2 W, Bateria de Litio, Autonomia de 6 Horas</t>
  </si>
  <si>
    <t>Contator Tripolar, Corrente de 250 A, Tensao Nominal de *500* V, Para Acionamento de Capacitores</t>
  </si>
  <si>
    <t>Pente de Conexão Para 4 Disjuntores Monofásicos P/ 10A - 115V</t>
  </si>
  <si>
    <t>Caixa de Derivação 38X38mm P/ Perfilado Tipo T</t>
  </si>
  <si>
    <t>Saída Superior de Perfilado Para Eletroduto 3/4"</t>
  </si>
  <si>
    <t>Suporte Para Cabo de Aço Tipo Gancho Bd1025</t>
  </si>
  <si>
    <t>Tomada Industrial de Embutir 3P+T 30 A, 440 V, Com Trava, Com Placa</t>
  </si>
  <si>
    <t>Tomada Industrial de Embutir 3P+T 30 A, 440 V, Com Trava, Sem Placa</t>
  </si>
  <si>
    <t>Tomada Para Antena de Tv, Cabo Coaxial de 9 mm (Apenas Modulo)</t>
  </si>
  <si>
    <t>Tomada Para Antena de Tv, Cabo Coaxial de 9 mm, Conjunto Montado Para Embutir 4" X 2" (Placa + Suporte + Modulo)</t>
  </si>
  <si>
    <t>Rack Indoor de Parede 19 12U X 670mm</t>
  </si>
  <si>
    <t>Central de Controle Wifi Ds-Pwa64-L-We - Suporte Da Bateria 12 Horas</t>
  </si>
  <si>
    <t>Cruzeta de Concreto Leve, Comp. 2000 mm Secao, 90 X 90 mm</t>
  </si>
  <si>
    <t>Espaçador de Concreto 30mm (100 Unidades)</t>
  </si>
  <si>
    <t>Malha de Aço Q92 (2,00X3,00M)</t>
  </si>
  <si>
    <t>Rolo de Lona Plástica 4,00X100M</t>
  </si>
  <si>
    <t>Rolo de Lona Plástica 4,00X50M</t>
  </si>
  <si>
    <t>Otimizador de Potência, 1200W, Código S1200</t>
  </si>
  <si>
    <t>Arruela de Aba Larga Aço Inox - M10</t>
  </si>
  <si>
    <t>Arruela de Aba Larga Aço Inox - M12</t>
  </si>
  <si>
    <t>Arruela de Aba Larga Aço Inox - M6</t>
  </si>
  <si>
    <t>Arruela de Aba Larga Aço Inox - M8</t>
  </si>
  <si>
    <t>Arruela de Pressão - Aço Inox - M10</t>
  </si>
  <si>
    <t>Arruela de Pressão - Aço Inox - M12</t>
  </si>
  <si>
    <t>Arruela de Pressão - Aço Inox - M6</t>
  </si>
  <si>
    <t>Arruela de Pressão - Aço Inox - M8</t>
  </si>
  <si>
    <t>Arruela de Pressão Aço Polido - M10</t>
  </si>
  <si>
    <t>Arruela de Pressão Aço Polido - M12</t>
  </si>
  <si>
    <t>Arruela de Pressão Aço Polido - M6</t>
  </si>
  <si>
    <t>Arruela de Pressão Aço Polido - M8</t>
  </si>
  <si>
    <t>Arruela de Pressão Zincado Branco - M10</t>
  </si>
  <si>
    <t>Arruela de Pressão Zincado Branco - M12</t>
  </si>
  <si>
    <t>Arruela de Pressão Zincado Branco - M6</t>
  </si>
  <si>
    <t>Arruela de Pressão Zincado Branco - M8</t>
  </si>
  <si>
    <t>Arruela de Segurança Serrilhada Schnorr - M10</t>
  </si>
  <si>
    <t>Arruela de Segurança Serrilhada Schnorr - M12</t>
  </si>
  <si>
    <t>Arruela de Segurança Serrilhada Schnorr - M6</t>
  </si>
  <si>
    <t>Arruela de Segurança Serrilhada Schnorr - M8</t>
  </si>
  <si>
    <t>Arruela Lisa de Aba Larga Zincado Branco - M10</t>
  </si>
  <si>
    <t>Arruela Lisa de Aba Larga Zincado Branco - M12</t>
  </si>
  <si>
    <t>Arruela Lisa de Aba Larga Zincado Branco - M6</t>
  </si>
  <si>
    <t>Arruela Lisa de Aba Larga Zincado Branco - M8</t>
  </si>
  <si>
    <t>Arruela Lisa, Redonda, de Latao Polido, Diametro Nominal 5/8", Diametro Externo = 34 mm, Diametro Do Furo = 17 mm, Espessura = *2,5* mm</t>
  </si>
  <si>
    <t>Arruela Para Eletroduto de Ferro Galvanizado Ø3/4"</t>
  </si>
  <si>
    <t>Bucha de Gesso Tipo Bailarina (Drywall)</t>
  </si>
  <si>
    <t>Parafuso Cabeça de Lentilha Autotravante 1/4X1/2</t>
  </si>
  <si>
    <t>Parafuso de Aco Zincado, Sextavado, Com Rosca Soberba, Diametro 3/8", Comprimento 80 mm</t>
  </si>
  <si>
    <t>Parafuso de Aco Zincado, Tipo Chumbador Parabolt, Diametro 1/2", Comprimento 75 mm</t>
  </si>
  <si>
    <t>Parafuso de Aco Zincado, Tipo Chumbador Parabolt, Diametro 3/8", Comprimento 75 mm</t>
  </si>
  <si>
    <t>Porca Borboleta de Aço Inox Ma - M6X1,0mm</t>
  </si>
  <si>
    <t>Porca Borboleta de Aço Inox Ma - M8X1,25mm</t>
  </si>
  <si>
    <t>Porca Calota de Aço Inox Ma - M6X1,0mm</t>
  </si>
  <si>
    <t>Porca Calota de Aço Inox Ma - M8X1,25mm</t>
  </si>
  <si>
    <t>Porca de Aço Inox - M10</t>
  </si>
  <si>
    <t>Porca de Aço Inox - M12</t>
  </si>
  <si>
    <t>Porca de Aço Inox - M6</t>
  </si>
  <si>
    <t>Porca de Aço Inox - M8</t>
  </si>
  <si>
    <t>Porca Para Eletroduto de Ferro Galvanizado Ø3/4"</t>
  </si>
  <si>
    <t>Porca Sextavada Travante Nylon de Aço Inox - M10</t>
  </si>
  <si>
    <t>Porca Sextavada Travante Nylon de Aço Inox - M12</t>
  </si>
  <si>
    <t>Porca Sextavada Travante Nylon de Aço Inox - M6</t>
  </si>
  <si>
    <t>Porca Sextavada Travante Nylon de Aço Inox - M8</t>
  </si>
  <si>
    <t>Terminal de Cobre Fundido - 2Furos - M12 - 16mm</t>
  </si>
  <si>
    <t>Terminal de Cobre Fundido - 2Furos - M12 - 25mm</t>
  </si>
  <si>
    <t>Terminal de Cobre Fundido - 2Furos - M12 - 35mm</t>
  </si>
  <si>
    <t>Terminal de Cobre Fundido - 2Furos - M12 - 50mm</t>
  </si>
  <si>
    <t>Terminal de Cobre Fundido - 2Furos - M12 - 70mm</t>
  </si>
  <si>
    <t>Terminal de Cobre Fundido - 2Furos - M12 - 95mm</t>
  </si>
  <si>
    <t>Terminal de Compressão P/Borne Cobre Pino Curto - Tcm 10mm</t>
  </si>
  <si>
    <t>Terminal de Compressão P/Borne Cobre Pino Longo P/Cabo - Tcm | 10mm</t>
  </si>
  <si>
    <t>Terminal de Compressão Para Condutores Flexíveis - Curto  2 Furos - M12 - 500mm</t>
  </si>
  <si>
    <t>Terminal de Compressão Para Condutores Flexíveis - Curto 1F 1C - M10 - 120mm</t>
  </si>
  <si>
    <t>Terminal de Compressão Para Condutores Flexíveis - Curto 1F 1C - M10 - 150mm</t>
  </si>
  <si>
    <t>Terminal de Compressão Para Condutores Flexíveis - Curto 1F 1C - M10 - 185mm</t>
  </si>
  <si>
    <t>Terminal de Compressão Para Condutores Flexíveis - Curto 1F 1C - M10 - 240mm</t>
  </si>
  <si>
    <t>Terminal de Compressão Para Condutores Flexíveis - Curto 1F 1C - M10 - 25mm</t>
  </si>
  <si>
    <t>Terminal de Compressão Para Condutores Flexíveis - Curto 1F 1C - M10 - 35mm</t>
  </si>
  <si>
    <t>Terminal de Compressão Para Condutores Flexíveis - Curto 1F 1C - M10 - 50mm</t>
  </si>
  <si>
    <t>Terminal de Compressão Para Condutores Flexíveis - Curto 1F 1C - M10 - 70mm</t>
  </si>
  <si>
    <t>Terminal de Compressão Para Condutores Flexíveis - Curto 1F 1C - M10 - 95 mm</t>
  </si>
  <si>
    <t>Terminal de Compressão Para Condutores Flexíveis - Curto 1F 1C - M12 - 120mm</t>
  </si>
  <si>
    <t>Terminal de Compressão Para Condutores Flexíveis - Curto 1F 1C - M12 - 150mm</t>
  </si>
  <si>
    <t>Terminal de Compressão Para Condutores Flexíveis - Curto 1F 1C - M12 - 185mm</t>
  </si>
  <si>
    <t>Terminal de Compressão Para Condutores Flexíveis - Curto 1F 1C - M12 - 240mm</t>
  </si>
  <si>
    <t>Terminal de Compressão Para Condutores Flexíveis - Curto 1F 1C - M12 - 300mm</t>
  </si>
  <si>
    <t>Terminal de Compressão Para Condutores Flexíveis - Curto 1F 1C - M12 - 400mm</t>
  </si>
  <si>
    <t>Terminal de Compressão Para Condutores Flexíveis - Curto 1F 1C - M12 - 50mm</t>
  </si>
  <si>
    <t>Terminal de Compressão Para Condutores Flexíveis - Curto 1F 1C - M12 - 70mm</t>
  </si>
  <si>
    <t>Terminal de Compressão Para Condutores Flexíveis - Curto 1F 1C - M12 - 95 mm</t>
  </si>
  <si>
    <t>Terminal de Compressão Para Condutores Flexíveis - Curto 1F 1C - M16 - 300mm</t>
  </si>
  <si>
    <t>Terminal de Compressão Para Condutores Flexíveis - Curto 1F 1C - M16 - 400mm</t>
  </si>
  <si>
    <t>Terminal de Compressão Para Condutores Flexíveis - Curto 1F 1C - M16 - 500mm</t>
  </si>
  <si>
    <t>Terminal de Compressão Para Condutores Flexíveis - Curto 1F 1C - M5 - 10mm</t>
  </si>
  <si>
    <t>Terminal de Compressão Para Condutores Flexíveis - Curto 1F 1C - M5 - 16mm</t>
  </si>
  <si>
    <t>Terminal de Compressão Para Condutores Flexíveis - Curto 1F 1C - M5 - 25mm</t>
  </si>
  <si>
    <t>Terminal de Compressão Para Condutores Flexíveis - Curto 1F 1C - M5 - 6mm</t>
  </si>
  <si>
    <t>Terminal de Compressão Para Condutores Flexíveis - Curto 1F 1C - M6 - 10mm</t>
  </si>
  <si>
    <t>Terminal de Compressão Para Condutores Flexíveis - Curto 1F 1C - M6 - 16mm</t>
  </si>
  <si>
    <t>Terminal de Compressão Para Condutores Flexíveis - Curto 1F 1C - M6 - 25mm</t>
  </si>
  <si>
    <t>Terminal de Compressão Para Condutores Flexíveis - Curto 1F 1C - M6 - 35mm</t>
  </si>
  <si>
    <t>Terminal de Compressão Para Condutores Flexíveis - Curto 1F 1C - M6 - 50mm</t>
  </si>
  <si>
    <t>Terminal de Compressão Para Condutores Flexíveis - Curto 1F 1C - M6 - 6mm</t>
  </si>
  <si>
    <t>Terminal de Compressão Para Condutores Flexíveis - Curto 1F 1C - M8 - 10mm</t>
  </si>
  <si>
    <t>Terminal de Compressão Para Condutores Flexíveis - Curto 1F 1C - M8 - 16mm</t>
  </si>
  <si>
    <t>Terminal de Compressão Para Condutores Flexíveis - Curto 1F 1C - M8 - 25mm</t>
  </si>
  <si>
    <t>Terminal de Compressão Para Condutores Flexíveis - Curto 1F 1C - M8 - 35mm</t>
  </si>
  <si>
    <t>Terminal de Compressão Para Condutores Flexíveis - Curto 1F 1C - M8 - 50mm</t>
  </si>
  <si>
    <t>Terminal de Compressão Para Condutores Flexíveis - Curto 1F 1C - M8 - 70mm</t>
  </si>
  <si>
    <t>Terminal de Compressão Para Condutores Flexíveis - Curto 1F 1C - M8 - 95 mm</t>
  </si>
  <si>
    <t>Terminal de Compressão Para Condutores Flexíveis - Curto 2 Furos - M12 - 120mm</t>
  </si>
  <si>
    <t>Terminal de Compressão Para Condutores Flexíveis - Curto 2 Furos - M12 - 150mm</t>
  </si>
  <si>
    <t>Terminal de Compressão Para Condutores Flexíveis - Curto 2 Furos - M12 - 185mm</t>
  </si>
  <si>
    <t>Terminal de Compressão Para Condutores Flexíveis - Curto 2 Furos - M12 - 240mm</t>
  </si>
  <si>
    <t>Terminal de Compressão Para Condutores Flexíveis - Curto 2 Furos - M12 - 300mm</t>
  </si>
  <si>
    <t>Terminal de Compressão Para Condutores Flexíveis - Curto 2 Furos - M12 - 400mm</t>
  </si>
  <si>
    <t>Terminal de Compressão Para Condutores Flexíveis - Curto 2 Furos - M12 - 70mm</t>
  </si>
  <si>
    <t>Terminal de Compressão Para Condutores Flexíveis - Curto 2 Furos - M12 - 95mm</t>
  </si>
  <si>
    <t>Terminal de Compressão Para Condutores Flexíveis - Curto 2 Furos - M6 - 10mm</t>
  </si>
  <si>
    <t>Terminal de Compressão Para Condutores Flexíveis - Curto 2 Furos - M6 - 16mm</t>
  </si>
  <si>
    <t>Terminal de Compressão Para Condutores Flexíveis - Curto 2 Furos - M6 - 25mm</t>
  </si>
  <si>
    <t>Terminal de Compressão Para Condutores Flexíveis - Curto 2 Furos - M8 - 35mm</t>
  </si>
  <si>
    <t>Terminal de Compressão Para Condutores Flexíveis - Curto 2 Furos - M8 - 50mm</t>
  </si>
  <si>
    <t>Terminal de Compressão Para Condutores Flexíveis - Longo 2 Furos - M10 - 120mm</t>
  </si>
  <si>
    <t>Terminal de Compressão Para Condutores Flexíveis - Longo 2 Furos - M10 - 185mm</t>
  </si>
  <si>
    <t>Terminal de Compressão Para Condutores Flexíveis - Longo 2 Furos - M10 - 35mm</t>
  </si>
  <si>
    <t>Terminal de Compressão Para Condutores Flexíveis - Longo 2 Furos - M10 - 50mm</t>
  </si>
  <si>
    <t>Terminal de Compressão Para Condutores Flexíveis - Longo 2 Furos - M10 - 95mm</t>
  </si>
  <si>
    <t>Terminal de Compressão Para Condutores Flexíveis - Longo 2 Furos - M12 - 120mm</t>
  </si>
  <si>
    <t>Terminal de Compressão Para Condutores Flexíveis - Longo 2 Furos - M12 - 150mm</t>
  </si>
  <si>
    <t>Terminal de Compressão Para Condutores Flexíveis - Longo 2 Furos - M12 - 185mm</t>
  </si>
  <si>
    <t>Terminal de Compressão Para Condutores Flexíveis - Longo 2 Furos - M12 - 240mm</t>
  </si>
  <si>
    <t>Terminal de Compressão Para Condutores Flexíveis - Longo 2 Furos - M12 - 300mm</t>
  </si>
  <si>
    <t>Terminal de Compressão Para Condutores Flexíveis - Longo 2 Furos - M12 - 400mm</t>
  </si>
  <si>
    <t>Terminal de Compressão Para Condutores Flexíveis - Longo 2 Furos - M12 - 500mm</t>
  </si>
  <si>
    <t>Terminal de Compressão Para Condutores Flexíveis - Longo 2 Furos - M12 - 70mm</t>
  </si>
  <si>
    <t>Terminal de Compressão Para Condutores Flexíveis - Longo 2 Furos - M12 - 95mm</t>
  </si>
  <si>
    <t>Terminal de Compressão Para Condutores Flexíveis - Longo 2 Furos - M5 - 10mm</t>
  </si>
  <si>
    <t>Terminal de Compressão Para Condutores Flexíveis - Longo 2 Furos - M5 - 16mm</t>
  </si>
  <si>
    <t>Terminal de Compressão Para Condutores Flexíveis - Longo 2 Furos - M5 - 25mm</t>
  </si>
  <si>
    <t>Terminal de Compressão Para Condutores Flexíveis - Longo 2 Furos - M6 - 16mm</t>
  </si>
  <si>
    <t>Terminal de Compressão Para Condutores Flexíveis - Longo 2 Furos - M6 - 25mm</t>
  </si>
  <si>
    <t>Terminal de Compressão Para Condutores Flexíveis - Longo 2 Furos - M6 - 35mm</t>
  </si>
  <si>
    <t>Terminal de Compressão Para Condutores Flexíveis - Longo 2 Furos - M6 - 50mm</t>
  </si>
  <si>
    <t>Terminal de Compressão Para Condutores Flexíveis - Longo 2 Furos - M8 - 25mm</t>
  </si>
  <si>
    <t>Terminal de Compressão Para Condutores Flexíveis - Longo 2 Furos - M8 - 35mm</t>
  </si>
  <si>
    <t>Terminal de Compressão Para Condutores Flexíveis - Longo 2 Furos - M8 - 50mm</t>
  </si>
  <si>
    <t>Acionador MaNUal de Incêndio Endereçável Segurimax Compact</t>
  </si>
  <si>
    <t>Extintor de Incendio Portatil Com Carga de Agua Pressurizada de 10 L, Classe A</t>
  </si>
  <si>
    <t>Fita Crepe Rolo de *25* mm X 50 M</t>
  </si>
  <si>
    <t>Placa de Sinalização Fotoluminescente de Cuidado, Risco de Choque Elétrico A5 300 X 300 mm</t>
  </si>
  <si>
    <t>Placa de Sinalização Fotoluminescente de Proibido Fumar P1 151 X 151 mm</t>
  </si>
  <si>
    <t>Placa de Sinalização Fotoluminescente Extintor de Incêndio E5 300 X 300 mm</t>
  </si>
  <si>
    <t>Placa de Sinalização Fotoluminescente Indicação Dos Sistemas de Proteção Contra Incêndio Na Edificação M1 450 X 450 mm</t>
  </si>
  <si>
    <t>Placa de Sinalização Fotoluminescente Saída de Emergência S12 - 252 X 126 mm</t>
  </si>
  <si>
    <t>Caixa de Passagem de Concreto - 180X90X100cm - Quadrada - Com Tampa</t>
  </si>
  <si>
    <t>Caixa de Passagem de Concreto - 80X50X50cm - Quadrada - Com Tampa</t>
  </si>
  <si>
    <t>Caixa de Passagem de Concreto Com Tampa 100X100X100cm</t>
  </si>
  <si>
    <t>Caixa de Passagem de Concreto Com Tampa 30X30X30cm</t>
  </si>
  <si>
    <t>Caixa de Passagem de Concreto Com Tampa 40X40X40cm</t>
  </si>
  <si>
    <t>Caixa de Passagem de Concreto Com Tampa 50X50X50cm</t>
  </si>
  <si>
    <t>Caixa de Passagem de Concreto Com Tampa 60X60X60cm</t>
  </si>
  <si>
    <t>Caixa de Passagem de Concreto Com Tampa 80X80X80cm</t>
  </si>
  <si>
    <t>Caixa de Passagem Metalica de Sobrepor Com Tampa Parafusada, Dimensoes 20 X 20 X 10 cm</t>
  </si>
  <si>
    <t>Caixa de Passagem Metalica de Sobrepor Com Tampa Parafusada, Dimensoes 30 X 30 X 10 cm</t>
  </si>
  <si>
    <t>Caixa de Passagem Metalica de Sobrepor Com Tampa Parafusada, Dimensoes 40 X 40 X 15 cm</t>
  </si>
  <si>
    <t>Caixa de Passagem Metalica de Sobrepor Com Tampa Parafusada, Dimensoes 50 X 50 X 15 cm</t>
  </si>
  <si>
    <t>Caixa de Passagem Metalica de Sobrepor Com Tampa Parafusada, Dimensoes 60 X 60 X 20 cm</t>
  </si>
  <si>
    <t>Caixa de Passagem Metalica de Sobrepor Com Tampa Parafusada, Dimensoes 70 X 70 X 20 cm</t>
  </si>
  <si>
    <t>Caixa de Passagem Metalica de Sobrepor Com Tampa Parafusada, Dimensoes 80 X 80 X 20 cm</t>
  </si>
  <si>
    <t>Caixa de Passagem Metalica, de Sobrepor, Com Tampa Aparafusada, Dimensoes 15 X 15 X *10* cm</t>
  </si>
  <si>
    <t>Caixa de Passagem Metalica, de Sobrepor, Com Tampa Aparafusada, Dimensoes 35 X 35 X *12* cm</t>
  </si>
  <si>
    <t>Prolongador 20 cm Para Caixa 100×100cm</t>
  </si>
  <si>
    <t>Prolongador 20 cm Para Caixa 30×30cm</t>
  </si>
  <si>
    <t>Prolongador 20 cm Para Caixa 40×40cm</t>
  </si>
  <si>
    <t>Prolongador 20 cm Para Caixa 50×50cm</t>
  </si>
  <si>
    <t>Prolongador 20 cm Para Caixa 60×60cm</t>
  </si>
  <si>
    <t>Prolongador 20 cm Para Caixa 80×80cm</t>
  </si>
  <si>
    <t>Luminaria Arandela Tipo Meia-Lua Com Vidro Fosco *30 X 15* cm, Para 1 Lampada, Base E27, Potencia Maxima 40/60 W (Nao Inclui Lampada)</t>
  </si>
  <si>
    <t>Luminaria Led Plafon Redondo de Sobrepor Bivolt 12/13 W, D = *17* cm</t>
  </si>
  <si>
    <t>Luminaria Plafon Redondo Com Vidro Fosco Diametro *25* cm, Para 1 Lampada, Base E27, Potencia Maxima 40/60 W (Nao Inclui Lampada)</t>
  </si>
  <si>
    <t>Luminaria Plafon Redondo Com Vidro Fosco Diametro *30* cm, Para 2 Lampadas, Base E27, Potencia Maxima 40/60 W (Nao Inclui Lampadas)</t>
  </si>
  <si>
    <t>Escora Pré-Moldada Para Mourão de Concreto, *10 X 10* cm, H= *2,30* M</t>
  </si>
  <si>
    <t>Mourao de Concreto Reto, Secao Quadrada *10 X 10* cm, H= *2,30* M</t>
  </si>
  <si>
    <t>Mourao de Concreto Reto, Secao Quadrada, *10 X 10* cm, H= 3,00 M</t>
  </si>
  <si>
    <t>Mourao de Concreto Reto, Tipo Esticador, *10 X 10* cm, H= 2,50 M</t>
  </si>
  <si>
    <t>Portão Duplo de Entrada de Veículos 500 cm</t>
  </si>
  <si>
    <t>Portão Simples Para Passagem de Pedestres 120X210 cm</t>
  </si>
  <si>
    <t>Eletroduto/Duto Pead Flexivel Parede Simples, Corrugacao Helicoidal, Cor Preta, Sem Rosca, de 1 1/2", Crc 680 N, Para Cabeamento Subterraneo (NBR 15715)</t>
  </si>
  <si>
    <t>Eletroduto/Duto Pead Flexivel Parede Simples, Corrugacao Helicoidal, Cor Preta, Sem Rosca, de 1 1/4", Crc 680 N, Para Cabeamento Subterraneo (NBR 15715)</t>
  </si>
  <si>
    <t>Eletroduto/Duto Pead Flexivel Parede Simples, Corrugacao Helicoidal, Cor Preta, Sem Rosca, de 2", Crc 680 N, Para Cabeamento Subterraneo (NBR 15715)</t>
  </si>
  <si>
    <t>Eletroduto/Duto Pead Flexivel Parede Simples, Corrugacao Helicoidal, Cor Preta, Sem Rosca, de 3", Crc 680 N, Para Cabeamento Subterraneo (NBR 15715)</t>
  </si>
  <si>
    <t>Eletroduto/Duto Pead Flexivel Parede Simples, Corrugacao Helicoidal, Cor Preta, Sem Rosca, de 4", Crc 680 N, Para Cabeamento Subterraneo (NBR 15715)</t>
  </si>
  <si>
    <t>Conector Torquimétrico Para Condutor de Cobre #50mm². Atende Aos Requisitos Das Normas: NBR 9326.</t>
  </si>
  <si>
    <t>Condulete de Alumínio Multiplo X ou L - 1"</t>
  </si>
  <si>
    <t>Condulete de Alumínio Multiplo X ou L - 1.1/2"</t>
  </si>
  <si>
    <t>Condulete de Alumínio Multiplo X ou L - 1.1/4"</t>
  </si>
  <si>
    <t>Condulete de Alumínio Multiplo X ou L - 2"</t>
  </si>
  <si>
    <t>Condulete de Alumínio Multiplo X ou L - 2.1/2"</t>
  </si>
  <si>
    <t>Condulete de Alumínio Multiplo X ou L - 3"</t>
  </si>
  <si>
    <t>Condulete de Alumínio Multiplo X ou L - 3/4"</t>
  </si>
  <si>
    <t>Eletrocalha Lisa ou Perfurada - 100X100mm - 3 Metros</t>
  </si>
  <si>
    <t>Eletrocalha Lisa ou Perfurada - 100X50mm - 3 Metros</t>
  </si>
  <si>
    <t>Eletrocalha Lisa ou Perfurada - 150X100mm - 3 Metros</t>
  </si>
  <si>
    <t>Eletrocalha Lisa ou Perfurada - 150X50mm - 3 Metros</t>
  </si>
  <si>
    <t>Eletrocalha Lisa ou Perfurada - 200X100mm - 3 Metros</t>
  </si>
  <si>
    <t>Eletrocalha Lisa ou Perfurada - 200X50mm - 3 Metros</t>
  </si>
  <si>
    <t>Eletrocalha Lisa ou Perfurada - 300X100mm - 3 Metros</t>
  </si>
  <si>
    <t>Eletrocalha Lisa ou Perfurada - 300X50mm - 3 Metros</t>
  </si>
  <si>
    <t>Eletrocalha Lisa ou Perfurada - 400X100mm - 3 Metros</t>
  </si>
  <si>
    <t>Eletrocalha Lisa ou Perfurada - 400X50mm - 3 Metros</t>
  </si>
  <si>
    <t>Eletrocalha Lisa ou Perfurada - 50X50mm - 3 Metros</t>
  </si>
  <si>
    <t>Luminaria Aberta P/ Iluminacao Publica, Tipo X-57 Peterco ou Equiv</t>
  </si>
  <si>
    <t>Luminaria Dupla P/Sinalizacao, Tipo Wetzel As-2/110 ou Equiv</t>
  </si>
  <si>
    <t>Caixa de Tomada Hexagonal ou Redonda</t>
  </si>
  <si>
    <t>Perfilado Liso ou Perfurado 38X19mm - 3 Metros - Chapa 14</t>
  </si>
  <si>
    <t>Perfilado Liso ou Perfurado 38X19mm - 3 Metros - Chapa 16</t>
  </si>
  <si>
    <t>Perfilado Liso ou Perfurado 38X19mm - 3 Metros - Chapa 18</t>
  </si>
  <si>
    <t>Perfilado Liso ou Perfurado 38X19mm - 3 Metros - Chapa 24</t>
  </si>
  <si>
    <t>Perfilado Liso ou Perfurado 38X38mm - 3 Metros - Chapa 14</t>
  </si>
  <si>
    <t>Perfilado Liso ou Perfurado 38X38mm - 3 Metros - Chapa 16</t>
  </si>
  <si>
    <t>Perfilado Liso ou Perfurado 38X38mm - 3 Metros - Chapa 18</t>
  </si>
  <si>
    <t>Perfilado Liso ou Perfurado 38X38mm - 3 Metros - Chapa 24</t>
  </si>
  <si>
    <t>Aco Ca-25, 10,0 mm, ou 12,5 mm, ou 16,0 mm, ou 20,0 mm, ou 25,0 mm, Vergalhao</t>
  </si>
  <si>
    <t>Aco Ca-25, 6,3 mm ou 8,0 mm, Vergalhao</t>
  </si>
  <si>
    <t>Aco Ca-50, 12,5 mm ou 16,0 mm, Vergalhao</t>
  </si>
  <si>
    <t>Aco Ca-50, 20,0 mm ou 25,0 mm, Vergalhao</t>
  </si>
  <si>
    <t>Aco Ca-60, 4,2 mm, ou 5,0 mm, ou 6,0 mm, ou 7,0 mm, Vergalhao</t>
  </si>
  <si>
    <t>Aco Ca-60, 8,0 mm ou 9,5 mm, Vergalhao</t>
  </si>
  <si>
    <t>Pedra de Mao ou Pedra Rachao Para Arrimo/Fundacao (Posto Pedreira/Fornecedor, Sem Frete)</t>
  </si>
  <si>
    <t>Caixa de Inspeção Suspensa em Termoplástico Com Anti-Uv  160 X 120 X 100 mm Bocal Ø 1″</t>
  </si>
  <si>
    <t>Abracadeira em Aco Para Amarracao de Eletrodutos, Tipo Economica (Gota), Com 8"</t>
  </si>
  <si>
    <t>Abracadeira em Aco Para Amarracao de Eletrodutos, Tipo U Simples, Com 1 1/2"</t>
  </si>
  <si>
    <t>Abracadeira em Aco Para Amarracao de Eletrodutos, Tipo U Simples, Com 1 1/4"</t>
  </si>
  <si>
    <t>Abracadeira em Aco Para Amarracao de Eletrodutos, Tipo U Simples, Com 1"</t>
  </si>
  <si>
    <t>Abracadeira em Aco Para Amarracao de Eletrodutos, Tipo U Simples, Com 1/2"</t>
  </si>
  <si>
    <t>Abracadeira em Aco Para Amarracao de Eletrodutos, Tipo U Simples, Com 2 1/2"</t>
  </si>
  <si>
    <t>Abracadeira em Aco Para Amarracao de Eletrodutos, Tipo U Simples, Com 2"</t>
  </si>
  <si>
    <t>Abracadeira em Aco Para Amarracao de Eletrodutos, Tipo U Simples, Com 3"</t>
  </si>
  <si>
    <t>Abracadeira em Aco Para Amarracao de Eletrodutos, Tipo U Simples, Com 3/4"</t>
  </si>
  <si>
    <t>Abracadeira em Aco Para Amarracao de Eletrodutos, Tipo U Simples, Com 3/8"</t>
  </si>
  <si>
    <t>Abracadeira em Aco Para Amarracao de Eletrodutos, Tipo U Simples, Com 4"</t>
  </si>
  <si>
    <t>Bucha de Reducao em Aluminio, Com Rosca, de 1 1/2" X 1 1/4", Para Eletroduto</t>
  </si>
  <si>
    <t>Bucha de Reducao em Aluminio, Com Rosca, de 1 1/2" X 1", Para Eletroduto</t>
  </si>
  <si>
    <t>Bucha de Reducao em Aluminio, Com Rosca, de 1 1/2" X 3/4", Para Eletroduto</t>
  </si>
  <si>
    <t>Bucha de Reducao em Aluminio, Com Rosca, de 1 1/4" X 1", Para Eletroduto</t>
  </si>
  <si>
    <t>Bucha de Reducao em Aluminio, Com Rosca, de 1 1/4" X 1/2", Para Eletroduto</t>
  </si>
  <si>
    <t>Bucha de Reducao em Aluminio, Com Rosca, de 1 1/4" X 3/4", Para Eletroduto</t>
  </si>
  <si>
    <t>Bucha de Reducao em Aluminio, Com Rosca, de 1" X 1/2", Para Eletroduto</t>
  </si>
  <si>
    <t>Bucha de Reducao em Aluminio, Com Rosca, de 1" X 3/4", Para Eletroduto</t>
  </si>
  <si>
    <t>Bucha de Reducao em Aluminio, Com Rosca, de 2 1/2" X 1 1/2", Para Eletroduto</t>
  </si>
  <si>
    <t>Bucha de Reducao em Aluminio, Com Rosca, de 2 1/2" X 1 1/4", Para Eletroduto</t>
  </si>
  <si>
    <t>Bucha de Reducao em Aluminio, Com Rosca, de 2 1/2" X 1", Para Eletroduto</t>
  </si>
  <si>
    <t>Bucha de Reducao em Aluminio, Com Rosca, de 2 1/2" X 2", Para Eletroduto</t>
  </si>
  <si>
    <t>Bucha de Reducao em Aluminio, Com Rosca, de 2" X 1 1/2", Para Eletroduto</t>
  </si>
  <si>
    <t>Bucha de Reducao em Aluminio, Com Rosca, de 2" X 1 1/4", Para Eletroduto</t>
  </si>
  <si>
    <t>Bucha de Reducao em Aluminio, Com Rosca, de 2" X 1", Para Eletroduto</t>
  </si>
  <si>
    <t>Bucha de Reducao em Aluminio, Com Rosca, de 2" X 3/4", Para Eletroduto</t>
  </si>
  <si>
    <t>Bucha de Reducao em Aluminio, Com Rosca, de 3" X 1 1/2", Para Eletroduto</t>
  </si>
  <si>
    <t>Bucha de Reducao em Aluminio, Com Rosca, de 3" X 1 1/4", Para Eletroduto</t>
  </si>
  <si>
    <t>Bucha de Reducao em Aluminio, Com Rosca, de 3" X 2 1/2", Para Eletroduto</t>
  </si>
  <si>
    <t>Bucha de Reducao em Aluminio, Com Rosca, de 3" X 2", Para Eletroduto</t>
  </si>
  <si>
    <t>Bucha de Reducao em Aluminio, Com Rosca, de 3/4" X 1/2", Para Eletroduto</t>
  </si>
  <si>
    <t>Bucha de Reducao em Aluminio, Com Rosca, de 4" X 2 1/2", Para Eletroduto</t>
  </si>
  <si>
    <t>Bucha de Reducao em Aluminio, Com Rosca, de 4" X 2", Para Eletroduto</t>
  </si>
  <si>
    <t>Bucha de Reducao em Aluminio, Com Rosca, de 4" X 3", Para Eletroduto</t>
  </si>
  <si>
    <t>Bucha em Aluminio, Com Rosca, de 1 1/2", Para Eletroduto</t>
  </si>
  <si>
    <t>Bucha em Aluminio, Com Rosca, de 1 1/4", Para Eletroduto</t>
  </si>
  <si>
    <t>Bucha em Aluminio, Com Rosca, de 1", Para Eletroduto</t>
  </si>
  <si>
    <t>Bucha em Aluminio, Com Rosca, de 1/2", Para Eletroduto</t>
  </si>
  <si>
    <t>Bucha em Aluminio, Com Rosca, de 2 1/2", Para Eletroduto</t>
  </si>
  <si>
    <t>Bucha em Aluminio, Com Rosca, de 2", Para Eletroduto</t>
  </si>
  <si>
    <t>Bucha em Aluminio, Com Rosca, de 3", Para Eletroduto</t>
  </si>
  <si>
    <t>Bucha em Aluminio, Com Rosca, de 3/4", Para Eletroduto</t>
  </si>
  <si>
    <t>Bucha em Aluminio, Com Rosca, de 3/8", Para Eletroduto</t>
  </si>
  <si>
    <t>Bucha em Aluminio, Com Rosca, de 4", Para Eletroduto</t>
  </si>
  <si>
    <t>Caixa de Derivacao Para Medidor de Energia, Com Barramento Monofasico, em Policarbonato / Termoplastico - Modulo (Padrao Concessionaria Local)</t>
  </si>
  <si>
    <t>Caixa de Derivacao Para Medidor de Energia, Com Barramento Polifasico, em Policarbonato / Termoplastico - Modulo (Padrao Concessionaria Local)</t>
  </si>
  <si>
    <t>Caixa Interna/Externa de Medicao Para 1 Medidor Trifasico, Com Visor, em Chapa de Aco 18 Usg (Padrao Da Concessionaria Local)</t>
  </si>
  <si>
    <t>Caixa Interna/Externa de Medicao Para 4 Medidores Monofasicos, Com Visor, em Chapa de Aco 18 Usg (Padrao Da Concessionaria Local)</t>
  </si>
  <si>
    <t>Caixa Modular Para Medidor de Energia Agrupada, em Policarbonato / Termoplastico, Com Suporte Para Disjuntor (Padrao Da Concessionaria Local)</t>
  </si>
  <si>
    <t>Caixa Para Medidor Monofasico, em Policarbonato / Termoplastico, Para Alojar 1 Disjuntor (Padrao Da Concessionaria Local)</t>
  </si>
  <si>
    <t>Caixa Para Medidor Polifasico, em Policarbonato / Termoplastico, Para Alojar 1 Disjuntor (Padrao Da Concessionaria Local)</t>
  </si>
  <si>
    <t>Caixa de Passagem / Derivacao / Luz, Octogonal 4 X4, em Aco Esmaltada, Com Fundo Movel Simples (Fms)</t>
  </si>
  <si>
    <t>Caixa de Passagem/ Luz / Telefonia, de Embutir, em Chapa de Aco Galvanizado, Dimensoes 120 X 120 X *12* cm (Padrao Concessionaria Local)</t>
  </si>
  <si>
    <t>Caixa de Passagem/ Luz / Telefonia, de Embutir, em Chapa de Aco Galvanizado, Dimensoes 150 X 150 X 15 cm (Padrao Concessionaria Local)</t>
  </si>
  <si>
    <t>Caixa de Passagem/ Luz / Telefonia, de Embutir, em Chapa de Aco Galvanizado, Dimensoes 20 X 20 X *12* cm (Padrao Concessionaria Local)</t>
  </si>
  <si>
    <t>Caixa de Passagem/ Luz / Telefonia, de Embutir, em Chapa de Aco Galvanizado, Dimensoes 200 X 200 X 20 cm (Padrao Concessionaria Local)</t>
  </si>
  <si>
    <t>Caixa de Passagem/ Luz / Telefonia, de Embutir, em Chapa de Aco Galvanizado, Dimensoes 40 X 40 X *12* cm (Padrao Concessionaria Local)</t>
  </si>
  <si>
    <t>Caixa de Passagem/ Luz / Telefonia, de Embutir, em Chapa de Aco Galvanizado, Dimensoes 60 X 60 X *12* cm (Padrao Concessionaria Local)</t>
  </si>
  <si>
    <t>Caixa de Passagem/ Luz / Telefonia, de Embutir, em Chapa de Aco Galvanizado, Dimensoes 80 X 80 X *12* cm (Padrao Concessionaria Local)</t>
  </si>
  <si>
    <t>Caixa de Passagem/ Luz / Telefonia, de Sobrepor, em Chapa de Aco Galvanizado, Dimensoes 80 X 80 X *12* cm (Padrao Concessionaria Local)</t>
  </si>
  <si>
    <t>Caixa de Protecao Externa Para Medidor Horosazonal, de Baixa Tensao, Com Modulo, em Chapa de Aco (Padrao Da Concessionaria Local)</t>
  </si>
  <si>
    <t>Cobre Eletrolitico em Barra ou Chapa</t>
  </si>
  <si>
    <t>Conector Curvo 90 Graus de Aluminio, Bitola 1 1/2", Para Adaptar Entrada de Eletroduto Metalico Flexivel em Quadros</t>
  </si>
  <si>
    <t>Conector Curvo 90 Graus de Aluminio, Bitola 1 1/4", Para Adaptar Entrada de Eletroduto Metalico Flexivel em Quadros</t>
  </si>
  <si>
    <t>Conector Curvo 90 Graus de Aluminio, Bitola 1", Para Adaptar Entrada de Eletroduto Metalico Flexivel em Quadros</t>
  </si>
  <si>
    <t>Conector Curvo 90 Graus de Aluminio, Bitola 1/2", Para Adaptar Entrada de Eletroduto Metalico Flexivel em Quadros</t>
  </si>
  <si>
    <t>Conector Curvo 90 Graus de Aluminio, Bitola 2 1/2", Para Adaptar Entrada de Eletroduto Metalico Flexivel em Quadros</t>
  </si>
  <si>
    <t>Conector Curvo 90 Graus de Aluminio, Bitola 2", Para Adaptar Entrada de Eletroduto Metalico Flexivel em Quadros</t>
  </si>
  <si>
    <t>Conector Curvo 90 Graus de Aluminio, Bitola 3", Para Adaptar Entrada de Eletroduto Metalico Flexivel em Quadros</t>
  </si>
  <si>
    <t>Conector Curvo 90 Graus de Aluminio, Bitola 3/4", Para Adaptar Entrada de Eletroduto Metalico Flexivel em Quadros</t>
  </si>
  <si>
    <t>Conector Curvo 90 Graus de Aluminio, Bitola 4", Para Adaptar Entrada de Eletroduto Metalico Flexivel em Quadros</t>
  </si>
  <si>
    <t>Conector Reto de Aluminio Para Eletroduto de 1 1/2", Para Adaptar Entrada de Eletroduto Metalico Flexivel em Quadros</t>
  </si>
  <si>
    <t>Conector Reto de Aluminio Para Eletroduto de 1 1/4", Para Adaptar Entrada de Eletroduto Metalico Flexivel em Quadros</t>
  </si>
  <si>
    <t>Conector Reto de Aluminio Para Eletroduto de 1", Para Adaptar Entrada de Eletroduto Metalico Flexivel em Quadros</t>
  </si>
  <si>
    <t>Conector Reto de Aluminio Para Eletroduto de 1/2", Para Adaptar Entrada de Eletroduto Metalico Flexivel em Quadros</t>
  </si>
  <si>
    <t>Conector Reto de Aluminio Para Eletroduto de 2 1/2", Para Adaptar Entrada de Eletroduto Metalico Flexivel em Quadros</t>
  </si>
  <si>
    <t>Conector Reto de Aluminio Para Eletroduto de 2", Para Adaptar Entrada de Eletroduto Metalico Flexivel em Quadros</t>
  </si>
  <si>
    <t>Conector Reto de Aluminio Para Eletroduto de 3", Para Adaptar Entrada de Eletroduto Metalico Flexivel em Quadros</t>
  </si>
  <si>
    <t>Conector Reto de Aluminio Para Eletroduto de 3/4", Para Adaptar Entrada de Eletroduto Metalico Flexivel em Quadros</t>
  </si>
  <si>
    <t>Conector Reto de Aluminio Para Eletroduto de 4", Para Adaptar Entrada de Eletroduto Metalico Flexivel em Quadros</t>
  </si>
  <si>
    <t>Acoplamento em Painel - 100X50mm</t>
  </si>
  <si>
    <t>Acoplamento em Painel - 150X100mm</t>
  </si>
  <si>
    <t>Acoplamento em Painel - 150X50mm</t>
  </si>
  <si>
    <t>Acoplamento em Painel - 200X100mm</t>
  </si>
  <si>
    <t>Acoplamento em Painel - 200X50mm</t>
  </si>
  <si>
    <t>Acoplamento em Painel - 300X100mm</t>
  </si>
  <si>
    <t>Acoplamento em Painel - 300X50mm</t>
  </si>
  <si>
    <t>Acoplamento em Painel - 400X100mm</t>
  </si>
  <si>
    <t>Acoplamento em Painel - 400X50mm</t>
  </si>
  <si>
    <t>Acoplamento em Painel - 50X50mm</t>
  </si>
  <si>
    <t>Flange Para Ligação em Painel Para Eletrocalha - 150mm X 100mm</t>
  </si>
  <si>
    <t>Flange Para Ligação em Painel Para Eletrocalha - 200mm X 100mm</t>
  </si>
  <si>
    <t>Flange Para Ligação em Painel Para Eletrocalha - 50mm X 50mm</t>
  </si>
  <si>
    <t>Te Vertical Galvanizado Para Derivação em Eletrocalha - 100mm X 100mm</t>
  </si>
  <si>
    <t>Te Vertical Galvanizado Para Derivação em Eletrocalha - 10mm X 50mm</t>
  </si>
  <si>
    <t>Te Vertical Galvanizado Para Derivação em Eletrocalha - 150mm X 50mm</t>
  </si>
  <si>
    <t>Te Vertical Galvanizado Para Derivação em Eletrocalha - 200mm X 100mm</t>
  </si>
  <si>
    <t>Te Vertical Galvanizado Para Derivação em Eletrocalha - 300mm X 100mm</t>
  </si>
  <si>
    <t>Te Vertical Galvanizado Para Derivação em Eletrocalha - 50mm X 50mm</t>
  </si>
  <si>
    <t>Cabecote Para Entrada de Linha de Alimentacao Para Eletroduto, em Liga de Aluminio Com Acabamento Anti Corrosivo, Com Fixacao Por Encaixe Liso de 360 Graus, de 1 1/2"</t>
  </si>
  <si>
    <t>Cabecote Para Entrada de Linha de Alimentacao Para Eletroduto, em Liga de Aluminio Com Acabamento Anti Corrosivo, Com Fixacao Por Encaixe Liso de 360 Graus, de 1 1/4"</t>
  </si>
  <si>
    <t>Cabecote Para Entrada de Linha de Alimentacao Para Eletroduto, em Liga de Aluminio Com Acabamento Anti Corrosivo, Com Fixacao Por Encaixe Liso de 360 Graus, de 1"</t>
  </si>
  <si>
    <t>Cabecote Para Entrada de Linha de Alimentacao Para Eletroduto, em Liga de Aluminio Com Acabamento Anti Corrosivo, Com Fixacao Por Encaixe Liso de 360 Graus, de 1/2"</t>
  </si>
  <si>
    <t>Cabecote Para Entrada de Linha de Alimentacao Para Eletroduto, em Liga de Aluminio Com Acabamento Anti Corrosivo, Com Fixacao Por Encaixe Liso de 360 Graus, de 2 1/2"</t>
  </si>
  <si>
    <t>Cabecote Para Entrada de Linha de Alimentacao Para Eletroduto, em Liga de Aluminio Com Acabamento Anti Corrosivo, Com Fixacao Por Encaixe Liso de 360 Graus, de 2"</t>
  </si>
  <si>
    <t>Cabecote Para Entrada de Linha de Alimentacao Para Eletroduto, em Liga de Aluminio Com Acabamento Anti Corrosivo, Com Fixacao Por Encaixe Liso de 360 Graus, de 3 1/2"</t>
  </si>
  <si>
    <t>Cabecote Para Entrada de Linha de Alimentacao Para Eletroduto, em Liga de Aluminio Com Acabamento Anti Corrosivo, Com Fixacao Por Encaixe Liso de 360 Graus, de 3"</t>
  </si>
  <si>
    <t>Cabecote Para Entrada de Linha de Alimentacao Para Eletroduto, em Liga de Aluminio Com Acabamento Anti Corrosivo, Com Fixacao Por Encaixe Liso de 360 Graus, de 3/4"</t>
  </si>
  <si>
    <t>Cabecote Para Entrada de Linha de Alimentacao Para Eletroduto, em Liga de Aluminio Com Acabamento Anti Corrosivo, Com Fixacao Por Encaixe Liso de 360 Graus, de 4"</t>
  </si>
  <si>
    <t>Curva 135 Graus Para Eletroduto, em Aco Galvanizado Eletrolitico, Com Rosca, Diametro de 100 mm (4")</t>
  </si>
  <si>
    <t>Curva 135 Graus Para Eletroduto, em Aco Galvanizado Eletrolitico, Com Rosca, Diametro de 15 mm (1/2"), Espessura de 1,50 mm</t>
  </si>
  <si>
    <t>Curva 135 Graus Para Eletroduto, em Aco Galvanizado Eletrolitico, Com Rosca, Diametro de 20 mm (3/4"), Espessura de 1,50 mm</t>
  </si>
  <si>
    <t>Curva 135 Graus Para Eletroduto, em Aco Galvanizado Eletrolitico, Com Rosca, Diametro de 25 mm (1"), Espessura de 1,50 mm</t>
  </si>
  <si>
    <t>Curva 135 Graus Para Eletroduto, em Aco Galvanizado Eletrolitico, Com Rosca, Diametro de 32 mm (1 1/4"), Espessura de 1,50 mm</t>
  </si>
  <si>
    <t>Curva 135 Graus Para Eletroduto, em Aco Galvanizado Eletrolitico, Com Rosca, Diametro de 40 mm (1 1/2"), Espessura de 1,50 mm</t>
  </si>
  <si>
    <t>Curva 135 Graus Para Eletroduto, em Aco Galvanizado Eletrolitico, Com Rosca, Diametro de 50 mm (2")</t>
  </si>
  <si>
    <t>Curva 135 Graus Para Eletroduto, em Aco Galvanizado Eletrolitico, Com Rosca, Diametro de 65 mm (2 1/2")</t>
  </si>
  <si>
    <t>Curva 135 Graus Para Eletroduto, em Aco Galvanizado Eletrolitico, Com Rosca, Diametro de 80 mm (3")</t>
  </si>
  <si>
    <t>Curva 45 Graus Para Eletroduto, em Aco Galvanizado Eletrolitico, Com Rosca, Diametro de 20 mm (3/4"), Espessura de 1,50 mm</t>
  </si>
  <si>
    <t>Curva 45 Graus Para Eletroduto, em Aco Galvanizado Eletrolitico, Com Rosca, Diametro de 25 mm (1"), Espessura de 1,50 mm</t>
  </si>
  <si>
    <t>Curva 45 Graus Para Eletroduto, em Aco Galvanizado Eletrolitico, Com Rosca, Diametro de 40 mm (1 1/2"), Espessura de 1,50 mm</t>
  </si>
  <si>
    <t>Curva 90 Graus Para Eletroduto, em Aco Galvanizado Eletrolitico, Com Rosca, Diametro de 100 mm (4")</t>
  </si>
  <si>
    <t>Curva 90 Graus Para Eletroduto, em Aco Galvanizado Eletrolitico, Com Rosca, Diametro de 15 mm (1/2"), Espessura de 1,50 mm</t>
  </si>
  <si>
    <t>Curva 90 Graus Para Eletroduto, em Aco Galvanizado Eletrolitico, Com Rosca, Diametro de 20 mm (3/4"), Espessura de 1,50 mm</t>
  </si>
  <si>
    <t>Curva 90 Graus Para Eletroduto, em Aco Galvanizado Eletrolitico, Com Rosca, Diametro de 25 mm (1"), Espessura de 1,50 mm</t>
  </si>
  <si>
    <t>Curva 90 Graus Para Eletroduto, em Aco Galvanizado Eletrolitico, Com Rosca, Diametro de 32 mm (1 1/4"), Espessura de 1,50 mm</t>
  </si>
  <si>
    <t>Curva 90 Graus Para Eletroduto, em Aco Galvanizado Eletrolitico, Com Rosca, Diametro de 40 mm (1 1/2"), Espessura de 1,50 mm</t>
  </si>
  <si>
    <t>Curva 90 Graus Para Eletroduto, em Aco Galvanizado Eletrolitico, Com Rosca, Diametro de 50 mm (2")</t>
  </si>
  <si>
    <t>Curva 90 Graus Para Eletroduto, em Aco Galvanizado Eletrolitico, Com Rosca, Diametro de 65 mm (2 1/2")</t>
  </si>
  <si>
    <t>Curva 90 Graus Para Eletroduto, em Aco Galvanizado Eletrolitico, Com Rosca, Diametro de 80 mm (3")</t>
  </si>
  <si>
    <t>Eletroduto em Aco Galvanizado Eletrolitico, Leve, Diametro 3/4", Parede de 0,90 mm</t>
  </si>
  <si>
    <t>Eletroduto Flexivel, em Fita de Aco Galvanizado, Sem Revestimento, Diametro Nominal 1 1/2"</t>
  </si>
  <si>
    <t>Eletroduto Flexivel, em Fita de Aco Galvanizado, Sem Revestimento, Diametro Nominal 1 1/4"</t>
  </si>
  <si>
    <t>Eletroduto Flexivel, em Fita de Aco Galvanizado, Sem Revestimento, Diametro Nominal 1"</t>
  </si>
  <si>
    <t>Eletroduto Flexivel, em Fita de Aco Galvanizado, Sem Revestimento, Diametro Nominal 1/2"</t>
  </si>
  <si>
    <t>Eletroduto Flexivel, em Fita de Aco Galvanizado, Sem Revestimento, Diametro Nominal 2 1/2"</t>
  </si>
  <si>
    <t>Eletroduto Flexivel, em Fita de Aco Galvanizado, Sem Revestimento, Diametro Nominal 2"</t>
  </si>
  <si>
    <t>Eletroduto Flexivel, em Fita de Aco Galvanizado, Sem Revestimento, Diametro Nominal 3"</t>
  </si>
  <si>
    <t>Luva Para Eletroduto, em Aco Galvanizado Eletrolitico, Com Rosca, Diametro de 100 mm (4")</t>
  </si>
  <si>
    <t>Luva Para Eletroduto, em Aco Galvanizado Eletrolitico, Com Rosca, Diametro de 15 mm (1/2")</t>
  </si>
  <si>
    <t>Luva Para Eletroduto, em Aco Galvanizado Eletrolitico, Com Rosca, Diametro de 20 mm (3/4")</t>
  </si>
  <si>
    <t>Luva Para Eletroduto, em Aco Galvanizado Eletrolitico, Com Rosca, Diametro de 25 mm (1")</t>
  </si>
  <si>
    <t>Luva Para Eletroduto, em Aco Galvanizado Eletrolitico, Com Rosca, Diametro de 32 mm (1 1/4")</t>
  </si>
  <si>
    <t>Luva Para Eletroduto, em Aco Galvanizado Eletrolitico, Com Rosca, Diametro de 40 mm (1 1/2")</t>
  </si>
  <si>
    <t>Luva Para Eletroduto, em Aco Galvanizado Eletrolitico, Com Rosca, Diametro de 65 mm (2 1/2")</t>
  </si>
  <si>
    <t>Luva Para Eletroduto, em Aco Galvanizado Eletrolitico, Com Rosca, Diametro de 80 mm (3")</t>
  </si>
  <si>
    <t>Luva Para Eletroduto, em Aco Galvanizado Eletrolitico, Com Rosca,Diametro de 50 mm (2")</t>
  </si>
  <si>
    <t>Unidut Cônico de Pressão em Alumínio Ø1"</t>
  </si>
  <si>
    <t>Unidut Cônico de Pressão em Alumínio Ø1.1/2"</t>
  </si>
  <si>
    <t>Unidut Cônico de Pressão em Alumínio Ø1.1/4"</t>
  </si>
  <si>
    <t>Unidut Cônico de Pressão em Alumínio Ø1/2"</t>
  </si>
  <si>
    <t>Unidut Cônico de Pressão em Alumínio Ø2"</t>
  </si>
  <si>
    <t>Unidut Cônico de Pressão em Alumínio Ø2.1/2"</t>
  </si>
  <si>
    <t>Unidut Cônico de Pressão em Alumínio Ø3"</t>
  </si>
  <si>
    <t>Unidut Cônico de Pressão em Alumínio Ø3/4"</t>
  </si>
  <si>
    <t>Unidut Cônico de Pressão em Alumínio Ø4"</t>
  </si>
  <si>
    <t>Unidut Curvo de Pressão em Alumínio Ø1"</t>
  </si>
  <si>
    <t>Unidut Curvo de Pressão em Alumínio Ø1/2"</t>
  </si>
  <si>
    <t>Unidut Curvo de Pressão em Alumínio Ø3/4"</t>
  </si>
  <si>
    <t>Fita Isolante Adesiva Antichama, Uso Ate 750 V, em Rolo de 19 mm X 20 M</t>
  </si>
  <si>
    <t>Fita Isolante Adesiva Antichama, Uso Ate 750 V, em Rolo de 19 mm X 5 M</t>
  </si>
  <si>
    <t>Grampo U de 5/8" N8 em Aco Galvanizado</t>
  </si>
  <si>
    <t>Luminaria de Led Para Iluminacao Publica, de 138 W Ate 180 W, Involucro em Aluminio ou Aco Inox</t>
  </si>
  <si>
    <t>Luminaria de Led Para Iluminacao Publica, de 181 W Ate 239 W, Involucro em Aluminio ou Aco Inox</t>
  </si>
  <si>
    <t>Luminaria de Led Para Iluminacao Publica, de 240 W Ate 350 W, Involucro em Aluminio ou Aco Inox</t>
  </si>
  <si>
    <t>Luminaria de Led Para Iluminacao Publica, de 33 W Ate 50 W, Involucro em Aluminio ou Aco Inox</t>
  </si>
  <si>
    <t>Luminaria de Led Para Iluminacao Publica, de 51 W Ate 67 W, Involucro em Aluminio ou Aco Inox</t>
  </si>
  <si>
    <t>Luminaria de Led Para Iluminacao Publica, de 68 W Ate 97 W, Involucro em Aluminio ou Aco Inox</t>
  </si>
  <si>
    <t>Luminaria de Led Para Iluminacao Publica, de 98 W Ate 137 W, Involucro em Aluminio ou Aco Inox</t>
  </si>
  <si>
    <t>Luminaria de Sobrepor em Chapa de Aco Com Aletas Plasticas, Para 1 Lampada, Base E27, Potencia Maxima 40/60 W (Nao Inclui Lampada)</t>
  </si>
  <si>
    <t>Luminaria de Sobrepor em Chapa de Aco Com Aletas Plasticas, Para 2 Lampadas, Base E27, Potencia Maxima 40/60 W (Nao Inclui Lampadas)</t>
  </si>
  <si>
    <t>Luminaria de Teto Plafon/Plafonier em Plastico Com Base E27, Potencia Maxima 60 W (Nao Inclui Lampada)</t>
  </si>
  <si>
    <t>Luminaria Spot de Sobrepor em Aluminio Com Aleta Plastica Para 1 Lampada, Base E27, Potencia Maxima 40/60 W (Nao Inclui Lampada)</t>
  </si>
  <si>
    <t>Luminaria Spot de Sobrepor em Aluminio Com Aleta Plastica Para 2 Lampadas, Base E27, Potencia Maxima 40/60 W (Nao Inclui Lampada)</t>
  </si>
  <si>
    <t>Luminaria Tipo Tartaruga Para Area Externa em Aluminio, Com Grade, Para 1 Lampada, Base E27, Potencia Maxima 40/60 W (Nao Inclui Lampada)</t>
  </si>
  <si>
    <t>Isolador de Porcelana, Tipo Roldana, Dimensoes de *72* X *72* mm, Para Uso em Baixa Tensao</t>
  </si>
  <si>
    <t>Quadro de Distribuicao Com Barramento Trifasico, de Embutir, em Chapa de Aco Galvanizado, Para 12 Disjuntores Din, 100 A</t>
  </si>
  <si>
    <t>Quadro de Distribuicao Com Barramento Trifasico, de Embutir, em Chapa de Aco Galvanizado, Para 18 Disjuntores Din, 100 A</t>
  </si>
  <si>
    <t>Quadro de Distribuicao Com Barramento Trifasico, de Embutir, em Chapa de Aco Galvanizado, Para 24 Disjuntores Din, 100 A</t>
  </si>
  <si>
    <t>Quadro de Distribuicao Com Barramento Trifasico, de Embutir, em Chapa de Aco Galvanizado, Para 28 Disjuntores Din, 100 A</t>
  </si>
  <si>
    <t>Quadro de Distribuicao Com Barramento Trifasico, de Embutir, em Chapa de Aco Galvanizado, Para 30 Disjuntores Din, 150 A</t>
  </si>
  <si>
    <t>Quadro de Distribuicao Com Barramento Trifasico, de Embutir, em Chapa de Aco Galvanizado, Para 30 Disjuntores Din, 225 A</t>
  </si>
  <si>
    <t>Quadro de Distribuicao Com Barramento Trifasico, de Embutir, em Chapa de Aco Galvanizado, Para 36 Disjuntores Din, 100 A</t>
  </si>
  <si>
    <t>Quadro de Distribuicao Com Barramento Trifasico, de Embutir, em Chapa de Aco Galvanizado, Para 40 Disjuntores Din, 100 A</t>
  </si>
  <si>
    <t>Quadro de Distribuicao Com Barramento Trifasico, de Embutir, em Chapa de Aco Galvanizado, Para 48 Disjuntores Din, 100 A</t>
  </si>
  <si>
    <t>Quadro de Distribuicao Com Barramento Trifasico, de Sobrepor, em Chapa de Aco Galvanizado, Para *42* Disjuntores Din, 100 A</t>
  </si>
  <si>
    <t>Quadro de Distribuicao Com Barramento Trifasico, de Sobrepor, em Chapa de Aco Galvanizado, Para 12 Disjuntores Din, 100 A</t>
  </si>
  <si>
    <t>Quadro de Distribuicao Com Barramento Trifasico, de Sobrepor, em Chapa de Aco Galvanizado, Para 18 Disjuntores Din, 100 A</t>
  </si>
  <si>
    <t>Quadro de Distribuicao Com Barramento Trifasico, de Sobrepor, em Chapa de Aco Galvanizado, Para 28 Disjuntores Din, 100 A</t>
  </si>
  <si>
    <t>Quadro de Distribuicao Com Barramento Trifasico, de Sobrepor, em Chapa de Aco Galvanizado, Para 30 Disjuntores Din, 100 A</t>
  </si>
  <si>
    <t>Quadro de Distribuicao Com Barramento Trifasico, de Sobrepor, em Chapa de Aco Galvanizado, Para 36 Disjuntores Din, 100 A</t>
  </si>
  <si>
    <t>Quadro de Distribuicao Com Barramento Trifasico, de Sobrepor, em Chapa de Aco Galvanizado, Para 48 Disjuntores Din, 100 A</t>
  </si>
  <si>
    <t>Captor Franklin (4 Pontas), em Latao Cromado, H = 300 mm, Duas Descidas</t>
  </si>
  <si>
    <t>Captor Franklin (4 Pontas), em Latao Cromado, H = 300 mm, Uma Descida</t>
  </si>
  <si>
    <t>Captor Franklin (4 Pontas), em Latao Cromado, H = 350 mm, Duas Descidas</t>
  </si>
  <si>
    <t>Captor Franklin (4 Pontas), em Latao Cromado, H=350 mm, Uma Descida</t>
  </si>
  <si>
    <t>Base Galvanizada P/ Ligação em Painel Flange 38X38mm</t>
  </si>
  <si>
    <t>Emenda Galvanizada P/ Perfilado em "I" 38X38mm</t>
  </si>
  <si>
    <t>Emenda Galvanizada P/ Perfilado em "L" 38X38mm</t>
  </si>
  <si>
    <t>Emenda Galvanizada P/ Perfilado em "T" 38X38mm</t>
  </si>
  <si>
    <t>Emenda Galvanizada P/ Perfilado em "X" 38X38mm</t>
  </si>
  <si>
    <t>Rele Termico Bimetal Para Uso em Motores Trifasicos, Tensao 380 V, Potencia Ate 15 Cv, Corrente Nominal Maxima 22 A</t>
  </si>
  <si>
    <t>Trilho Quadrado Frisado Para Rodizio (Vergalhao Macico), em Aluminio, Com Dimensoes de *6 X 6* mm</t>
  </si>
  <si>
    <t>Grelha de Passagem em Ferro Fundido #30X100cm</t>
  </si>
  <si>
    <t>Grelha de Passagem em Ferro Fundido #30X50cm</t>
  </si>
  <si>
    <t>Arruela em Aco Galvanizado, Diametro Externo = 35mm, Espessura = 3mm, Diametro Do Furo= 18mm</t>
  </si>
  <si>
    <t>Arruela em Aluminio, Com Rosca, de 1 1/2", Para Eletroduto</t>
  </si>
  <si>
    <t>Arruela em Aluminio, Com Rosca, de 1 1/4", Para Eletroduto</t>
  </si>
  <si>
    <t>Arruela em Aluminio, Com Rosca, de 1", Para Eletroduto</t>
  </si>
  <si>
    <t>Arruela em Aluminio, Com Rosca, de 1/2", Para Eletroduto</t>
  </si>
  <si>
    <t>Arruela em Aluminio, Com Rosca, de 2 1/2", Para Eletroduto</t>
  </si>
  <si>
    <t>Arruela em Aluminio, Com Rosca, de 2", Para Eletroduto</t>
  </si>
  <si>
    <t>Arruela em Aluminio, Com Rosca, de 3", Para Eletroduto</t>
  </si>
  <si>
    <t>Arruela em Aluminio, Com Rosca, de 3/4", Para Eletroduto</t>
  </si>
  <si>
    <t>Arruela em Aluminio, Com Rosca, de 3/8", Para Eletroduto</t>
  </si>
  <si>
    <t>Arruela em Aluminio, Com Rosca, de 4", Para Eletroduto</t>
  </si>
  <si>
    <t>Arruela Quadrada em Aco Galvanizado, Dimensao = 38 mm, Espessura = 3mm, Diametro Do Furo= 18 mm</t>
  </si>
  <si>
    <t>Parafuso em Aco Galvanizado, Tipo Maquina, Sextavado, Sem Porca, Diametro 1/2", Comprimento 2"</t>
  </si>
  <si>
    <t>Parafuso M16 em Aco Galvanizado, Comprimento = 125 mm, Diametro = 16 mm, Rosca Maquina, Cabeca Quadrada</t>
  </si>
  <si>
    <t>Parafuso M16 em Aco Galvanizado, Comprimento = 150 mm, Diametro = 16 mm, Rosca Maquina, Cabeca Quadrada</t>
  </si>
  <si>
    <t>Parafuso M16 em Aco Galvanizado, Comprimento = 200 mm, Diametro = 16 mm, Rosca Maquina, Cabeca Quadrada</t>
  </si>
  <si>
    <t>Parafuso M16 em Aco Galvanizado, Comprimento = 250 mm, Diametro = 16 mm, Rosca Maquina, Cabeca Quadrada</t>
  </si>
  <si>
    <t>Parafuso M16 em Aco Galvanizado, Comprimento = 300 mm, Diametro = 16 mm, Rosca Dupla</t>
  </si>
  <si>
    <t>Parafuso M16 em Aco Galvanizado, Comprimento = 300 mm, Diametro = 16 mm, Rosca Maquina, Cabeca Quadrada</t>
  </si>
  <si>
    <t>Parafuso M16 em Aco Galvanizado, Comprimento = 350 mm, Diametro = 16 mm, Rosca Maquina, Cabeca Quadrada</t>
  </si>
  <si>
    <t>Parafuso M16 em Aco Galvanizado, Comprimento = 400 mm, Diametro = 16 mm, Rosca Dupla</t>
  </si>
  <si>
    <t>Parafuso M16 em Aco Galvanizado, Comprimento = 450 mm, Diametro = 16 mm, Rosca Maquina, Cabeca Quadrada</t>
  </si>
  <si>
    <t>Porca Olhal em Aco Galvanizado, Espessura 16mm, Abertura 21mm</t>
  </si>
  <si>
    <t>Barra de Equipotencialização 1.1/4X1/4  155mm, Com 5 Parafusos 1/4" e Base de Fixação em Alumínio</t>
  </si>
  <si>
    <t>Barra de Equipotencialização 1.1/4X1/4" 230mm, Com 9 Terminais de Pressão e Base de Fixação em Alumínio</t>
  </si>
  <si>
    <t>Barra de Equipotencialização 1.1/4X1/8  155mm, Com 5 Parafusos 1/4" e Base de Fixação em Alumínio</t>
  </si>
  <si>
    <t>Barra de Equipotencialização 1.1/4X1/8 230mm, Com 11 Parafusos 1/4" e Base de Fixação em Alumínio</t>
  </si>
  <si>
    <t>Barra de Equipotencialização 1.1/4X3/16  155mm, Com 5 Terminais de Pressão e Base de Fixação em Alumínio</t>
  </si>
  <si>
    <t>Barra de Equipotencialização 1.1/4X3/16 230mm, Com 9 Parafusos 1/4" e Base de Fixação em Alumínio</t>
  </si>
  <si>
    <t>Barra de Equipotencialização 1.1/4X3/16"  155mm, Com 5 Parafusos 1/4" e Base de Fixação em Alumínio</t>
  </si>
  <si>
    <t>Barramento de Equipotencialização 1.1/4X1/4 155mm, Com 5 Terminais de Pressão e Base de Fixação em Alumínio</t>
  </si>
  <si>
    <t>Barramento de Equipotencialização 1.1/4X1/4" 230mm, Com 9 Parafusos 1/4" e Base de Fixação em Alumínio</t>
  </si>
  <si>
    <t>Barramento de Equipotencialização 1.1/4X3/16" 230mm, Com 9 Terminais de Pressão e Base de Fixação em Alumínio</t>
  </si>
  <si>
    <t>Caixa de Inspeção Construídas Com Anéis Pré-Moldados, Alvenaria ou Concreto Moldado No Local Com Tampa de Ferro Fundido Reforçada, Bocal Interior Quadrado Articulado e Borda Exterior Redonda (280X280X400)mm Ref.: Tel-536</t>
  </si>
  <si>
    <t>Caixa de Inspecao Para Aterramento e Para Raios, em Polipropileno, Diametro = 300 mm X Altura = 400 mm</t>
  </si>
  <si>
    <t>Conector Cabo-Haste em Latão Para 2 Cabos Com Acessórios em Aço G. F. - Haste: 5/8" - 3/4" | Para Condutores de Cobre e Aço Cobreado: 16 - 70mm²</t>
  </si>
  <si>
    <t>Conector em Liga de Cobre Para Conexão Entre Cabos de 16-35mm² e Haste de 1/2”-5/8” - Utiliza Matriz 998 (Tel 998)</t>
  </si>
  <si>
    <t>Conector em Liga de Cobre Para Conexão Entre Cabos de 50-70mm² e Haste de 1/2”- 5/8” - Utiliza Matriz 997 (Tel 997)</t>
  </si>
  <si>
    <t>Conector em Liga de Cobre Para Conexão Entre Cabos de 50-70mm² e Haste de 5/8” - 3/4” - Utiliza Matriz 998 (Tel 998)</t>
  </si>
  <si>
    <t>Abracadeira em Aco Para Amarracao de Eletrodutos, Tipo D, Com 1 1/2" e Cunha de Fixacao</t>
  </si>
  <si>
    <t>Abracadeira em Aco Para Amarracao de Eletrodutos, Tipo D, Com 1 1/2" e Parafuso de Fixacao</t>
  </si>
  <si>
    <t>Abracadeira em Aco Para Amarracao de Eletrodutos, Tipo D, Com 1 1/4" e Cunha de Fixacao</t>
  </si>
  <si>
    <t>Abracadeira em Aco Para Amarracao de Eletrodutos, Tipo D, Com 1 1/4" e Parafuso de Fixacao</t>
  </si>
  <si>
    <t>Abracadeira em Aco Para Amarracao de Eletrodutos, Tipo D, Com 1" e Cunha de Fixacao</t>
  </si>
  <si>
    <t>Abracadeira em Aco Para Amarracao de Eletrodutos, Tipo D, Com 1" e Parafuso de Fixacao</t>
  </si>
  <si>
    <t>Abracadeira em Aco Para Amarracao de Eletrodutos, Tipo D, Com 1/2" e Cunha de Fixacao</t>
  </si>
  <si>
    <t>Abracadeira em Aco Para Amarracao de Eletrodutos, Tipo D, Com 1/2" e Parafuso de Fixacao</t>
  </si>
  <si>
    <t>Abracadeira em Aco Para Amarracao de Eletrodutos, Tipo D, Com 2 1/2" e Cunha de Fixacao</t>
  </si>
  <si>
    <t>Abracadeira em Aco Para Amarracao de Eletrodutos, Tipo D, Com 2 1/2" e Parafuso de Fixacao</t>
  </si>
  <si>
    <t>Abracadeira em Aco Para Amarracao de Eletrodutos, Tipo D, Com 2" e Cunha de Fixacao</t>
  </si>
  <si>
    <t>Abracadeira em Aco Para Amarracao de Eletrodutos, Tipo D, Com 2" e Parafuso de Fixacao</t>
  </si>
  <si>
    <t>Abracadeira em Aco Para Amarracao de Eletrodutos, Tipo D, Com 3 1/2" e Cunha de Fixacao</t>
  </si>
  <si>
    <t>Abracadeira em Aco Para Amarracao de Eletrodutos, Tipo D, Com 3" e Cunha de Fixacao</t>
  </si>
  <si>
    <t>Abracadeira em Aco Para Amarracao de Eletrodutos, Tipo D, Com 3" e Parafuso de Fixacao</t>
  </si>
  <si>
    <t>Abracadeira em Aco Para Amarracao de Eletrodutos, Tipo D, Com 3/4" e Cunha de Fixacao</t>
  </si>
  <si>
    <t>Abracadeira em Aco Para Amarracao de Eletrodutos, Tipo D, Com 3/4" e Parafuso de Fixacao</t>
  </si>
  <si>
    <t>Abracadeira em Aco Para Amarracao de Eletrodutos, Tipo D, Com 3/8" e Parafuso de Fixacao</t>
  </si>
  <si>
    <t>Abracadeira em Aco Para Amarracao de Eletrodutos, Tipo D, Com 4" e Cunha de Fixacao</t>
  </si>
  <si>
    <t>Abracadeira em Aco Para Amarracao de Eletrodutos, Tipo D, Com 4" e Parafuso de Fixacao</t>
  </si>
  <si>
    <t>Caixa Para Medicao Coletiva Tipo L, Padrao Bifasico ou Trifasico, Para Ate 4 Medidores, Sem Barramento e Com Portas Inferior e Superior</t>
  </si>
  <si>
    <t>Caixa Para Medicao Coletiva Tipo N, Padrao Bifasico ou Trifasico, Para Ate 12 Medidores, Sem Barramento e Com Portas Inferior e Superior</t>
  </si>
  <si>
    <t>Caixa de Concreto Armado Pre-Moldado, Com Fundo e Sem Tampa, Dimensoes de 0,30 X 0,30 X 0,30 M</t>
  </si>
  <si>
    <t>Caixa de Concreto Armado Pre-Moldado, Com Fundo e Sem Tampa, Dimensoes de 0,40 X 0,40 X 0,40 M</t>
  </si>
  <si>
    <t>Caixa de Concreto Armado Pre-Moldado, Com Fundo e Sem Tampa, Dimensoes de 0,60 X 0,60 X 0,50 M</t>
  </si>
  <si>
    <t>Caixa de Concreto Armado Pre-Moldado, Com Fundo e Sem Tampa, Dimensoes de 0,80 X 0,80 X 0,50 M</t>
  </si>
  <si>
    <t>Caixa de Concreto Armado Pre-Moldado, Com Fundo e Sem Tampa, Dimensoes de 1,00 X 1,00 X 0,50 M</t>
  </si>
  <si>
    <t>Caixa de Concreto Armado Pre-Moldado, Com Fundo e Tampa, Dimensoes de 0,30 X 0,30 X 0,30 M</t>
  </si>
  <si>
    <t>Caixa de Concreto Armado Pre-Moldado, Com Fundo e Tampa, Dimensoes de 0,40 X 0,40 X 0,40 M</t>
  </si>
  <si>
    <t>Caixa de Concreto Armado Pre-Moldado, Com Fundo e Tampa, Dimensoes de 0,60 X 0,60 X 0,50 M</t>
  </si>
  <si>
    <t>Cinta Circular em Aco Galvanizado de 150 mm de Diametro Para Fixacao de Caixa Medicao, Inclui Parafusos e Porcas</t>
  </si>
  <si>
    <t>Conector Macho Rj 45, Categoria 5 e (Cat 5E) Para Cabos</t>
  </si>
  <si>
    <t>Curvas Lisas ou Perfuradas 45º Do Tipo Horizontal, Vert. Externa, Vert. Interna e Junção Direita/Esquerda - 100X100mm</t>
  </si>
  <si>
    <t>Curvas Lisas ou Perfuradas 45º Do Tipo Horizontal, Vert. Externa, Vert. Interna e Junção Direita/Esquerda - 100X50mm</t>
  </si>
  <si>
    <t>Curvas Lisas ou Perfuradas 45º Do Tipo Horizontal, Vert. Externa, Vert. Interna e Junção Direita/Esquerda - 150X100mm</t>
  </si>
  <si>
    <t>Curvas Lisas ou Perfuradas 45º Do Tipo Horizontal, Vert. Externa, Vert. Interna e Junção Direita/Esquerda - 150X50mm</t>
  </si>
  <si>
    <t>Curvas Lisas ou Perfuradas 45º Do Tipo Horizontal, Vert. Externa, Vert. Interna e Junção Direita/Esquerda - 200X100mm</t>
  </si>
  <si>
    <t>Curvas Lisas ou Perfuradas 45º Do Tipo Horizontal, Vert. Externa, Vert. Interna e Junção Direita/Esquerda - 200X50mm</t>
  </si>
  <si>
    <t>Curvas Lisas ou Perfuradas 45º Do Tipo Horizontal, Vert. Externa, Vert. Interna e Junção Direita/Esquerda - 300X100mm</t>
  </si>
  <si>
    <t>Curvas Lisas ou Perfuradas 45º Do Tipo Horizontal, Vert. Externa, Vert. Interna e Junção Direita/Esquerda - 300X50mm</t>
  </si>
  <si>
    <t>Curvas Lisas ou Perfuradas 45º Do Tipo Horizontal, Vert. Externa, Vert. Interna e Junção Direita/Esquerda - 400X100mm</t>
  </si>
  <si>
    <t>Curvas Lisas ou Perfuradas 45º Do Tipo Horizontal, Vert. Externa, Vert. Interna e Junção Direita/Esquerda - 400X50mm</t>
  </si>
  <si>
    <t>Curvas Lisas ou Perfuradas 45º Do Tipo Horizontal, Vert. Externa, Vert. Interna e Junção Direita/Esquerda - 50X50mm</t>
  </si>
  <si>
    <t>Curvas Lisas ou Perfuradas 90º Do Tipo Horizontal, Vert. Externa, Vert. Interna, Inversão e Cotovelo Reto - 100X100mm</t>
  </si>
  <si>
    <t>Curvas Lisas ou Perfuradas 90º Do Tipo Horizontal, Vert. Externa, Vert. Interna, Inversão e Cotovelo Reto - 100X50mm</t>
  </si>
  <si>
    <t>Curvas Lisas ou Perfuradas 90º Do Tipo Horizontal, Vert. Externa, Vert. Interna, Inversão e Cotovelo Reto - 150X100mm</t>
  </si>
  <si>
    <t>Curvas Lisas ou Perfuradas 90º Do Tipo Horizontal, Vert. Externa, Vert. Interna, Inversão e Cotovelo Reto - 150X50mm</t>
  </si>
  <si>
    <t>Curvas Lisas ou Perfuradas 90º Do Tipo Horizontal, Vert. Externa, Vert. Interna, Inversão e Cotovelo Reto - 200X100mm</t>
  </si>
  <si>
    <t>Curvas Lisas ou Perfuradas 90º Do Tipo Horizontal, Vert. Externa, Vert. Interna, Inversão e Cotovelo Reto - 200X50mm</t>
  </si>
  <si>
    <t>Curvas Lisas ou Perfuradas 90º Do Tipo Horizontal, Vert. Externa, Vert. Interna, Inversão e Cotovelo Reto - 300X100mm</t>
  </si>
  <si>
    <t>Curvas Lisas ou Perfuradas 90º Do Tipo Horizontal, Vert. Externa, Vert. Interna, Inversão e Cotovelo Reto - 300X50mm</t>
  </si>
  <si>
    <t>Curvas Lisas ou Perfuradas 90º Do Tipo Horizontal, Vert. Externa, Vert. Interna, Inversão e Cotovelo Reto - 400X100mm</t>
  </si>
  <si>
    <t>Curvas Lisas ou Perfuradas 90º Do Tipo Horizontal, Vert. Externa, Vert. Interna, Inversão e Cotovelo Reto - 400X50mm</t>
  </si>
  <si>
    <t>Curvas Lisas ou Perfuradas 90º Do Tipo Horizontal, Vert. Externa, Vert. Interna, Inversão e Cotovelo Reto - 50X50mm</t>
  </si>
  <si>
    <t>Tampas de Encaixe Para Curvas Verticais Externas e Internas de 90º, Curva Horizontal de 90º, Inversão e Cotovelo Reto - 100mm</t>
  </si>
  <si>
    <t>Tampas de Encaixe Para Curvas Verticais Externas e Internas de 90º, Curva Horizontal de 90º, Inversão e Cotovelo Reto - 150mm</t>
  </si>
  <si>
    <t>Tampas de Encaixe Para Curvas Verticais Externas e Internas de 90º, Curva Horizontal de 90º, Inversão e Cotovelo Reto - 200mm</t>
  </si>
  <si>
    <t>Tampas de Encaixe Para Curvas Verticais Externas e Internas de 90º, Curva Horizontal de 90º, Inversão e Cotovelo Reto - 300mm</t>
  </si>
  <si>
    <t>Tampas de Encaixe Para Curvas Verticais Externas e Internas de 90º, Curva Horizontal de 90º, Inversão e Cotovelo Reto - 400mm</t>
  </si>
  <si>
    <t>Tampas de Encaixe Para Curvas Verticais Externas e Internas de 90º, Curva Horizontal de 90º, Inversão e Cotovelo Reto - 50mm</t>
  </si>
  <si>
    <t>Tampas de Encaixe Para Te Horizontal e Reto - 100mm</t>
  </si>
  <si>
    <t>Tampas de Encaixe Para Te Horizontal e Reto - 150mm</t>
  </si>
  <si>
    <t>Tampas de Encaixe Para Te Horizontal e Reto - 200mm</t>
  </si>
  <si>
    <t>Tampas de Encaixe Para Te Horizontal e Reto - 300mm</t>
  </si>
  <si>
    <t>Tampas de Encaixe Para Te Horizontal e Reto - 400mm</t>
  </si>
  <si>
    <t>Tampas de Encaixe Para Te Horizontal e Reto - 50mm</t>
  </si>
  <si>
    <t>Te Horizontal e Reto Liso ou Perfurado - 100X100mm</t>
  </si>
  <si>
    <t>Te Horizontal e Reto Liso ou Perfurado - 100X50mm</t>
  </si>
  <si>
    <t>Te Horizontal e Reto Liso ou Perfurado - 150X100mm</t>
  </si>
  <si>
    <t>Te Horizontal e Reto Liso ou Perfurado - 150X50mm</t>
  </si>
  <si>
    <t>Te Horizontal e Reto Liso ou Perfurado - 200X100mm</t>
  </si>
  <si>
    <t>Te Horizontal e Reto Liso ou Perfurado - 200X50mm</t>
  </si>
  <si>
    <t>Te Horizontal e Reto Liso ou Perfurado - 300X100mm</t>
  </si>
  <si>
    <t>Te Horizontal e Reto Liso ou Perfurado - 300X50mm</t>
  </si>
  <si>
    <t>Te Horizontal e Reto Liso ou Perfurado - 400X100mm</t>
  </si>
  <si>
    <t>Te Horizontal e Reto Liso ou Perfurado - 400X50mm</t>
  </si>
  <si>
    <t>Te Horizontal e Reto Liso ou Perfurado - 50X50mm</t>
  </si>
  <si>
    <t>Te Vertical de Subida e Descida 90º Liso ou Perfurado - 100X100mm</t>
  </si>
  <si>
    <t>Te Vertical de Subida e Descida 90º Liso ou Perfurado - 100X50mm</t>
  </si>
  <si>
    <t>Te Vertical de Subida e Descida 90º Liso ou Perfurado - 150X100mm</t>
  </si>
  <si>
    <t>Te Vertical de Subida e Descida 90º Liso ou Perfurado - 150X50mm</t>
  </si>
  <si>
    <t>Te Vertical de Subida e Descida 90º Liso ou Perfurado - 200X100mm</t>
  </si>
  <si>
    <t>Te Vertical de Subida e Descida 90º Liso ou Perfurado - 200X50mm</t>
  </si>
  <si>
    <t>Te Vertical de Subida e Descida 90º Liso ou Perfurado - 300X100mm</t>
  </si>
  <si>
    <t>Te Vertical de Subida e Descida 90º Liso ou Perfurado - 300X50mm</t>
  </si>
  <si>
    <t>Te Vertical de Subida e Descida 90º Liso ou Perfurado - 400X100mm</t>
  </si>
  <si>
    <t>Te Vertical de Subida e Descida 90º Liso ou Perfurado - 400X50mm</t>
  </si>
  <si>
    <t>Te Vertical de Subida e Descida 90º Liso ou Perfurado - 50X50mm</t>
  </si>
  <si>
    <t>Eletroduto Flexivel Plano em Pead, Cor Preta e Laranja, Diametro 25 mm</t>
  </si>
  <si>
    <t>Eletroduto Flexivel Plano em Pead, Cor Preta e Laranja, Diametro 32 mm</t>
  </si>
  <si>
    <t>Eletroduto Flexivel Plano em Pead, Cor Preta e Laranja, Diametro 40 mm</t>
  </si>
  <si>
    <t>Luminaria de Sobrepor em Chapa de Aco Para 1 Lampada Fluorescente de *36* W, Aletada, Completa (Lampada e Reator Inclusos)</t>
  </si>
  <si>
    <t>Contator Tripolar, Corrente de *110* A, Tensao Nominal de *500* V, Categoria Ac-2 e Ac-3</t>
  </si>
  <si>
    <t>Contator Tripolar, Corrente de *185* A, Tensao Nominal de *500* V, Categoria Ac-2 e Ac-3</t>
  </si>
  <si>
    <t>Contator Tripolar, Corrente de *22* A, Tensao Nominal de *500* V, Categoria Ac-2 e Ac-3</t>
  </si>
  <si>
    <t>Contator Tripolar, Corrente de *265* A, Tensao Nominal de *500* V, Categoria Ac-2 e Ac-3</t>
  </si>
  <si>
    <t>Contator Tripolar, Corrente de *38* A, Tensao Nominal de *500* V, Categoria Ac-2 e Ac-3</t>
  </si>
  <si>
    <t>Contator Tripolar, Corrente de *500* A, Tensao Nominal de *500* V, Categoria Ac-2 e Ac-3</t>
  </si>
  <si>
    <t>Contator Tripolar, Corrente de *65* A, Tensao Nominal de *500* V, Categoria Ac-2 e Ac-3</t>
  </si>
  <si>
    <t>Contator Tripolar, Corrente de 12 A, Tensao Nominal de *500* V, Categoria Ac-2 e Ac-3</t>
  </si>
  <si>
    <t>Contator Tripolar, Corrente de 25 A, Tensao Nominal de *500* V, Categoria Ac-2 e Ac-3</t>
  </si>
  <si>
    <t>Contator Tripolar, Corrente de 300 A, Tensao Nominal de *500* V, Categoria Ac-2 e Ac-3</t>
  </si>
  <si>
    <t>Contator Tripolar, Corrente de 32 A, Tensao Nominal de *500* V, Categoria Ac-2 e Ac-3</t>
  </si>
  <si>
    <t>Contator Tripolar, Corrente de 400 A, Tensao Nominal de *500* V, Categoria Ac-2 e Ac-3</t>
  </si>
  <si>
    <t>Contator Tripolar, Corrente de 45 A, Tensao Nominal de *500* V, Categoria Ac-2 e Ac-3</t>
  </si>
  <si>
    <t>Contator Tripolar, Corrente de 630 A, Tensao Nominal de *500* V, Categoria Ac-2 e Ac-3</t>
  </si>
  <si>
    <t>Contator Tripolar, Corrente de 75 A, Tensao Nominal de *500* V, Categoria Ac-2 e Ac-3</t>
  </si>
  <si>
    <t>Contator Tripolar, Corrente de 9 A, Tensao Nominal de *500* V, Categoria Ac-2 e Ac-3</t>
  </si>
  <si>
    <t>Contator Tripolar, Corrente de 95 A, Tensao Nominal de *500* V, Categoria Ac-2 e Ac-3</t>
  </si>
  <si>
    <t>Curva Para Perfilado Do Tipo Horizontal, Vertical Externa/Interna e Inversão 38X38mm</t>
  </si>
  <si>
    <t>Rele Fotoeletrico Interno e Externo Bivolt 1000 W, de Conector, Sem Base</t>
  </si>
  <si>
    <t>Tomada Rj45, 8 Fios, Cat 5e (Apenas Modulo)</t>
  </si>
  <si>
    <t>Câmera Analógica Colorida Bullet Turbo Hd 1080P Lente 2.8 mm e Alcance 20 Metros - 2Mp Ip67</t>
  </si>
  <si>
    <t>Câmera Bullet Térmica e Óptica - Hm-Td2628-8/Qa/Br - Alcance 240M</t>
  </si>
  <si>
    <t>Conector / Tomada Femea Rj 45, Categoria 5 e (Cat 5E) Para Cabos</t>
  </si>
  <si>
    <t>Aco Ca-50, 10,0 mm, ou 12,5 mm, ou 16,0 mm, ou 20,0 mm, Dobrado e Cortado</t>
  </si>
  <si>
    <t>Aco Ca-50, 6,3 mm, Dobrado e Cortado</t>
  </si>
  <si>
    <t>Aco Ca-60, 4,2 mm ou 5,0 mm, Dobrado e Cortado</t>
  </si>
  <si>
    <t>Aco Ca-60, 6,0 mm ou 7,0 mm, Dobrado e Cortado</t>
  </si>
  <si>
    <t>Concreto Usinado Bombeavel, Classe de Resistencia C20, Com Brita 0 e 1, Slump = 100 +/- 20 mm, Exclui Servico de Bombeamento (NBR 8953)</t>
  </si>
  <si>
    <t>Concreto Usinado Bombeavel, Classe de Resistencia C20, Com Brita 0 e 1, Slump = 130 +/- 20 mm, Exclui Servico de Bombeamento (NBR 8953)</t>
  </si>
  <si>
    <t>Concreto Usinado Bombeavel, Classe de Resistencia C25, Com Brita 0 e 1, Slump = 100 +/- 20 mm, Exclui Servico de Bombeamento (NBR 8953)</t>
  </si>
  <si>
    <t>Concreto Usinado Bombeavel, Classe de Resistencia C25, Com Brita 0 e 1, Slump = 130 +/- 20 mm, Exclui Servico de Bombeamento (NBR 8953)</t>
  </si>
  <si>
    <t>Concreto Usinado Bombeavel, Classe de Resistencia C25, Com Brita 0 e 1, Slump = 190 +/- 20 mm, Exclui Servico de Bombeamento (NBR 8953)</t>
  </si>
  <si>
    <t>Concreto Usinado Bombeavel, Classe de Resistencia C30, Com Brita 0 e 1, Slump = 100 +/- 20 mm, Exclui Servico de Bombeamento (NBR 8953)</t>
  </si>
  <si>
    <t>Concreto Usinado Bombeavel, Classe de Resistencia C30, Com Brita 0 e 1, Slump = 130 +/- 20 mm, Exclui Servico de Bombeamento (NBR 8953)</t>
  </si>
  <si>
    <t>Concreto Usinado Bombeavel, Classe de Resistencia C30, Com Brita 0 e 1, Slump = 190 +/- 20 mm, Exclui Servico de Bombeamento (NBR 8953)</t>
  </si>
  <si>
    <t>Concreto Usinado Bombeavel, Classe de Resistencia C30, Com Brita 0 e 1, Slump = 220 +/- 30 mm, Exclui Servico de Bombeamento (NBR 8953)</t>
  </si>
  <si>
    <t>Concreto Usinado Bombeavel, Classe de Resistencia C35, Com Brita 0 e 1, Slump = 100 +/- 20 mm, Exclui Servico de Bombeamento (NBR 8953)</t>
  </si>
  <si>
    <t>Concreto Usinado Bombeavel, Classe de Resistencia C40, Com Brita 0 e 1, Slump = 100 +/- 20 mm, Exclui Servico de Bombeamento (NBR 8953)</t>
  </si>
  <si>
    <t>Concreto Usinado Convencional (Nao Bombeavel) Classe de Resistencia C10, Com Brita 1 e 2, Slump = 80 mm +/- 10 mm (NBR 8953)</t>
  </si>
  <si>
    <t>Concreto Usinado Convencional (Nao Bombeavel) Classe de Resistencia C15, Com Brita 1 e 2, Slump = 80 mm +/- 10 mm (NBR 8953)</t>
  </si>
  <si>
    <t>Lona Plastica Extra Forte Preta, e = 200 Micra</t>
  </si>
  <si>
    <t>Lona Plastica Pesada Preta, e = 150 Micra</t>
  </si>
  <si>
    <t>Jaqueta e Cone 1/4"</t>
  </si>
  <si>
    <t>Jaqueta e Cone 3/8"</t>
  </si>
  <si>
    <t>Jaqueta e Cone 5/16"</t>
  </si>
  <si>
    <t>Parafuso de Aco Zincado Com Rosca Soberba, Cabeca Chata e Fenda Simples, Diametro 2,5 mm, Comprimento * 9,5 * mm</t>
  </si>
  <si>
    <t>Parafuso de Aco Zincado Com Rosca Soberba, Cabeca Chata e Fenda Simples, Diametro 4,2 mm, Comprimento * 32 * mm</t>
  </si>
  <si>
    <t>Parafuso de Aco Zincado Com Rosca Soberba, Cabeca Chata e Fenda Simples, Diametro 4,8 mm, Comprimento 45 mm</t>
  </si>
  <si>
    <t>Parafuso de Aco Zincado, Sextavado, Com Rosca Inteira, Diametro 5/16", Comprimento 3/4", Com Porca e Arruela Lisa Leve</t>
  </si>
  <si>
    <t>Parafuso de Ferro Polido, Sextavado, Com Rosca Parcial, Diametro 5/8", Comprimento 6", Com Porca e Arruela de Pressao Media</t>
  </si>
  <si>
    <t>Parafuso de Latao Com Acabamento Cromado Para Fixar Peca Sanitaria, Inclui Porca Cega, Arruela e Bucha de Nylon Tamanho S-10</t>
  </si>
  <si>
    <t>Parafuso de Latao Com Rosca Soberba, Cabeca Chata e Fenda Simples, Diametro 2,5 mm, Comprimento 12 mm</t>
  </si>
  <si>
    <t>Parafuso de Latao Com Rosca Soberba, Cabeca Chata e Fenda Simples, Diametro 3,2 mm, Comprimento 16 mm</t>
  </si>
  <si>
    <t>Parafuso de Latao Com Rosca Soberba, Cabeca Chata e Fenda Simples, Diametro 4,8 mm, Comprimento 65 mm</t>
  </si>
  <si>
    <t>Parafuso M16 em Aco Galvanizado, Comprimento = 500 mm, Diametro = 16 mm, Rosca Maquina, Com Cabeca Sextavada e Porca</t>
  </si>
  <si>
    <t>Terminal Adaptador Bandeira de Alumínio - 13mm (Øpino) e 14,3mm (Øfuro)</t>
  </si>
  <si>
    <t>Terminal Adaptador Bandeira de Bronze - 10mm (Øpino) e 14mm (Øfuro)</t>
  </si>
  <si>
    <t>Terminal Adaptador Bandeira de Bronze - 14mm (Øpino) e 14mm (Øfuro)</t>
  </si>
  <si>
    <t>Terminal Adaptador Bandeira de Bronze - 20,5mm (Øpino) e 14mm (Øfuro)</t>
  </si>
  <si>
    <t>Terminal de Pressão Com Efeito Mola - Faixa de Diâmetro (mm) 11,2-12,3 (P) e 12,7-13,3 (G)</t>
  </si>
  <si>
    <t>Terminal de Pressão Com Efeito Mola - Faixa de Diâmetro (mm) 14,2-14,4 (P) e 14,5-15,1 (G)</t>
  </si>
  <si>
    <t>Terminal de Pressão Com Efeito Mola - Faixa de Diâmetro (mm) 15,45-17 (P) e 17,3-18,9 (G)</t>
  </si>
  <si>
    <t>Terminal de Pressão Com Efeito Mola - Faixa de Diâmetro (mm) 20-20,8 (P) e 21,7-22,5 (G)</t>
  </si>
  <si>
    <t>Terminal de Pressão Com Efeito Mola - Faixa de Diâmetro (mm) 6,7-7,3 (P) e 7,31-8,1 (G)</t>
  </si>
  <si>
    <t>Terminal de Pressão Com Efeito Mola - Faixa de Diâmetro (mm) 9-9,7 (P) e 10-10,6 (G)</t>
  </si>
  <si>
    <t>Grampo Metalico Tipo Olhal Para Haste de Aterramento de 1", Condutor de *10* a 50 mm2</t>
  </si>
  <si>
    <t>Grampo Metalico Tipo Olhal Para Haste de Aterramento de 1/2", Condutor de *10* a 50 mm2</t>
  </si>
  <si>
    <t>Grampo Metalico Tipo Olhal Para Haste de Aterramento de 3/4", Condutor de *10* a 50 mm2</t>
  </si>
  <si>
    <t>Grampo Metalico Tipo Olhal Para Haste de Aterramento de 5/8", Condutor de *10* a 50 mm2</t>
  </si>
  <si>
    <t>Grampo Metalico Tipo U Para Haste de Aterramento de Ate 3/4", Condutor de 10 a 25 mm2</t>
  </si>
  <si>
    <t>Grampo Metalico Tipo U Para Haste de Aterramento de Ate 5/8", Condutor de 10 a 25 mm2</t>
  </si>
  <si>
    <t>Ar Condicionado Split Inverter, Hi-Wall (Parede), 12000 Btu/H, Ciclo Frio, 60Hz, Classificacao a (Selo Procel), Gas Hfc, Controle S/Fio</t>
  </si>
  <si>
    <t>Ar Condicionado Split Inverter, Hi-Wall (Parede), 18000 Btu/H, Ciclo Frio, 60Hz, Classificacao a (Selo Procel), Gas Hfc, Controle S/Fio</t>
  </si>
  <si>
    <t>Ar Condicionado Split Inverter, Hi-Wall (Parede), 24000 Btu/H, Ciclo Frio, 60Hz, Classificacao a (Selo Procel), Gas Hfc, Controle S/Fio</t>
  </si>
  <si>
    <t>Ar Condicionado Split Inverter, Hi-Wall (Parede), 9000 Btu/H, Ciclo Frio, 60Hz, Classificacao a (Selo Procel), Gas Hfc, Controle S/Fio</t>
  </si>
  <si>
    <t>Ar Condicionado Split Inverter, Piso Teto, 18000 Btu/H, Ciclo Frio, 60Hz, Classificacao Energetica a ou B (Selo Procel), Gas Hfc, Controle S/Fio</t>
  </si>
  <si>
    <t>Ar Condicionado Split Inverter, Piso Teto, 24000 Btu/H, Ciclo Frio, 60Hz, Classificacao Energetica a ou B (Selo Procel), Gas Hfc, Controle S/Fio</t>
  </si>
  <si>
    <t>Ar Condicionado Split Inverter, Piso Teto, 36000 Btu/H, Ciclo Frio, 60Hz, Classificacao Energetica a ou B (Selo Procel), Gas Hfc, Controle S/Fio</t>
  </si>
  <si>
    <t>Ar Condicionado Split Inverter, Piso Teto, 48000 Btu/H, Ciclo Frio, 60Hz, Classificacao Energetica a ou B (Selo Procel), Gas Hfc, Controle S/Fio</t>
  </si>
  <si>
    <t>Ar Condicionado Split Inverter, Piso Teto, Apresentando Entre 54000 e 58000 Btu/H, Ciclo Frio, 60Hz, Classificacao Energetica a ou B (Selo Procel), Gas Hfc, Controle S/Fio</t>
  </si>
  <si>
    <t>Ar Condicionado Split On/Off, Cassete (Teto), 36000 Btus/H, Ciclo Quente/Frio, 60 Hz, Classificacao Energetica a - Selo Procel, Gas Hfc, Controle S/ Fio</t>
  </si>
  <si>
    <t>Ar Condicionado Split On/Off, Cassete (Teto), 48000 Btus/H, Ciclo Quente/Frio, 60 Hz, Classificacao Energetica a - Selo Procel, Gas Hfc, Controle S/ Fio</t>
  </si>
  <si>
    <t>Ar Condicionado Split On/Off, Cassete (Teto), 60000 Btus/H, Ciclo Quente/Frio, 60 Hz, Classificacao Energetica a - Selo Procel, Gas Hfc, Controle S/ Fio</t>
  </si>
  <si>
    <t>Ar Condicionado Split On/Off, Hi-Wall (Parede), 12000 Btus/H, Ciclo Frio, 60 Hz, Classificacao Energetica a - Selo Procel, Gas Hfc, Controle S/ Fio</t>
  </si>
  <si>
    <t>Ar Condicionado Split On/Off, Hi-Wall (Parede), 12000 Btus/H, Ciclo Quente/Frio, 60 Hz, Classificacao Energetica a - Selo Procel, Gas Hfc, Controle S/ Fio</t>
  </si>
  <si>
    <t>Ar Condicionado Split On/Off, Hi-Wall (Parede), 18000 Btus/H, Ciclo Frio, 60 Hz, Classificacao Energetica a - Selo Procel, Gas Hfc, Controle S/ Fio</t>
  </si>
  <si>
    <t>Ar Condicionado Split On/Off, Hi-Wall (Parede), 18000 Btus/H, Ciclo Quente/Frio, 60 Hz, Classificacao Energetica a - Selo Procel, Gas Hfc, Controle S/ Fio</t>
  </si>
  <si>
    <t>Ar Condicionado Split On/Off, Hi-Wall (Parede), 24000 Btus/H, Ciclo Frio, 60 Hz, Classificacao Energetica a - Selo Procel, Gas Hfc, Controle S/ Fio</t>
  </si>
  <si>
    <t>Ar Condicionado Split On/Off, Hi-Wall (Parede), 24000 Btus/H, Ciclo Quente/Frio, 60 Hz, Classificacao Energetica a - Selo Procel, Gas Hfc, Controle S/ Fio</t>
  </si>
  <si>
    <t>Ar Condicionado Split On/Off, Hi-Wall (Parede), 9000 Btus/H, Ciclo Frio, 60 Hz, Classificacao Energetica a - Selo Procel, Gas Hfc, Controle S/ Fio</t>
  </si>
  <si>
    <t>Ar Condicionado Split On/Off, Hi-Wall (Parede), 9000 Btus/H, Ciclo Quente/Frio, 60 Hz, Classificacao Energetica a - Selo Procel, Gas Hfc, Controle S/ Fio</t>
  </si>
  <si>
    <t>Caixa de Sobrepor 1 Tomada 2P+T 10 a 250 V Branca</t>
  </si>
  <si>
    <t>Caixa de Sobrepor 1 Tomada 2P+T 20 a 250 V Branca</t>
  </si>
  <si>
    <t>Caixa de Sobrepor 2 Tomada 2P+T 10 a 250 V Branca</t>
  </si>
  <si>
    <t>Caixa de Sobrepor 2 Tomada 2P+T 20 a 250 V Branca</t>
  </si>
  <si>
    <t>Caixa de Sobrepor 3 Tomada 2P+T 10 a 250 V Branca</t>
  </si>
  <si>
    <t>Caixa de Sobrepor 3 Tomada 2P+T 20 a 250 V Branca</t>
  </si>
  <si>
    <t>Conector de Aluminio Tipo Prensa Cabo, Bitola 1 1/2", Para Cabos de Diametro de 37 a 40 mm</t>
  </si>
  <si>
    <t>Conector de Aluminio Tipo Prensa Cabo, Bitola 1 1/4", Para Cabos de Diametro de 31 a 34 mm</t>
  </si>
  <si>
    <t>Conector de Aluminio Tipo Prensa Cabo, Bitola 1", Para Cabos de Diametro de 22,5 a 25 mm</t>
  </si>
  <si>
    <t>Conector de Aluminio Tipo Prensa Cabo, Bitola 1/2", Para Cabos de Diametro de 12,5 a 15 mm</t>
  </si>
  <si>
    <t>Conector de Aluminio Tipo Prensa Cabo, Bitola 2", Para Cabos de Diametro de 47,5 a 50 mm</t>
  </si>
  <si>
    <t>Conector de Aluminio Tipo Prensa Cabo, Bitola 3/4", Para Cabos de Diametro de 17,5 a 20 mm</t>
  </si>
  <si>
    <t>Conector de Aluminio Tipo Prensa Cabo, Bitola 3/8", Para Cabos de Diametro de 9 a 10 mm</t>
  </si>
  <si>
    <t>Desvio a Direita/Esquerda Liso ou Perfurado - 100X100mm</t>
  </si>
  <si>
    <t>Desvio a Direita/Esquerda Liso ou Perfurado - 100X50mm</t>
  </si>
  <si>
    <t>Desvio a Direita/Esquerda Liso ou Perfurado - 150X100mm</t>
  </si>
  <si>
    <t>Desvio a Direita/Esquerda Liso ou Perfurado - 150X50mm</t>
  </si>
  <si>
    <t>Desvio a Direita/Esquerda Liso ou Perfurado - 200X100mm</t>
  </si>
  <si>
    <t>Desvio a Direita/Esquerda Liso ou Perfurado - 200X50mm</t>
  </si>
  <si>
    <t>Desvio a Direita/Esquerda Liso ou Perfurado - 300X100mm</t>
  </si>
  <si>
    <t>Desvio a Direita/Esquerda Liso ou Perfurado - 300X50mm</t>
  </si>
  <si>
    <t>Desvio a Direita/Esquerda Liso ou Perfurado - 400X100mm</t>
  </si>
  <si>
    <t>Desvio a Direita/Esquerda Liso ou Perfurado - 400X50mm</t>
  </si>
  <si>
    <t>Desvio a Direita/Esquerda Liso ou Perfurado - 50X50mm</t>
  </si>
  <si>
    <t>Emenda Interna "U" a Fogo Com Virola Ch16 - 200X100mm</t>
  </si>
  <si>
    <t>Emenda Interna "U" a Fogo Com Virola Ch16 - 300X100mm</t>
  </si>
  <si>
    <t>Redução Concêntrica e a Direita/Esquerda Lisa ou Perfurada - 100X50mm Para 50X50mm</t>
  </si>
  <si>
    <t>Redução Concêntrica e a Direita/Esquerda Lisa ou Perfurada - 150X100mm Para 100X100mm</t>
  </si>
  <si>
    <t>Redução Concêntrica e a Direita/Esquerda Lisa ou Perfurada - 150X50mm Para 100X50mm</t>
  </si>
  <si>
    <t>Redução Concêntrica e a Direita/Esquerda Lisa ou Perfurada - 200X100mm Para 100X100mm</t>
  </si>
  <si>
    <t>Redução Concêntrica e a Direita/Esquerda Lisa ou Perfurada - 200X100mm Para 150X100mm</t>
  </si>
  <si>
    <t>Redução Concêntrica e a Direita/Esquerda Lisa ou Perfurada - 200X50mm Para 150X50mm</t>
  </si>
  <si>
    <t>Redução Concêntrica e a Direita/Esquerda Lisa ou Perfurada - 300X100mm Para 200X100mm</t>
  </si>
  <si>
    <t>Redução Concêntrica e a Direita/Esquerda Lisa ou Perfurada - 300X50mm Para 200X50mm</t>
  </si>
  <si>
    <t>Redução Concêntrica e a Direita/Esquerda Lisa ou Perfurada - 400X100mm Para 300X100mm</t>
  </si>
  <si>
    <t>Redução Concêntrica e a Direita/Esquerda Lisa ou Perfurada - 400X50mm Para 300X50mm</t>
  </si>
  <si>
    <t>Tampas de Encaixe Para Curvas Verticais Externas e Internas de 45º e Desvio a Direita/Esquerda - 100mm</t>
  </si>
  <si>
    <t>Tampas de Encaixe Para Curvas Verticais Externas e Internas de 45º e Desvio a Direita/Esquerda - 150mm</t>
  </si>
  <si>
    <t>Tampas de Encaixe Para Curvas Verticais Externas e Internas de 45º e Desvio a Direita/Esquerda - 200mm</t>
  </si>
  <si>
    <t>Tampas de Encaixe Para Curvas Verticais Externas e Internas de 45º e Desvio a Direita/Esquerda - 300mm</t>
  </si>
  <si>
    <t>Tampas de Encaixe Para Curvas Verticais Externas e Internas de 45º e Desvio a Direita/Esquerda - 400mm</t>
  </si>
  <si>
    <t>Tampas de Encaixe Para Curvas Verticais Externas e Internas de 45º e Desvio a Direita/Esquerda - 50mm</t>
  </si>
  <si>
    <t>Curva Galvanizada a Fogo 1"</t>
  </si>
  <si>
    <t>Curva Galvanizada a Fogo 1.1/2"</t>
  </si>
  <si>
    <t>Curva Galvanizada a Fogo 1.1/4"</t>
  </si>
  <si>
    <t>Curva Galvanizada a Fogo 2"</t>
  </si>
  <si>
    <t>Curva Galvanizada a Fogo 3"</t>
  </si>
  <si>
    <t>Curva Galvanizada a Fogo 3/4"</t>
  </si>
  <si>
    <t>Eletroduto Galvanizado a Fogo 1" Médio - 3 Metros</t>
  </si>
  <si>
    <t>Eletroduto Galvanizado a Fogo 1" Pesado - 3 Metros</t>
  </si>
  <si>
    <t>Eletroduto Galvanizado a Fogo 1.1/2" Médio - 3 Metros</t>
  </si>
  <si>
    <t>Eletroduto Galvanizado a Fogo 1.1/2" Pesado - 3 Metros</t>
  </si>
  <si>
    <t>Eletroduto Galvanizado a Fogo 1.1/4" Médio - 3 Metros</t>
  </si>
  <si>
    <t>Eletroduto Galvanizado a Fogo 1.1/4" Pesado - 3 Metros</t>
  </si>
  <si>
    <t>Eletroduto Galvanizado a Fogo 2" Médio - 3 Metros</t>
  </si>
  <si>
    <t>Eletroduto Galvanizado a Fogo 2" Pesado - 3 Metros</t>
  </si>
  <si>
    <t>Eletroduto Galvanizado a Fogo 3/4" Médio - 3 Metros</t>
  </si>
  <si>
    <t>Eletroduto Galvanizado a Fogo 3/4" Pesado - 3 Metros</t>
  </si>
  <si>
    <t>Grampo Paralelo Metalico Para Cabo de 6 a 50 mm2, Com 2 Parafusos</t>
  </si>
  <si>
    <t>Luminaria Solar Led Externa, Tipo Arandela de Parede, em Aluminio, 16 Leds, Luz Branca, *180* Lumens, Capacidade de Iluminacao Ate 36 H, Retangular, *13 X 9 X 7* (C X L X A), Com Sensor de Movimento / Presenca, Bateria Recarregavel Com Luz Solar, Resistente Ao Calor, a Prova de Agua e Poeira/ Impermeavel, Ip65</t>
  </si>
  <si>
    <t>Luminaria Tipo Tartaruga a Prova de Tempo, Gases, Vapor e Po, em Aluminio, Com Grade, Base E27, Potencia Maxima 100 W (Nao Inclui Lampada)</t>
  </si>
  <si>
    <t>Pedra Britada N. 0, ou Pedrisco (4,8 a 9,5 mm) Posto Pedreira/Fornecedor, Sem Frete</t>
  </si>
  <si>
    <t>Pedra Britada N. 1 (9,5 a 19 mm) Posto Pedreira/Fornecedor, Sem Frete</t>
  </si>
  <si>
    <t>Pedra Britada N. 2 (19 a 38 mm) Posto Pedreira/Fornecedor, Sem Frete</t>
  </si>
  <si>
    <t>Pedra Britada N. 3 (38 a 50 mm) Posto Pedreira/Fornecedor, Sem Frete</t>
  </si>
  <si>
    <t>Terminal a Compressao em Cobre Estanhado Para Cabo 10 mm2, 1 Furo e 1 Compressao, Para Parafuso de Fixacao M6</t>
  </si>
  <si>
    <t>Terminal a Compressao em Cobre Estanhado Para Cabo 120 mm2, 1 Furo e 1 Compressao, Para Parafuso de Fixacao M12</t>
  </si>
  <si>
    <t>Terminal a Compressao em Cobre Estanhado Para Cabo 16 mm2, 1 Furo e 1 Compressao, Para Parafuso de Fixacao M6</t>
  </si>
  <si>
    <t>Terminal a Compressao em Cobre Estanhado Para Cabo 2,5 mm2, 1 Furo e 1 Compressao, Para Parafuso de Fixacao M5</t>
  </si>
  <si>
    <t>Terminal a Compressao em Cobre Estanhado Para Cabo 25 mm2, 1 Furo e 1 Compressao, Para Parafuso de Fixacao M8</t>
  </si>
  <si>
    <t>Terminal a Compressao em Cobre Estanhado Para Cabo 35 mm2, 1 Furo e 1 Compressao, Para Parafuso de Fixacao M8</t>
  </si>
  <si>
    <t>Terminal a Compressao em Cobre Estanhado Para Cabo 4 mm2, 1 Furo e 1 Compressao, Para Parafuso de Fixacao M5</t>
  </si>
  <si>
    <t>Terminal a Compressao em Cobre Estanhado Para Cabo 50 mm2, 1 Furo e 1 Compressao, Para Parafuso de Fixacao M8</t>
  </si>
  <si>
    <t>Terminal a Compressao em Cobre Estanhado Para Cabo 6 mm2, 1 Furo e 1 Compressao, Para Parafuso de Fixacao M6</t>
  </si>
  <si>
    <t>Terminal a Compressao em Cobre Estanhado Para Cabo 70 mm2, 1 Furo e 1 Compressao, Para Parafuso de Fixacao M10</t>
  </si>
  <si>
    <t>Terminal a Compressao em Cobre Estanhado Para Cabo 95 mm2, 1 Furo e 1 Compressao, Para Parafuso de Fixacao M12</t>
  </si>
  <si>
    <t>Terminal Metalico a Pressao 1 Cabo, Para Cabos de 4 a 10 mm2, Com 2 Furos Para Fixacao</t>
  </si>
  <si>
    <t>Terminal Metalico a Pressao Para 1 Cabo de 120 mm2, Com 1 Furo de Fixacao</t>
  </si>
  <si>
    <t>Terminal Metalico a Pressao Para 1 Cabo de 150 a 185 mm2, Com 2 Furos Para Fixacao</t>
  </si>
  <si>
    <t>Terminal Metalico a Pressao Para 1 Cabo de 150 mm2, Com 1 Furo de Fixacao</t>
  </si>
  <si>
    <t>Terminal Metalico a Pressao Para 1 Cabo de 16 a 25 mm2, Com 2 Furos Para Fixacao</t>
  </si>
  <si>
    <t>Terminal Metalico a Pressao Para 1 Cabo de 16 mm2, Com 1 Furo de Fixacao</t>
  </si>
  <si>
    <t>Terminal Metalico a Pressao Para 1 Cabo de 185 mm2, Com 1 Furo de Fixacao</t>
  </si>
  <si>
    <t>Terminal Metalico a Pressao Para 1 Cabo de 240 mm2, Com 1 Furo de Fixacao</t>
  </si>
  <si>
    <t>Terminal Metalico a Pressao Para 1 Cabo de 25 a 35 mm2, Com 2 Furos Para Fixacao</t>
  </si>
  <si>
    <t>Terminal Metalico a Pressao Para 1 Cabo de 25 mm2, Com 1 Furo de Fixacao</t>
  </si>
  <si>
    <t>Terminal Metalico a Pressao Para 1 Cabo de 300 mm2, Com 1 Furo de Fixacao</t>
  </si>
  <si>
    <t>Terminal Metalico a Pressao Para 1 Cabo de 35 mm2, Com 1 Furo de Fixacao</t>
  </si>
  <si>
    <t>Terminal Metalico a Pressao Para 1 Cabo de 50 a 70 mm2, Com 2 Furos Para Fixacao</t>
  </si>
  <si>
    <t>Terminal Metalico a Pressao Para 1 Cabo de 50 mm2, Com 1 Furo de Fixacao</t>
  </si>
  <si>
    <t>Terminal Metalico a Pressao Para 1 Cabo de 6 a 10 mm2, Com 1 Furo de Fixacao</t>
  </si>
  <si>
    <t>Terminal Metalico a Pressao Para 1 Cabo de 70 mm2, Com 1 Furo de Fixacao</t>
  </si>
  <si>
    <t>Terminal Metalico a Pressao Para 1 Cabo de 95 a 120 mm2, Com 2 Furos Para Fixacao</t>
  </si>
  <si>
    <t>Terminal Metalico a Pressao Para 1 Cabo de 95 mm2, Com 1 Furo de Fixacao</t>
  </si>
  <si>
    <t>Terminal Tubular Bimetálico a Compressao P/Disjuntor - M10 - 120mm</t>
  </si>
  <si>
    <t>Terminal Tubular Bimetálico a Compressão P/Disjuntor - M10 - 150mm</t>
  </si>
  <si>
    <t>Terminal Tubular Bimetálico a Compressão P/Disjuntor - M10 - 185mm</t>
  </si>
  <si>
    <t>Terminal Tubular Bimetálico a Compressão P/Disjuntor - M10 - 240mm</t>
  </si>
  <si>
    <t>Terminal Tubular Bimetálico a Compressão P/Disjuntor - M10 - 300mm</t>
  </si>
  <si>
    <t>Terminal Tubular Bimetálico a Compressão P/Disjuntor - M8 - 16mm</t>
  </si>
  <si>
    <t>Terminal Tubular Bimetálico a Compressão P/Disjuntor - M8 - 25mm</t>
  </si>
  <si>
    <t>Terminal Tubular Bimetálico a Compressão P/Disjuntor - M8 - 35mm</t>
  </si>
  <si>
    <t>Terminal Tubular Bimetálico a Compressão P/Disjuntor - M8 - 50mm</t>
  </si>
  <si>
    <t>Terminal Tubular Bimetálico a Compressão P/Disjuntor - M8 - 70mm</t>
  </si>
  <si>
    <t>Terminal Tubular Bimetálico a Compressão P/Disjuntor - M8 - 95mm</t>
  </si>
  <si>
    <t>Caixa de Incendio/Abrigo Para Mangueira, de Embutir/Interna, Com 75 X 45 X 17 cm, em Chapa de Aco, Porta Com Ventilacao, Visor Com a Inscricao "Incendio", Suporte/Cesta Interna Para a Mangueira, Pintura Eletrostatica Vermelha</t>
  </si>
  <si>
    <t>Caixa de Incendio/Abrigo Para Mangueira, de Embutir/Interna, Com 90 X 60 X 17 cm, em Chapa de Aco, Porta Com Ventilacao, Visor Com a Inscricao "Incendio", Suporte/Cesta Interna Para a Mangueira, Pintura Eletrostatica Vermelha</t>
  </si>
  <si>
    <t>Caixa de Incendio/Abrigo Para Mangueira, de Sobrepor/Externa, Com 75 X 45 X 17 cm, em Chapa de Aco, Porta Com Ventilacao, Visor Com a Inscricao "Incendio", Suporte/Cesta Interna Para a Mangueira, Pintura Eletrostatica Vermelha</t>
  </si>
  <si>
    <t>Caixa de Incendio/Abrigo Para Mangueira, de Sobrepor/Externa, Com 90 X 60 X 17 cm, em Chapa de Aco, Porta Com Ventilacao, Visor Com a Inscricao "Incendio", Suporte/Cesta Interna Para a Mangueira, Pintura Eletrostatica Vermelha</t>
  </si>
  <si>
    <t>Caixa de Inspecao Para Aterramento ou Outro Uso, em PVC, Dn = 250 X 250 mm</t>
  </si>
  <si>
    <t>Caixa de Inspecao Para Aterramento ou Outro Uso, em PVC, Dn = 300 X *300* mm</t>
  </si>
  <si>
    <t>Caixa de Inspecao Para Aterramento ou Outro Uso, em PVC, Dn = 300 X 250 mm</t>
  </si>
  <si>
    <t>Caixa de Inspecao Para Aterramento ou Outro Uso, em PVC, Dn = 300 X 600 mm</t>
  </si>
  <si>
    <t>Cabo 750V Flexivel 10mm2 70G PVC Azul</t>
  </si>
  <si>
    <t>Cabo 750V Flexivel 10mm2 70G PVC Preto</t>
  </si>
  <si>
    <t>Cabo 750V Flexivel 10mm2 70G PVC Verde</t>
  </si>
  <si>
    <t>Cabo 750V Flexivel 120mm2 70G PVC Azul</t>
  </si>
  <si>
    <t>Cabo 750V Flexivel 16mm2 70G PVC Azul</t>
  </si>
  <si>
    <t>Cabo 750V Flexivel 16mm2 70G PVC Preto</t>
  </si>
  <si>
    <t>Cabo 750V Flexivel 16mm2 70G PVC Verde</t>
  </si>
  <si>
    <t>Cabo 750V Flexivel 2,5mm2 70G PVC Azul</t>
  </si>
  <si>
    <t>Cabo 750V Flexivel 2,5mm2 70G PVC Preto</t>
  </si>
  <si>
    <t>Cabo 750V Flexivel 2,5mm2 70G PVC Verde</t>
  </si>
  <si>
    <t>Cabo 750V Flexivel 25mm2 70G PVC Azul</t>
  </si>
  <si>
    <t>Cabo 750V Flexivel 25mm2 70G PVC Preto</t>
  </si>
  <si>
    <t>Cabo 750V Flexivel 25mm2 70G PVC Verde</t>
  </si>
  <si>
    <t>Cabo 750V Flexivel 35mm2 70G PVC Azul</t>
  </si>
  <si>
    <t>Cabo 750V Flexivel 35mm2 70G PVC Preto</t>
  </si>
  <si>
    <t>Cabo 750V Flexivel 35mm2 70G PVC Verde</t>
  </si>
  <si>
    <t>Cabo 750V Flexivel 4mm2 70G PVC Azul</t>
  </si>
  <si>
    <t>Cabo 750V Flexivel 4mm2 70G PVC Preto</t>
  </si>
  <si>
    <t>Cabo 750V Flexivel 4mm2 70G PVC Verde</t>
  </si>
  <si>
    <t>Cabo 750V Flexivel 50mm2 70G PVC Preto</t>
  </si>
  <si>
    <t>Cabo 750V Flexivel 6mm2 70G PVC Preto</t>
  </si>
  <si>
    <t>Cabo 750V Flexivel 70mm2 70G PVC Azul</t>
  </si>
  <si>
    <t>Cabo 750V Flexivel 70mm2 70G PVC Preto</t>
  </si>
  <si>
    <t>Cabo 750V Flexivel 70mm2 70G PVC Verde</t>
  </si>
  <si>
    <t>Cabo 750V Flexivel 95mm2 70G PVC Preto</t>
  </si>
  <si>
    <t>Cabo 750V Flexivel 95mm2 70G PVC Verde</t>
  </si>
  <si>
    <t>Cabo de Cobre, Flexivel, Classe 4 ou 5, Isolacao em PVC/A, Antichama Bwf-B, 1 Condutor, 450/750 V, Secao Nominal 0,5 mm2</t>
  </si>
  <si>
    <t>Cabo de Cobre, Flexivel, Classe 4 ou 5, Isolacao em PVC/A, Antichama Bwf-B, 1 Condutor, 450/750 V, Secao Nominal 0,75 mm2</t>
  </si>
  <si>
    <t>Cabo de Cobre, Flexivel, Classe 4 ou 5, Isolacao em PVC/A, Antichama Bwf-B, 1 Condutor, 450/750 V, Secao Nominal 1,0 mm2</t>
  </si>
  <si>
    <t>Cabo de Cobre, Flexivel, Classe 4 ou 5, Isolacao em PVC/A, Antichama Bwf-B, 1 Condutor, 450/750 V, Secao Nominal 1,5 mm2</t>
  </si>
  <si>
    <t>Cabo de Cobre, Flexivel, Classe 4 ou 5, Isolacao em PVC/A, Antichama Bwf-B, 1 Condutor, 450/750 V, Secao Nominal 10 mm2</t>
  </si>
  <si>
    <t>Cabo de Cobre, Flexivel, Classe 4 ou 5, Isolacao em PVC/A, Antichama Bwf-B, 1 Condutor, 450/750 V, Secao Nominal 120 mm2</t>
  </si>
  <si>
    <t>Cabo de Cobre, Flexivel, Classe 4 ou 5, Isolacao em PVC/A, Antichama Bwf-B, 1 Condutor, 450/750 V, Secao Nominal 150 mm2</t>
  </si>
  <si>
    <t>Cabo de Cobre, Flexivel, Classe 4 ou 5, Isolacao em PVC/A, Antichama Bwf-B, 1 Condutor, 450/750 V, Secao Nominal 16 mm2</t>
  </si>
  <si>
    <t>Cabo de Cobre, Flexivel, Classe 4 ou 5, Isolacao em PVC/A, Antichama Bwf-B, 1 Condutor, 450/750 V, Secao Nominal 185 mm2</t>
  </si>
  <si>
    <t>Cabo de Cobre, Flexivel, Classe 4 ou 5, Isolacao em PVC/A, Antichama Bwf-B, 1 Condutor, 450/750 V, Secao Nominal 2,5 mm2</t>
  </si>
  <si>
    <t>Cabo de Cobre, Flexivel, Classe 4 ou 5, Isolacao em PVC/A, Antichama Bwf-B, 1 Condutor, 450/750 V, Secao Nominal 240 mm2</t>
  </si>
  <si>
    <t>Cabo de Cobre, Flexivel, Classe 4 ou 5, Isolacao em PVC/A, Antichama Bwf-B, 1 Condutor, 450/750 V, Secao Nominal 25 mm2</t>
  </si>
  <si>
    <t>Cabo de Cobre, Flexivel, Classe 4 ou 5, Isolacao em PVC/A, Antichama Bwf-B, 1 Condutor, 450/750 V, Secao Nominal 35 mm2</t>
  </si>
  <si>
    <t>Cabo de Cobre, Flexivel, Classe 4 ou 5, Isolacao em PVC/A, Antichama Bwf-B, 1 Condutor, 450/750 V, Secao Nominal 4 mm2</t>
  </si>
  <si>
    <t>Cabo de Cobre, Flexivel, Classe 4 ou 5, Isolacao em PVC/A, Antichama Bwf-B, 1 Condutor, 450/750 V, Secao Nominal 50 mm2</t>
  </si>
  <si>
    <t>Cabo de Cobre, Flexivel, Classe 4 ou 5, Isolacao em PVC/A, Antichama Bwf-B, 1 Condutor, 450/750 V, Secao Nominal 6 mm2</t>
  </si>
  <si>
    <t>Cabo de Cobre, Flexivel, Classe 4 ou 5, Isolacao em PVC/A, Antichama Bwf-B, 1 Condutor, 450/750 V, Secao Nominal 70 mm2</t>
  </si>
  <si>
    <t>Cabo de Cobre, Flexivel, Classe 4 ou 5, Isolacao em PVC/A, Antichama Bwf-B, 1 Condutor, 450/750 V, Secao Nominal 95 mm2</t>
  </si>
  <si>
    <t>Cabo Flexivel PVC 750 V, 2 Condutores de 1,5 mm2</t>
  </si>
  <si>
    <t>Cabo Flexivel PVC 750 V, 2 Condutores de 4,0 mm2</t>
  </si>
  <si>
    <t>Cabo Flexivel PVC 750 V, 2 Condutores de 6,0 mm2</t>
  </si>
  <si>
    <t>Cabo Flexivel PVC 750 V, 3 Condutores de 1,5 mm2</t>
  </si>
  <si>
    <t>Cabo Flexivel PVC 750 V, 3 Condutores de 4,0 mm2</t>
  </si>
  <si>
    <t>Cabo Flexivel PVC 750 V, 3 Condutores de 6,0 mm2</t>
  </si>
  <si>
    <t>Cabo Flexivel PVC 750 V, 4 Condutores de 1,5 mm2</t>
  </si>
  <si>
    <t>Cabo Flexivel PVC 750 V, 4 Condutores de 4,0 mm2</t>
  </si>
  <si>
    <t>Cabo Flexivel PVC 750 V, 4 Condutores de 6,0 mm2</t>
  </si>
  <si>
    <t>Cordao de Cobre, Flexivel, Torcido, Classe 4 ou 5, Isolacao em PVC/D, 300 V, 2 Condutores de 0,5 mm2</t>
  </si>
  <si>
    <t>Cordao de Cobre, Flexivel, Torcido, Classe 4 ou 5, Isolacao em PVC/D, 300 V, 2 Condutores de 0,75 mm2</t>
  </si>
  <si>
    <t>Cordao de Cobre, Flexivel, Torcido, Classe 4 ou 5, Isolacao em PVC/D, 300 V, 2 Condutores de 1,0 mm2</t>
  </si>
  <si>
    <t>Cordao de Cobre, Flexivel, Torcido, Classe 4 ou 5, Isolacao em PVC/D, 300 V, 2 Condutores de 1,5 mm2</t>
  </si>
  <si>
    <t>Cordao de Cobre, Flexivel, Torcido, Classe 4 ou 5, Isolacao em PVC/D, 300 V, 2 Condutores de 2,5 mm2</t>
  </si>
  <si>
    <t>Cordao de Cobre, Flexivel, Torcido, Classe 4 ou 5, Isolacao em PVC/D, 300 V, 2 Condutores de 4 mm2</t>
  </si>
  <si>
    <t>Fio de Cobre, Solido, Classe 1, Isolacao em PVC/A, Antichama Bwf-B, 450/750V, Secao Nominal 1,5 mm2</t>
  </si>
  <si>
    <t>Fio de Cobre, Solido, Classe 1, Isolacao em PVC/A, Antichama Bwf-B, 450/750V, Secao Nominal 10 mm2</t>
  </si>
  <si>
    <t>Fio de Cobre, Solido, Classe 1, Isolacao em PVC/A, Antichama Bwf-B, 450/750V, Secao Nominal 2,5 mm2</t>
  </si>
  <si>
    <t>Fio de Cobre, Solido, Classe 1, Isolacao em PVC/A, Antichama Bwf-B, 450/750V, Secao Nominal 4 mm2</t>
  </si>
  <si>
    <t>Fio de Cobre, Solido, Classe 1, Isolacao em PVC/A, Antichama Bwf-B, 450/750V, Secao Nominal 6 mm2</t>
  </si>
  <si>
    <t>Caixa de Passagem Eletrica de Parede, de Embutir, em PVC, Com Tampa Aparafusada, Dimensoes 120 X 120 X *75* mm</t>
  </si>
  <si>
    <t>Caixa de Passagem Eletrica de Parede, de Embutir, em PVC, Com Tampa Aparafusada, Dimensoes 150 X 150 X *75* mm</t>
  </si>
  <si>
    <t>Caixa de Passagem Eletrica de Parede, de Embutir, em PVC, Com Tampa Aparafusada, Dimensoes 200 X 200 X *90* mm</t>
  </si>
  <si>
    <t>Caixa de Passagem Eletrica de Parede, de Embutir, em Termoplastico / PVC, Com Tampa Aparafusada, Dimensoes 400 X 400 X *120* mm</t>
  </si>
  <si>
    <t>Caixa de Passagem Eletrica de Parede, de Sobrepor, em PVC, Com Tampa Aparafusada, Dimensoes 300 X 300 X *100* mm</t>
  </si>
  <si>
    <t>Caixa de Passagem Eletrica de Parede, de Sobrepor, em PVC, Com Tampa Aparafusada, Dimensoes, 400 X 400 X *120* mm</t>
  </si>
  <si>
    <t>Caixa de Passagem Eletrica de Parede, de Sobrepor, em Termoplastico / PVC, Com Tampa Aparafusada, Dimensoes 200 X 200 X *100* mm</t>
  </si>
  <si>
    <t>Caixa de Passagem Eletrica de Parede, de Sobrepor, em Termoplastico / PVC, Com Tampa Aparafusada, Dimensoes, 150 X 150 X *100* mm</t>
  </si>
  <si>
    <t>Caixa de Passagem Eletrica, Para Piso, em PVC, Dimensoes de 3/4" a 4"</t>
  </si>
  <si>
    <t>Caixa de Passagem, em PVC, de 4" X 2", Para Eletroduto Flexivel Corrugado</t>
  </si>
  <si>
    <t>Caixa de Passagem, em PVC, de 4" X 4", Para Eletroduto Flexivel Corrugado</t>
  </si>
  <si>
    <t>Caixa Octogonal de Fundo Movel, em PVC, de 3" X 3", Para Eletroduto Flexivel Corrugado</t>
  </si>
  <si>
    <t>Caixa Octogonal de Fundo Movel, em PVC, de 4" X 4", Para Eletroduto Flexivel Corrugado</t>
  </si>
  <si>
    <t>Centro de Medicao Agrupada, em Policarbonato / PVC, Com 12 Medidores e Protecao Geral (Inclui Barramento, Disjuntores e Acessorios de Fixacao) (Padrao Concessionaria Local)</t>
  </si>
  <si>
    <t>Centro de Medicao Agrupada, em Policarbonato / PVC, Com 16 Medidores e Protecao Geral (Inclui Barramento, Disjuntores e Acessorios de Fixacao) (Padrao Concessionaria Local)</t>
  </si>
  <si>
    <t>Centro de Medicao Agrupada, em Policarbonato / PVC, Com 4 Medidores e Protecao Geral (Inclui Barramento, Disjuntores e Acessorios de Fixacao) (Padrao Concessionaria Local)</t>
  </si>
  <si>
    <t>Centro de Medicao Agrupada, em Policarbonato / PVC, Com 8 Medidores e Protecao Geral (Inclui Barramento, Disjuntores e Acessorios de Fixacao) (Padrao Concessionaria Local)</t>
  </si>
  <si>
    <t>Condulete de PVC 5 Entradas (1/2", 3/4" ou 1")</t>
  </si>
  <si>
    <t>Condulete de PVC Branco Com Tampa 3 Postos (3/4" ou 1")</t>
  </si>
  <si>
    <t>Condulete de PVC Cinza Sem Tampa (1/2", 3/4" ou 1")</t>
  </si>
  <si>
    <t>Condulete de PVC Vermelho Sem Tampa (1/2", 3/4" ou 1")</t>
  </si>
  <si>
    <t>Condulete em PVC, Tipo "B", Sem Tampa, de 1"</t>
  </si>
  <si>
    <t>Condulete em PVC, Tipo "B", Sem Tampa, de 1/2" ou 3/4"</t>
  </si>
  <si>
    <t>Condulete em PVC, Tipo "C", Sem Tampa, de 1"</t>
  </si>
  <si>
    <t>Condulete em PVC, Tipo "C", Sem Tampa, de 1/2"</t>
  </si>
  <si>
    <t>Condulete em PVC, Tipo "C", Sem Tampa, de 3/4"</t>
  </si>
  <si>
    <t>Condulete em PVC, Tipo "E", Sem Tampa, de 1"</t>
  </si>
  <si>
    <t>Condulete em PVC, Tipo "E", Sem Tampa, de 1/2"</t>
  </si>
  <si>
    <t>Condulete em PVC, Tipo "E", Sem Tampa, de 3/4"</t>
  </si>
  <si>
    <t>Condulete em PVC, Tipo "T", Sem Tampa, de 1"</t>
  </si>
  <si>
    <t>Condulete em PVC, Tipo "T", Sem Tampa, de 3/4"</t>
  </si>
  <si>
    <t>Condulete em PVC, Tipo "X", Sem Tampa, de 1"</t>
  </si>
  <si>
    <t>Condulete em PVC, Tipo "X", Sem Tampa, de 1/2"</t>
  </si>
  <si>
    <t>Condulete em PVC, Tipo "X", Sem Tampa, de 3/4"</t>
  </si>
  <si>
    <t>Conector Condulete de PVC Branco Multiplo - 1"</t>
  </si>
  <si>
    <t>Conector Condulete de PVC Branco Multiplo - 3/4"</t>
  </si>
  <si>
    <t>Conector Condulete de PVC Cinza Multiplo - 1"</t>
  </si>
  <si>
    <t>Conector Condulete de PVC Cinza Multiplo - 1/2"</t>
  </si>
  <si>
    <t>Conector Condulete de PVC Cinza Multiplo - 3/4"</t>
  </si>
  <si>
    <t>Conector Condulete de PVC Multiplo - 1"</t>
  </si>
  <si>
    <t>Conector Condulete de PVC Multiplo - 1/2"</t>
  </si>
  <si>
    <t>Conector Condulete de PVC Multiplo - 3/4"</t>
  </si>
  <si>
    <t>Conector Condulete de PVC Vermelho Multiplo - 1"</t>
  </si>
  <si>
    <t>Conector Condulete de PVC Vermelho Multiplo - 3/4"</t>
  </si>
  <si>
    <t>Tampa 1 Interruptor Para Condulete de PVC</t>
  </si>
  <si>
    <t>Tampa 1 Rj Para Condulete de PVC</t>
  </si>
  <si>
    <t>Tampa 2 Interruptores Para Condulete de PVC</t>
  </si>
  <si>
    <t>Tampa 2 Rj Para Condulete de PVC</t>
  </si>
  <si>
    <t>Tampa 3 Interruptores Para Condulete de PVC</t>
  </si>
  <si>
    <t>Tampa 3 Postos Para Condulete de PVC Cinza</t>
  </si>
  <si>
    <t>Tampa Cega Para Condulete de PVC</t>
  </si>
  <si>
    <t>Tampa Cega Para Condulete de PVC Cinza</t>
  </si>
  <si>
    <t>Tampa Cega Para Condulete de PVC Vermelho</t>
  </si>
  <si>
    <t>Tampa Para Condulete, em PVC, Para 1 Interruptor</t>
  </si>
  <si>
    <t>Tampa Para Condulete, em PVC, Para 1 Modulo Rj</t>
  </si>
  <si>
    <t>Tampa Para Condulete, em PVC, Para 2 Modulos Rj</t>
  </si>
  <si>
    <t>Tampa Para Condulete, em PVC, Para Tomada Hexagonal</t>
  </si>
  <si>
    <t>Tampa Tomada Hexagonal Para Condulete de PVC</t>
  </si>
  <si>
    <t>Tampa Tomada Redonda Para Condulete de PVC</t>
  </si>
  <si>
    <t>Curva 135 Graus, de PVC Rigido Roscavel, de 1", Para Eletroduto</t>
  </si>
  <si>
    <t>Curva 135 Graus, de PVC Rigido Roscavel, de 3/4", Para Eletroduto</t>
  </si>
  <si>
    <t>Curva 180 Graus, de PVC Rigido Roscavel, de 1 1/2", Para Eletroduto</t>
  </si>
  <si>
    <t>Curva 180 Graus, de PVC Rigido Roscavel, de 1 1/4", Para Eletroduto</t>
  </si>
  <si>
    <t>Curva 180 Graus, de PVC Rigido Roscavel, de 1", Para Eletroduto</t>
  </si>
  <si>
    <t>Curva 180 Graus, de PVC Rigido Roscavel, de 1/2", Para Eletroduto</t>
  </si>
  <si>
    <t>Curva 180 Graus, de PVC Rigido Roscavel, de 2", Para Eletroduto</t>
  </si>
  <si>
    <t>Curva 180 Graus, de PVC Rigido Roscavel, de 3/4", Para Eletroduto</t>
  </si>
  <si>
    <t>Curva 90 Graus, Curta, de PVC Rigido Roscavel, de 1", Para Eletroduto</t>
  </si>
  <si>
    <t>Curva 90 Graus, Curta, de PVC Rigido Roscavel, de 1/2", Para Eletroduto</t>
  </si>
  <si>
    <t>Curva 90 Graus, Curta, de PVC Rigido Roscavel, de 3/4", Para Eletroduto</t>
  </si>
  <si>
    <t>Curva 90 Graus, Longa, de PVC Rigido Roscavel, de 1 1/2", Para Eletroduto</t>
  </si>
  <si>
    <t>Curva 90 Graus, Longa, de PVC Rigido Roscavel, de 1 1/4", Para Eletroduto</t>
  </si>
  <si>
    <t>Curva 90 Graus, Longa, de PVC Rigido Roscavel, de 1", Para Eletroduto</t>
  </si>
  <si>
    <t>Curva 90 Graus, Longa, de PVC Rigido Roscavel, de 1/2", Para Eletroduto</t>
  </si>
  <si>
    <t>Curva 90 Graus, Longa, de PVC Rigido Roscavel, de 2 1/2", Para Eletroduto</t>
  </si>
  <si>
    <t>Curva 90 Graus, Longa, de PVC Rigido Roscavel, de 2", Para Eletroduto</t>
  </si>
  <si>
    <t>Curva 90 Graus, Longa, de PVC Rigido Roscavel, de 3", Para Eletroduto</t>
  </si>
  <si>
    <t>Curva 90 Graus, Longa, de PVC Rigido Roscavel, de 3/4", Para Eletroduto</t>
  </si>
  <si>
    <t>Curva 90 Graus, Longa, de PVC Rigido Roscavel, de 4", Para Eletroduto</t>
  </si>
  <si>
    <t>Curva 90º Eletroduto de PVC Branco 1"</t>
  </si>
  <si>
    <t>Curva 90º Eletroduto de PVC Branco 3/4"</t>
  </si>
  <si>
    <t>Curva 90º Eletroduto de PVC Cinza 1"</t>
  </si>
  <si>
    <t>Curva 90º Eletroduto de PVC Cinza 1/2"</t>
  </si>
  <si>
    <t>Curva 90º Eletroduto de PVC Cinza 3/4"</t>
  </si>
  <si>
    <t>Curva 90º Eletroduto de PVC Preto 1"</t>
  </si>
  <si>
    <t>Curva 90º Eletroduto de PVC Preto 1.1/2"</t>
  </si>
  <si>
    <t>Curva 90º Eletroduto de PVC Preto 1.1/4"</t>
  </si>
  <si>
    <t>Curva 90º Eletroduto de PVC Preto 1/2"</t>
  </si>
  <si>
    <t>Curva 90º Eletroduto de PVC Preto 2"</t>
  </si>
  <si>
    <t>Curva 90º Eletroduto de PVC Preto 2.1/2"</t>
  </si>
  <si>
    <t>Curva 90º Eletroduto de PVC Preto 3"</t>
  </si>
  <si>
    <t>Curva 90º Eletroduto de PVC Preto 3/4"</t>
  </si>
  <si>
    <t>Curva 90º Eletroduto de PVC Preto 4"</t>
  </si>
  <si>
    <t>Curva 90º Eletroduto de PVC Vermelho 1"</t>
  </si>
  <si>
    <t>Curva 90º Eletroduto de PVC Vermelho 3/4"</t>
  </si>
  <si>
    <t>Eletroduto de PVC Branco 1" - 3 Metros</t>
  </si>
  <si>
    <t>Eletroduto de PVC Branco 3/4" - 3 Metros</t>
  </si>
  <si>
    <t>Eletroduto de PVC Cinza 1" - 3 Metros</t>
  </si>
  <si>
    <t>Eletroduto de PVC Cinza 1/2" - 3 Metros</t>
  </si>
  <si>
    <t>Eletroduto de PVC Cinza 3/4" - 3 Metros</t>
  </si>
  <si>
    <t>Eletroduto de PVC Preto 1" - 3 Metros</t>
  </si>
  <si>
    <t>Eletroduto de PVC Preto 1.1/2" - 3 Metros</t>
  </si>
  <si>
    <t>Eletroduto de PVC Preto 1.1/4" - 3 Metros</t>
  </si>
  <si>
    <t>Eletroduto de PVC Preto 1/2" - 3 Metros</t>
  </si>
  <si>
    <t>Eletroduto de PVC Preto 2" - 3 Metros</t>
  </si>
  <si>
    <t>Eletroduto de PVC Preto 2.1/2" - 3 Metros</t>
  </si>
  <si>
    <t>Eletroduto de PVC Preto 3" - 3 Metros</t>
  </si>
  <si>
    <t>Eletroduto de PVC Preto 3/4" - 3 Metros</t>
  </si>
  <si>
    <t>Eletroduto de PVC Preto 4" - 3 Metros</t>
  </si>
  <si>
    <t>Eletroduto de PVC Rigido Roscavel de 1 ", Sem Luva</t>
  </si>
  <si>
    <t>Eletroduto de PVC Rigido Roscavel de 1 1/2 ", Sem Luva</t>
  </si>
  <si>
    <t>Eletroduto de PVC Rigido Roscavel de 1 1/4 ", Sem Luva</t>
  </si>
  <si>
    <t>Eletroduto de PVC Rigido Roscavel de 1/2 ", Sem Luva</t>
  </si>
  <si>
    <t>Eletroduto de PVC Rigido Roscavel de 2 ", Sem Luva</t>
  </si>
  <si>
    <t>Eletroduto de PVC Rigido Roscavel de 2 1/2 ", Sem Luva</t>
  </si>
  <si>
    <t>Eletroduto de PVC Rigido Roscavel de 3 ", Sem Luva</t>
  </si>
  <si>
    <t>Eletroduto de PVC Rigido Roscavel de 3/4 ", Sem Luva</t>
  </si>
  <si>
    <t>Eletroduto de PVC Rigido Roscavel de 4 ", Sem Luva</t>
  </si>
  <si>
    <t>Eletroduto de PVC Rigido Soldavel, Classe B, de 20 mm</t>
  </si>
  <si>
    <t>Eletroduto de PVC Rigido Soldavel, Classe B, de 25 mm</t>
  </si>
  <si>
    <t>Eletroduto de PVC Rigido Soldavel, Classe B, de 32 mm</t>
  </si>
  <si>
    <t>Eletroduto de PVC Rigido Soldavel, Classe B, de 40 mm</t>
  </si>
  <si>
    <t>Eletroduto de PVC Rigido Soldavel, Classe B, de 50 mm</t>
  </si>
  <si>
    <t>Eletroduto de PVC Rigido Soldavel, Classe B, de 60 mm</t>
  </si>
  <si>
    <t>Eletroduto de PVC Vermelho 1" - 3 Metros</t>
  </si>
  <si>
    <t>Eletroduto de PVC Vermelho 3/4" - 3 Metros</t>
  </si>
  <si>
    <t>Eletroduto Flexivel, em Fita de Aco Galvanizado, Revestido Com PVC Preto, Diametro Externo de 15 mm, Dn = 3/8", Tipo Sealtubo</t>
  </si>
  <si>
    <t>Eletroduto Flexivel, em Fita de Aco Galvanizado, Revestido Com PVC Preto, Diametro Externo de 25 mm, Dn = 3/4", Tipo Sealtubo</t>
  </si>
  <si>
    <t>Eletroduto Flexivel, em Fita de Aco Galvanizado, Revestido Com PVC Preto, Diametro Externo de 32 mm, Dn = 1", Tipo Sealtubo</t>
  </si>
  <si>
    <t>Eletroduto Flexivel, em Fita de Aco Galvanizado, Revestido Com PVC Preto, Diametro Externo de 40 mm, Dn = 1 1/4", Tipo Sealtubo</t>
  </si>
  <si>
    <t>Eletroduto Flexivel, em Fita de Aco Galvanizado, Revestido Com PVC Preto, Diametro Externo de 50 mm, Dn = 1 1/2", Tipo Sealtubo</t>
  </si>
  <si>
    <t>Eletroduto Flexivel, em Fita de Aco Galvanizado, Revestido Com PVC Preto, Diametro Externo de 60 mm, Dn = 2", Tipo Sealtubo</t>
  </si>
  <si>
    <t>Eletroduto Flexivel, em Fita de Aco Galvanizado, Revestido Com PVC Preto, Diametro Externo de 75 mm, Dn = 2 1/2", Tipo Sealtubo</t>
  </si>
  <si>
    <t>Eletroduto PVC Flexivel Corrugado, Cor Amarela, de 16 mm</t>
  </si>
  <si>
    <t>Eletroduto PVC Flexivel Corrugado, Cor Amarela, de 20 mm</t>
  </si>
  <si>
    <t>Eletroduto PVC Flexivel Corrugado, Cor Amarela, de 25 mm</t>
  </si>
  <si>
    <t>Eletroduto PVC Flexivel Corrugado, Cor Amarela, de 32 mm</t>
  </si>
  <si>
    <t>Eletroduto PVC Flexivel Corrugado, Reforcado, Cor Laranja, de 20 mm, Para Lajes e Pisos</t>
  </si>
  <si>
    <t>Eletroduto PVC Flexivel Corrugado, Reforcado, Cor Laranja, de 25 mm, Para Lajes e Pisos</t>
  </si>
  <si>
    <t>Eletroduto PVC Flexivel Corrugado, Reforcado, Cor Laranja, de 32 mm, Para Lajes e Pisos</t>
  </si>
  <si>
    <t>Eletroduto/Condulete de PVC Rigido, Liso, Cor Cinza, de 1", Para Instalacoes Aparentes (NBR 5410)</t>
  </si>
  <si>
    <t>Eletroduto/Condulete de PVC Rigido, Liso, Cor Cinza, de 1/2", Para Instalacoes Aparentes (NBR 5410)</t>
  </si>
  <si>
    <t>Eletroduto/Condulete de PVC Rigido, Liso, Cor Cinza, de 3/4", Para Instalacoes Aparentes (NBR 5410)</t>
  </si>
  <si>
    <t>Luva de Pressao, em PVC, de 20 mm, Para Eletroduto Flexivel</t>
  </si>
  <si>
    <t>Luva de Pressao, em PVC, de 25 mm, Para Eletroduto Flexivel</t>
  </si>
  <si>
    <t>Luva de Pressao, em PVC, de 32 mm, Para Eletroduto Flexivel</t>
  </si>
  <si>
    <t>Luva Eletroduto de PVC Branco 1"</t>
  </si>
  <si>
    <t>Luva Eletroduto de PVC Branco 3/4"</t>
  </si>
  <si>
    <t>Luva Eletroduto de PVC Cinza 1"</t>
  </si>
  <si>
    <t>Luva Eletroduto de PVC Cinza 1/2"</t>
  </si>
  <si>
    <t>Luva Eletroduto de PVC Cinza 3/4"</t>
  </si>
  <si>
    <t>Luva Eletroduto de PVC Preto 1"</t>
  </si>
  <si>
    <t>Luva Eletroduto de PVC Preto 1.1/2"</t>
  </si>
  <si>
    <t>Luva Eletroduto de PVC Preto 1.1/4"</t>
  </si>
  <si>
    <t>Luva Eletroduto de PVC Preto 1/2"</t>
  </si>
  <si>
    <t>Luva Eletroduto de PVC Preto 2"</t>
  </si>
  <si>
    <t>Luva Eletroduto de PVC Preto 2.1/2"</t>
  </si>
  <si>
    <t>Luva Eletroduto de PVC Preto 3"</t>
  </si>
  <si>
    <t>Luva Eletroduto de PVC Preto 3/4"</t>
  </si>
  <si>
    <t>Luva Eletroduto de PVC Preto 4"</t>
  </si>
  <si>
    <t>Luva Eletroduto de PVC Vermelho 1"</t>
  </si>
  <si>
    <t>Luva Eletroduto de PVC Vermelho 3/4"</t>
  </si>
  <si>
    <t>Luva em PVC Rigido Roscavel, de 1 1/2", Para Eletroduto</t>
  </si>
  <si>
    <t>Luva em PVC Rigido Roscavel, de 1 1/4", Para Eletroduto</t>
  </si>
  <si>
    <t>Luva em PVC Rigido Roscavel, de 1", Para Eletroduto</t>
  </si>
  <si>
    <t>Luva em PVC Rigido Roscavel, de 1/2", Para Eletroduto</t>
  </si>
  <si>
    <t>Luva em PVC Rigido Roscavel, de 2 1/2", Para Eletroduto</t>
  </si>
  <si>
    <t>Luva em PVC Rigido Roscavel, de 2", Para Eletroduto</t>
  </si>
  <si>
    <t>Luva em PVC Rigido Roscavel, de 3", Para Eletroduto</t>
  </si>
  <si>
    <t>Luva em PVC Rigido Roscavel, de 3/4", Para Eletroduto</t>
  </si>
  <si>
    <t>Luva em PVC Rigido Roscavel, de 4", Para Eletroduto</t>
  </si>
  <si>
    <t>Quadro de Distribuicao, em PVC, de Embutir, Com Barramento Terra / Neutro, Para 12 Disjuntores Nema ou 16 Disjuntores Din</t>
  </si>
  <si>
    <t>Quadro de Distribuicao, em PVC, de Embutir, Com Barramento Terra / Neutro, Para 18 Disjuntores Nema ou 24 Disjuntores Din</t>
  </si>
  <si>
    <t>Quadro de Distribuicao, em PVC, de Embutir, Com Barramento Terra / Neutro, Para 27 Disjuntores Nema ou 36 Disjuntores Din</t>
  </si>
  <si>
    <t>Quadro de Distribuicao, em PVC, de Embutir, Com Barramento Terra / Neutro, Para 48 Disjuntores Din</t>
  </si>
  <si>
    <t>Quadro de Distribuicao, em PVC, de Embutir, Com Barramento Terra / Neutro, Para 6 Disjuntores Nema ou 8 Disjuntores Din</t>
  </si>
  <si>
    <t>Quadro de Distribuicao, Sem Barramento, em PVC, de Embutir, Para 12 Disjuntores Nema ou 16 Disjuntores Din</t>
  </si>
  <si>
    <t>Quadro de Distribuicao, Sem Barramento, em PVC, de Embutir, Para 18 Disjuntores Nema ou 24 Disjuntores Din</t>
  </si>
  <si>
    <t>Quadro de Distribuicao, Sem Barramento, em PVC, de Embutir, Para 27 Disjuntores Nema ou 36 Disjuntores Din</t>
  </si>
  <si>
    <t>Quadro de Distribuicao, Sem Barramento, em PVC, de Embutir, Para 3 Disjuntores Nema ou 4 Disjuntores Din</t>
  </si>
  <si>
    <t>Quadro de Distribuicao, Sem Barramento, em PVC, de Embutir, Para 6 Disjuntores Nema ou 8 Disjuntores Din</t>
  </si>
  <si>
    <t>Quadro de Distribuicao, Sem Barramento, em PVC, de Sobrepor, Para 12 Disjuntores Nema ou 16 Disjuntores Din</t>
  </si>
  <si>
    <t>Quadro de Distribuicao, Sem Barramento, em PVC, de Sobrepor, Para 18 Disjuntores Nema ou 24 Disjuntores Din</t>
  </si>
  <si>
    <t>Quadro de Distribuicao, Sem Barramento, em PVC, de Sobrepor, Para 27 Disjuntores Nema ou 36 Disjuntores Din</t>
  </si>
  <si>
    <t>Quadro de Distribuicao, Sem Barramento, em PVC, de Sobrepor, Para 3 Disjuntores Nema ou 4 Disjuntores Din</t>
  </si>
  <si>
    <t>Quadro de Distribuicao, Sem Barramento, em PVC, de Sobrepor, Para 6 Disjuntores Nema ou 8 Disjuntores Din</t>
  </si>
  <si>
    <t>Placa de Advertência - PVC ou Acrílico - Espessura Mínima 1mm - Tinta Anticorrosiva - "Cuidado Risco de Choque Elétrico Geração Própria"</t>
  </si>
  <si>
    <t>Placa de Sinalizacao de Seguranca Contra Incendio - Alerta, Triangular, Base de *30* cm, em PVC *2* mm Anti-Chamas (Simbolos, Cores e Pictogramas Conforme NBR 16820)</t>
  </si>
  <si>
    <t>Placa de Sinalizacao de Seguranca Contra Incendio, Fotoluminescente, Quadrada, *14 X 14* cm, em PVC *2* mm Anti-Chamas (Simbolos, Cores e Pictogramas Conforme NBR 16820)</t>
  </si>
  <si>
    <t>Placa de Sinalizacao de Seguranca Contra Incendio, Fotoluminescente, Quadrada, *20 X 20* cm, em PVC *2* mm Anti-Chamas (Simbolos, Cores e Pictogramas Conforme NBR 16820)</t>
  </si>
  <si>
    <t>Placa de Sinalizacao de Seguranca Contra Incendio, Fotoluminescente, Retangular, *12 X 40* cm, em PVC *2* mm Anti-Chamas (Simbolos, Cores e Pictogramas Conforme NBR 16820)</t>
  </si>
  <si>
    <t>Placa de Sinalizacao de Seguranca Contra Incendio, Fotoluminescente, Retangular, *13 X 26* cm, em PVC *2* mm Anti-Chamas (Simbolos, Cores e Pictogramas Conforme NBR 16820)</t>
  </si>
  <si>
    <t>Placa de Sinalizacao de Seguranca Contra Incendio, Fotoluminescente, Retangular, *20 X 40* cm, em PVC *2* mm Anti-Chamas (Simbolos, Cores e Pictogramas Conforme NBR 16820)</t>
  </si>
  <si>
    <t>Conector Cunha Para Aterramento - Haste 12,7mm (1/2") - Condutor 4-2AWG 25-35mm</t>
  </si>
  <si>
    <t>Conector Cunha Para Aterramento - Haste 12,7mm (1/2") - Condutor 8-4AWG 10-25mm</t>
  </si>
  <si>
    <t>Conector Cunha Para Aterramento - Haste 14,3mm (5/8") - Condutor 10-4AWG 6-25mm</t>
  </si>
  <si>
    <t>Conector Cunha Para Aterramento - Haste 14,3mm (5/8") - Condutor 8-2AWG 10-35mm</t>
  </si>
  <si>
    <t>Conector Para Aterramento Cabo/Cabo Condutor Principal 2-2/0AWG 35-70mm (Derivação 6-2/0AWG 16-70mm)</t>
  </si>
  <si>
    <t>Conector Para Aterramento Cabo/Cabo Condutor Principal 3/0-250AWG 95-120mm (Derivação 3/0-250AWG 95-120mm)</t>
  </si>
  <si>
    <t>Conector Para Aterramento Cabo/Cabo Condutor Principal 3/0-250AWG 95-120mm (Derivação Fio 6-2/0AWG 10-70mm)</t>
  </si>
  <si>
    <t>Conector Para Aterramento Transversal - Haste 14,3mm (5/8") - Condutor 1/0AWG 50mm</t>
  </si>
  <si>
    <t>Conector Para Aterramento Transversal - Haste 14,3mm (5/8") - Condutor 4-2AWG 25-35mm</t>
  </si>
  <si>
    <t>Conector Para Aterramento Transversal - Haste 14,3mm (5/8") - Condutor 8-6AWG 10-16mm</t>
  </si>
  <si>
    <t>Patch Cord (Cabo de Rede), Categoria 5 e (Cat 5E) Utp, 24 AWG, 4 Pares, Extensao de 1,50 M</t>
  </si>
  <si>
    <t>Patch Cord (Cabo de Rede), Categoria 5 e (Cat 5E) Utp, 24 AWG, 4 Pares, Extensao de 2,50 M</t>
  </si>
  <si>
    <t>Patch Cord (Cabo de Rede), Categoria 6 (Cat 6) Utp, 23 AWG, 4 Pares, Extensao de 1,50 M</t>
  </si>
  <si>
    <t>Patch Cord (Cabo de Rede), Categoria 6 (Cat 6) Utp, 23 AWG, 4 Pares, Extensao de 2,50 M</t>
  </si>
  <si>
    <t>Cabo de Aluminio NU Com Alma de Aco, Bitola 1/0 AWG</t>
  </si>
  <si>
    <t>Cabo de Aluminio NU Com Alma de Aco, Bitola 2 AWG</t>
  </si>
  <si>
    <t>Cabo de Aluminio NU Com Alma de Aco, Bitola 2/0 AWG</t>
  </si>
  <si>
    <t>Cabo de Aluminio NU Com Alma de Aco, Bitola 4 AWG</t>
  </si>
  <si>
    <t>Cabo de Aluminio NU Sem Alma de Aco, Bitola 1/0 AWG</t>
  </si>
  <si>
    <t>Cabo de Aluminio NU Sem Alma de Aco, Bitola 2 AWG</t>
  </si>
  <si>
    <t>Cabo de Aluminio NU Sem Alma de Aco, Bitola 2/0 AWG</t>
  </si>
  <si>
    <t>Cabo de Aluminio NU Sem Alma de Aco, Bitola 4 AWG</t>
  </si>
  <si>
    <t>Grampo de Aço Zincado Eletrolítico - Haste 1/2" - 5/8", Condutor 6-50mm2 e 10-1/0 AWG/MCM</t>
  </si>
  <si>
    <t>Grampo de Liga de Cobre - Haste 3/8", Condutor 10-50mm2 e 8-1/0 AWG/MCM</t>
  </si>
  <si>
    <t>Grampo em Bronze, Parafuso em Liga de Cobre - Haste 1, Condutor 10-50mm2 e 8-1/0 AWG/MCM</t>
  </si>
  <si>
    <t>Grampo em Bronze, Parafuso em Liga de Cobre - Haste 1/2" - 5/8", Condutor 6-50mm2 e 10-1/0 AWG/MCM</t>
  </si>
  <si>
    <t>Grampo em Bronze, Parafuso em Liga de Cobre - Haste 3/4", Condutor 10-50mm2 e 8-1/0 AWG/MCM</t>
  </si>
  <si>
    <t>Grampo em Bronze, Parafuso em Liga de Cobre - Haste 3/8", Condutor 4-16mm2 e 12-8 AWG/MCM</t>
  </si>
  <si>
    <t>Grampo em Bronze, Parafuso em Liga de Cobre - Haste 5/8", Condutor 10-50mm2 e 8-1/0 AWG/MCM</t>
  </si>
  <si>
    <t>Grampo em Liga de Cobre, Parafuso em Aço Zincado Eletrolítico - Haste 1, Condutor 10-50mm2 e 8-1/0 AWG/MCM</t>
  </si>
  <si>
    <t>Grampo em Liga de Cobre, Parafuso em Aço Zincado Eletrolítico - Haste 1/2" - 5/8", Condutor 10-70mm2 e 8-2/0 AWG/MCM</t>
  </si>
  <si>
    <t>Grampo em Liga de Cobre, Parafuso em Aço Zincado Eletrolítico - Haste 3/4", Condutor 10-50mm2 e 8-1/0 AWG/MCM</t>
  </si>
  <si>
    <t>Grampo em Liga de Cobre, Parafuso em Aço Zincado Eletrolítico - Haste 5/8", Condutor 10-50mm2 e 8-1/0 AWG/MCM</t>
  </si>
  <si>
    <t>Luva de Emenda Para Cabos de Alumínio (Tração Total) - Condutor 120mm2 e 4/0 AWG/MCM</t>
  </si>
  <si>
    <t>Luva de Emenda Para Cabos de Alumínio (Tração Total) - Condutor 16mm2 e 6 AWG/MCM</t>
  </si>
  <si>
    <t>Luva de Emenda Para Cabos de Alumínio (Tração Total) - Condutor 185mm2 e 336,4 AWG/MCM</t>
  </si>
  <si>
    <t>Luva de Emenda Para Cabos de Alumínio (Tração Total) - Condutor 240mm2 e 397,5 AWG/MCM</t>
  </si>
  <si>
    <t>Luva de Emenda Para Cabos de Alumínio (Tração Total) - Condutor 25mm2 e 4 AWG/MCM</t>
  </si>
  <si>
    <t>Luva de Emenda Para Cabos de Alumínio (Tração Total) - Condutor 300mm2 e 556,5 AWG/MCM</t>
  </si>
  <si>
    <t>Luva de Emenda Para Cabos de Alumínio (Tração Total) - Condutor 35mm2 e 2 AWG/MCM</t>
  </si>
  <si>
    <t>Luva de Emenda Para Cabos de Alumínio (Tração Total) - Condutor 50-70mm2 e 1/0 AWG/MCM</t>
  </si>
  <si>
    <t>Luva de Emenda Para Cabos de Alumínio (Tração Total) - Condutor 70mm2 e 2/0 AWG/MCM</t>
  </si>
  <si>
    <t>Luva de Emenda Para Cabos de Alumínio (Tração Total) - Condutor 95mm2 e 3/0 AWG/MCM</t>
  </si>
  <si>
    <t>Luva de Emenda Pré-Isolada - Condutor 0,5-1,5mm2 e 22-16 AWG/MCM</t>
  </si>
  <si>
    <t>Luva de Emenda Pré-Isolada - Condutor 1,5-2,5mm2 e 16-14 AWG/MCM</t>
  </si>
  <si>
    <t>Luva de Emenda Pré-Isolada - Condutor 4-6mm2 e 12-10 AWG/MCM</t>
  </si>
  <si>
    <t>Terminal Adaptador Para Conectores Cunha - 2Furos - Bitola Pino 13,2mm (Ø) e 4/0 AWG/MCM - Condutores 6-4/0 AWG/MCM</t>
  </si>
  <si>
    <t>Terminal Adaptador Para Conectores Cunha - 2Furos - Bitola Pino 16,9mm (Ø) e 336,4 AWG/MCM - Condutores 336,4-556,5 AWG/MCM</t>
  </si>
  <si>
    <t>Terminal Adaptador Para Conectores Cunha - 4Furos - Bitola Pino 13,2mm (Ø) e 4/0 AWG/MCM - Condutores 6-4/0 AWG/MCM</t>
  </si>
  <si>
    <t>Terminal Adaptador Para Conectores Cunha - 4Furos - Bitola Pino 16,9mm (Ø) e 336,4 AWG/MCM - Condutores 336,4-556,5 AWG/MCM</t>
  </si>
  <si>
    <t>Terminal Cabo-Barramento de Alumínio (Conexão Reta) - 2 Furos M12 - Condutores Ca 1/0-250 AWG/MCM e Caa 1/0-4/0 AWG</t>
  </si>
  <si>
    <t>Terminal Cabo-Barramento de Alumínio (Conexão Reta) - 2 Furos M12 - Condutores Ca 250-400 AWG/MCM e Caa 4/0-397,5 AWG</t>
  </si>
  <si>
    <t>Terminal Cabo-Barramento de Alumínio (Conexão Reta) - 2 Furos M12 - Condutores Ca 350-600 AWG/MCM e Caa 336,4-477 AWG</t>
  </si>
  <si>
    <t>Terminal Cabo-Barramento de Alumínio (Conexão Reta) - 2 Furos M12 - Condutores Ca 4-1/0 AWG/MCM e Caa 4-1/0 AWG</t>
  </si>
  <si>
    <t>Terminal Cabo-Barramento de Alumínio (Conexão Reta) - 2 Furos M12 - Condutores Ca 600-900 AWG/MCM e Caa 477-795 AWG</t>
  </si>
  <si>
    <t>Terminal Cabo-Barramento de Alumínio (Conexão Reta) - 4 Furos M12 - Condutores Ca 1/0-250 AWG/MCM e Caa 1/0-4/0 AWG</t>
  </si>
  <si>
    <t>Terminal Cabo-Barramento de Alumínio (Conexão Reta) - 4 Furos M12 - Condutores Ca 250-400 AWG/MCM e Caa 4/0-397,5 AWG</t>
  </si>
  <si>
    <t>Terminal Cabo-Barramento de Alumínio (Conexão Reta) - 4 Furos M12 - Condutores Ca 350-600 AWG/MCM e Caa 336,4-477 AWG</t>
  </si>
  <si>
    <t>Terminal Cabo-Barramento de Alumínio (Conexão Reta) - 4 Furos M12 - Condutores Ca 600-900 AWG/MCM e Caa 477-795 AWG</t>
  </si>
  <si>
    <t>Terminal Cabo-Barramento de Cobre (Conexão Reta) - 2Furos M10 - Condutores: 120mm2 e 250 AWG/MCM (Mín) | 240mm2 e 500 AWG/MCM (Máx)</t>
  </si>
  <si>
    <t>Terminal Cabo-Barramento de Cobre (Conexão Reta) - 2Furos M10 - Condutores: 240mm2 e 500 AWG/MCM (Mín) | 400mm2 e 800 AWG/MCM (Máx)</t>
  </si>
  <si>
    <t>Terminal Cabo-Barramento de Cobre (Conexão Reta) - 2Furos M10 - Condutores: 25mm2 e 4 AWG/MCM (Mín) | 50mm2 e 1/0 AWG/MCM (Máx)</t>
  </si>
  <si>
    <t>Terminal Cabo-Barramento de Cobre (Conexão Reta) - 2Furos M10 - Condutores: 70mm2 e 2/0 AWG/MCM (Mín) | 120mm2 e 4/0 AWG/MCM (Máx)</t>
  </si>
  <si>
    <t>Terminal Cabo-Barramento de Cobre (Conexão Reta) - 4Furos M10 - Condutores: 120mm2 e 250 AWG/MCM (Mín) | 240mm2 e 500 AWG/MCM (Máx)</t>
  </si>
  <si>
    <t>Terminal Cabo-Barramento de Cobre (Conexão Reta) - 4Furos M10 - Condutores: 240mm2 e 500 AWG/MCM (Mín) | 400mm2 e 800 AWG/MCM (Máx)</t>
  </si>
  <si>
    <t>Terminal de Aperto (Série Métrica) - M10 - Condutor 95mm2 e 3/0 AWG/MCM</t>
  </si>
  <si>
    <t>Terminal de Aperto (Série Métrica) - M12 - Condutor 120mm2 e 4/0 AWG/MCM</t>
  </si>
  <si>
    <t>Terminal de Aperto (Série Métrica) - M12 - Condutor 150mm2 e 250 AWG/MCM</t>
  </si>
  <si>
    <t>Terminal de Aperto (Série Métrica) - M12 - Condutor 185mm2 e 300 AWG/MCM</t>
  </si>
  <si>
    <t>Terminal de Aperto (Série Métrica) - M14 - Condutor 240mm2 e 500 AWG/MCM</t>
  </si>
  <si>
    <t>Terminal de Aperto (Série Métrica) - M14 - Condutor 300mm2 e 600 AWG/MCM</t>
  </si>
  <si>
    <t>Terminal de Aperto (Série Métrica) - M16 - Condutor 400mm2 e 800 AWG/MCM</t>
  </si>
  <si>
    <t>Terminal de Aperto (Série Métrica) - M16 - Condutor 500mm2 e 1000 AWG/MCM</t>
  </si>
  <si>
    <t>Terminal de Aperto (Série Métrica) - M5 - Condutor 10mm2 e 8 AWG/MCM</t>
  </si>
  <si>
    <t>Terminal de Aperto (Série Métrica) - M5 - Condutor 6mm2 e 10 AWG/MCM</t>
  </si>
  <si>
    <t>Terminal de Aperto (Série Métrica) - M6 - Condutor 16mm2 e 6 AWG/MCM</t>
  </si>
  <si>
    <t>Terminal de Aperto (Série Métrica) - M6 - Condutor 25mm2 e 4 AWG/MCM</t>
  </si>
  <si>
    <t>Terminal de Aperto (Série Métrica) - M6 - Condutor 35mm2 e 2 AWG/MCM</t>
  </si>
  <si>
    <t>Terminal de Aperto (Série Métrica) - M8 - Condutor 50mm2 e 1/0 AWG/MCM</t>
  </si>
  <si>
    <t>Terminal de Aperto (Série Métrica) - M8 - Condutor 70mm2 e 2/0 AWG/MCM</t>
  </si>
  <si>
    <t>Terminal de Compressão Alumínio 1Furo 1C - M12 - 1/0AWG/MCM 50mm</t>
  </si>
  <si>
    <t>Terminal de Compressão Alumínio 1Furo 1C - M12 - 2/0AWG/MCM 70mm</t>
  </si>
  <si>
    <t>Terminal de Compressão Alumínio 1Furo 1C - M12 - 2AWG/MCM 35mm</t>
  </si>
  <si>
    <t>Terminal de Compressão Alumínio 1Furo 1C - M12 - 4/0AWG/MCM 120mm - C/P</t>
  </si>
  <si>
    <t>Terminal de Compressão Alumínio 1Furo 1C - M12 - 4AWG/MCM 25mm</t>
  </si>
  <si>
    <t>Terminal de Compressão Alumínio 1Furo 1C - M8 - 6AWG/MCM 16mm</t>
  </si>
  <si>
    <t>Terminal de Compressão Alumínio 1Furo 2C - M12 - 3/0AWG/MCM 95mm</t>
  </si>
  <si>
    <t>Terminal de Compressão Alumínio 2Furos - 2/0AWG/MCM</t>
  </si>
  <si>
    <t>Terminal de Compressão Alumínio 2Furos 2C - M12 - 1/0AWG/MCM 50mm</t>
  </si>
  <si>
    <t>Terminal de Compressão Alumínio 2Furos 2C - M12 - 2AWG/MCM 35mm</t>
  </si>
  <si>
    <t>Terminal de Compressão Alumínio 2Furos 2C - M12 - 4AWG/MCM 25mm</t>
  </si>
  <si>
    <t>Terminal de Compressão Alumínio 2Furos 2C - M12 - Ca 2/0AWG/MCM 70mm</t>
  </si>
  <si>
    <t>Terminal de Compressão Alumínio 2Furos 3C - M12 - 4/0AWG/MCM 120mm - C/P</t>
  </si>
  <si>
    <t>Terminal de Compressão Alumínio 2Furos 3C - M12 - Ca 250AWG/MCM 150mm</t>
  </si>
  <si>
    <t>Terminal de Compressão Alumínio 2Furos 3C - M12 - Ca 3/0AWG/MCM 95mm</t>
  </si>
  <si>
    <t>Terminal de Compressão Alumínio 2Furos 4C - M12 - Ca 336,4AWG/MCM 185mm - C/P</t>
  </si>
  <si>
    <t>Terminal de Compressão Alumínio 2Furos 4C - M12 - Caa 336,4 Ca 400AWG/MCM 185-240mm - S/P</t>
  </si>
  <si>
    <t>Terminal de Compressão Alumínio 2Furos 5C - M12 - Ca 556,5AWG/MCM 300mm</t>
  </si>
  <si>
    <t>Terminal P/Borne Bimetálico - Condutor Ca 10mm2 8AWG/MCM - Pino e Barril 25mm - Acompanha Tubo Termocontrátil</t>
  </si>
  <si>
    <t>Terminal P/Borne Bimetálico - Condutor Ca 120mm2 4/0AWG/MCM - Pino 55mm Barril 50mm - Acompanha Tubo Termocontrátil</t>
  </si>
  <si>
    <t>Terminal P/Borne Bimetálico - Condutor Ca 16mm2 6AWG/MCM - Pino e Barril 25mm - Acompanha Tubo Termocontrátil</t>
  </si>
  <si>
    <t>Terminal P/Borne Bimetálico - Condutor Ca 25mm2 4AWG/MCM - Pino 30mm Barril 42mm - Acompanha Tubo Termocontrátil</t>
  </si>
  <si>
    <t>Terminal P/Borne Bimetálico - Condutor Ca 35mm2 2AWG/MCM - Pino 30mm Barril 42mm - Acompanha Tubo Termocontrátil</t>
  </si>
  <si>
    <t>Terminal P/Borne Bimetálico - Condutor Ca 50mm2 1/0AWG/MCM - Pino 45mm Barril 42mm - Acompanha Tubo Termocontrátil</t>
  </si>
  <si>
    <t>Terminal P/Borne Bimetálico - Condutor Ca 70mm2 2/0AWG/MCM - Pino 45mm Barril 42mm - Acompanha Tubo Termocontrátil</t>
  </si>
  <si>
    <t>Terminal P/Borne Bimetálico - Condutor Ca 95mm2 3/0AWG/MCM - Pino 45mm Barril 42mm - Acompanha Tubo Termocontrátil</t>
  </si>
  <si>
    <t>Terminal Pré-Isolado Tipo Fêmea - Condutor 0,5-1,0mm2 e 22-18 AWG/MCM</t>
  </si>
  <si>
    <t>Terminal Pré-Isolado Tipo Fêmea - Condutor 1,5-2,5mm2 e 16-14 AWG/MCM</t>
  </si>
  <si>
    <t>Terminal Pré-Isolado Tipo Fêmea - Condutor 4-6mm2 e 12-10 AWG/MCM</t>
  </si>
  <si>
    <t>Terminal Pré-Isolado Tipo Forquilha - M4 - Condutor 1,5-2,5mm2 e 16-14 AWG/MCM</t>
  </si>
  <si>
    <t>Terminal Pré-Isolado Tipo Forquilha - M5 - Condutor 0,5-1,5mm2 e 22-16 AWG/MCM</t>
  </si>
  <si>
    <t>Terminal Pré-Isolado Tipo Forquilha - M5 - Condutor 1,5-2,5mm2 e 16-14 AWG/MCM</t>
  </si>
  <si>
    <t>Terminal Pré-Isolado Tipo Forquilha - M5 - Condutor 4-6mm2 e 12-10 AWG/MCM</t>
  </si>
  <si>
    <t>Terminal Pré-Isolado Tipo Ilhós - Condutor 0,5mm2 e 22 AWG/MCM - Comprimento Pino 8mm</t>
  </si>
  <si>
    <t>Terminal Pré-Isolado Tipo Ilhós - Condutor 0,75mm2 e 20 AWG/MCM - Comprimento Pino 8mm</t>
  </si>
  <si>
    <t>Terminal Pré-Isolado Tipo Ilhós - Condutor 1,0mm2 e 18 AWG/MCM - Comprimento Pino 8mm</t>
  </si>
  <si>
    <t>Terminal Pré-Isolado Tipo Ilhós - Condutor 1,5mm2 e 16 AWG/MCM - Comprimento Pino 8mm</t>
  </si>
  <si>
    <t>Terminal Pré-Isolado Tipo Ilhós - Condutor 10mm2 e 8 AWG/MCM - Comprimento Pino 12mm</t>
  </si>
  <si>
    <t>Terminal Pré-Isolado Tipo Ilhós - Condutor 10mm2 e 8 AWG/MCM - Comprimento Pino 18mm</t>
  </si>
  <si>
    <t>Terminal Pré-Isolado Tipo Ilhós - Condutor 10mm2 e 8 AWG/MCM - Comprimento Pino 22mm</t>
  </si>
  <si>
    <t>Terminal Pré-Isolado Tipo Ilhós - Condutor 120mm2 e 4/0 AWG/MCM - Comprimento Pino 27mm</t>
  </si>
  <si>
    <t>Terminal Pré-Isolado Tipo Ilhós - Condutor 150mm2 e 250-300 AWG/MCM - Comprimento Pino 32mm</t>
  </si>
  <si>
    <t>Terminal Pré-Isolado Tipo Ilhós - Condutor 16mm2 e 6 AWG/MCM - Comprimento Pino 12mm</t>
  </si>
  <si>
    <t>Terminal Pré-Isolado Tipo Ilhós - Condutor 16mm2 e 6 AWG/MCM - Comprimento Pino 18mm</t>
  </si>
  <si>
    <t>Terminal Pré-Isolado Tipo Ilhós - Condutor 16mm2 e 6 AWG/MCM - Comprimento Pino 22mm</t>
  </si>
  <si>
    <t>Terminal Pré-Isolado Tipo Ilhós - Condutor 2,5mm2 e 14 AWG/MCM - Comprimento Pino 10mm</t>
  </si>
  <si>
    <t>Terminal Pré-Isolado Tipo Ilhós - Condutor 2,5mm2 e 14 AWG/MCM - Comprimento Pino 8mm</t>
  </si>
  <si>
    <t>Terminal Pré-Isolado Tipo Ilhós - Condutor 25mm2 e 4 AWG/MCM - Comprimento Pino 16mm</t>
  </si>
  <si>
    <t>Terminal Pré-Isolado Tipo Ilhós - Condutor 25mm2 e 4 AWG/MCM - Comprimento Pino 22mm</t>
  </si>
  <si>
    <t>Terminal Pré-Isolado Tipo Ilhós - Condutor 35mm2 e 2 AWG/MCM - Comprimento Pino 16mm</t>
  </si>
  <si>
    <t>Terminal Pré-Isolado Tipo Ilhós - Condutor 35mm2 e 2 AWG/MCM - Comprimento Pino 25mm</t>
  </si>
  <si>
    <t>Terminal Pré-Isolado Tipo Ilhós - Condutor 4mm2 e 12 AWG/MCM - Comprimento Pino 12mm</t>
  </si>
  <si>
    <t>Terminal Pré-Isolado Tipo Ilhós - Condutor 50mm2 e 1/0 AWG/MCM - Comprimento Pino 20mm</t>
  </si>
  <si>
    <t>Terminal Pré-Isolado Tipo Ilhós - Condutor 50mm2 e 1/0 AWG/MCM - Comprimento Pino 25mm</t>
  </si>
  <si>
    <t>Terminal Pré-Isolado Tipo Ilhós - Condutor 6mm2 e 10 AWG/MCM - Comprimento Pino 12mm</t>
  </si>
  <si>
    <t>Terminal Pré-Isolado Tipo Ilhós - Condutor 6mm2 e 10 AWG/MCM - Comprimento Pino 22mm</t>
  </si>
  <si>
    <t>Terminal Pré-Isolado Tipo Ilhós - Condutor 70mm2 e 2/0 AWG/MCM - Comprimento Pino 20mm</t>
  </si>
  <si>
    <t>Terminal Pré-Isolado Tipo Ilhós - Condutor 70mm2 e 2/0 AWG/MCM - Comprimento Pino 25mm</t>
  </si>
  <si>
    <t>Terminal Pré-Isolado Tipo Ilhós - Condutor 95mm2 e 3/0 AWG/MCM - Comprimento Pino 25mm</t>
  </si>
  <si>
    <t>Terminal Pré-Isolado Tipo Ilhós Duplo - Condutor 2X0,5mm2 e 2X22 AWG/MCM</t>
  </si>
  <si>
    <t>Terminal Pré-Isolado Tipo Ilhós Duplo - Condutor 2X0,75mm2 e 2X20 AWG/MCM</t>
  </si>
  <si>
    <t>Terminal Pré-Isolado Tipo Ilhós Duplo - Condutor 2X1,0mm2 e 2X18 AWG/MCM</t>
  </si>
  <si>
    <t>Terminal Pré-Isolado Tipo Ilhós Duplo - Condutor 2X1,5mm2 e 2X16 AWG/MCM</t>
  </si>
  <si>
    <t>Terminal Pré-Isolado Tipo Ilhós Duplo - Condutor 2X10mm2 e 2X8 AWG/MCM</t>
  </si>
  <si>
    <t>Terminal Pré-Isolado Tipo Ilhós Duplo - Condutor 2X16mm2 e 2X6 AWG/MCM</t>
  </si>
  <si>
    <t>Terminal Pré-Isolado Tipo Ilhós Duplo - Condutor 2X2,5mm2 e 2X14 AWG/MCM</t>
  </si>
  <si>
    <t>Terminal Pré-Isolado Tipo Ilhós Duplo - Condutor 2X4mm2 e 2X12 AWG/MCM</t>
  </si>
  <si>
    <t>Terminal Pré-Isolado Tipo Ilhós Duplo - Condutor 2X6mm2 e 2X10 AWG/MCM</t>
  </si>
  <si>
    <t>Terminal Pré-Isolado Tipo Macho - Condutor 0,5-1,0mm2 e 22-18 AWG/MCM</t>
  </si>
  <si>
    <t>Terminal Pré-Isolado Tipo Macho - Condutor 1,5-2,5mm2 e 16-14 AWG/MCM</t>
  </si>
  <si>
    <t>Terminal Pré-Isolado Tipo Macho - Condutor 4-6mm2 e 12-10 AWG/MCM</t>
  </si>
  <si>
    <t>Terminal Pré-Isolado Tipo Olhal - M10 - Condutor 4-6mm2 e 12-10 AWG/MCM</t>
  </si>
  <si>
    <t>Terminal Pré-Isolado Tipo Olhal - M5 - Condutor 1,5-2,5mm2 e 16-14 AWG/MCM</t>
  </si>
  <si>
    <t>Terminal Pré-Isolado Tipo Olhal - M5 - Condutor 4-6mm2 e 12-10 AWG/MCM</t>
  </si>
  <si>
    <t>Terminal Pré-Isolado Tipo Olhal - M6 - Condutor 0,5-1,5mm2 e 22-16 AWG/MCM</t>
  </si>
  <si>
    <t>Terminal Pré-Isolado Tipo Olhal - M6 - Condutor 1,5-2,5mm2 e 16-14 AWG/MCM</t>
  </si>
  <si>
    <t>Terminal Pré-Isolado Tipo Olhal - M6 - Condutor 4-6mm2 e 12-10 AWG/MCM</t>
  </si>
  <si>
    <t>Terminal Pré-Isolado Tipo Olhal - M8 - Condutor 0,5-1,5mm2 e 22-16 AWG/MCM</t>
  </si>
  <si>
    <t>Terminal Pré-Isolado Tipo Olhal - M8 - Condutor 1,5-2,5mm2 e 16-14 AWG/MCM</t>
  </si>
  <si>
    <t>Terminal Pré-Isolado Tipo Olhal - M8 - Condutor 4-6mm2 e 12-10 AWG/MCM</t>
  </si>
  <si>
    <t>Terminal Tipo Fêmea Com Isolação Total - Condutor 0,5-1,0mm2 e 22-18 AWG/MCM</t>
  </si>
  <si>
    <t>Terminal Tipo Fêmea Com Isolação Total - Condutor 1,5-2,5mm2 e 16-14 AWG/MCM</t>
  </si>
  <si>
    <t>Terminal Tipo Macho Com Isolação Total - Condutor 0,5-1,0mm2 e 22-18 AWG/MCM</t>
  </si>
  <si>
    <t>Terminal Tipo Macho Com Isolação Total - Condutor 1,5-2,5mm2 e 16-14 AWG/MCM</t>
  </si>
  <si>
    <t>Cabo de Rede, Par Trancado U/Utp, 4 Pares, Categoria 5e (Cat 5E), Isolamento PVC (LSZH)</t>
  </si>
  <si>
    <t>Cabo de Rede, Par Trancado Utp, 4 Pares, Categoria 6 (Cat 6), Isolamento PVC (LSZH)</t>
  </si>
  <si>
    <t>Conector em Cobre Estanhado Para Conexão de 2 Cabos Sendo o Principal 16-35mm² e a Derivação 16-35mm² - Utiliza Matriz Iu-Bg (Tel-991)</t>
  </si>
  <si>
    <t>Conector em Cobre Para Conexão de 2 Cabos Sendo o Principal 35-50mm² e a Derivação 35-50mm² - Utiliza Matriz Iu-C (Tel-992)</t>
  </si>
  <si>
    <t>Conector em Cobre Para Conexão de 2 Cabos Sendo o Principal 50-70mm² e a Derivação 35-70mm² - Utiliza Matriz Iu-C (Tel-992)</t>
  </si>
  <si>
    <t>Conector em Liga de Cobre Para Conexão de 2 Cabos Sendo o Principal 10-25mm² e a Derivação 10-25mm² - Utiliza Matriz Iu-Bg (Tel-991)</t>
  </si>
  <si>
    <t>Conector em Liga de Cobre Para Conexão de 2 Cabos Sendo o Principal 16-50mm² e a Derivação 16-50mm² Utiliza Matriz Iu-C (Tel 992)</t>
  </si>
  <si>
    <t>Conector em Liga de Cobre Para Conexão de 2 Cabos Sendo o Principal 35-70mm² e a Derivação 16-70mm² - Utiliza Matriz Iu-o ou D-70 (Tel 990)</t>
  </si>
  <si>
    <t>Conector em Liga de Cobre Para Conexão de 2 Cabos Sendo o Principal 95-120mm² e a Derivação 10-70mm² - Utiliza Matriz 997 (Tel 997)</t>
  </si>
  <si>
    <t>Conector em Liga de Cobre Para Conexão de 2 Cabos Sendo o Principal 95-120mm² e a Derivação 95-120mm² - Utiliza Matriz 997 (Tel 997)</t>
  </si>
  <si>
    <t>Concreto Autoadensavel (Caa) Classe de Resistencia C15, Espalhamento SF2, Com Bombeamento (Disponibilizacao de Bomba), Sem o Lancamento (NBR 15823)</t>
  </si>
  <si>
    <t>Concreto Autoadensavel (Caa) Classe de Resistencia C20, Espalhamento SF2, Com Bombeamento (Disponibilizacao de Bomba), Sem o Lancamento (NBR 15823)</t>
  </si>
  <si>
    <t>Concreto Autoadensavel (Caa) Classe de Resistencia C25, Espalhamento SF2, Com Bombeamento (Disponibilizacao de Bomba), Sem o Lancamento (NBR 15823)</t>
  </si>
  <si>
    <t>Concreto Autoadensavel (Caa) Classe de Resistencia C30, Espalhamento SF2, Com Bombeamento (Disponibilizacao de Bomba), Sem o Lancamento (NBR 15823)</t>
  </si>
  <si>
    <t>Concreto Usinado Bombeavel, Classe de Resistencia C20, Brita 0 e 1, Slump = 100 +/- 20 mm, Com Bombeamento (Disponibilizacao de Bomba), Sem o Lancamento (NBR 8953)</t>
  </si>
  <si>
    <t>Concreto Usinado Bombeavel, Classe de Resistencia C20, Com Brita 0 e 1, Slump = 190 +/- 20 mm, Com Bombeamento (Disponibilizacao de Bomba), Sem o Lancamento (NBR 8953)</t>
  </si>
  <si>
    <t>Concreto Usinado Bombeavel, Classe de Resistencia C20, Com Brita 0, Slump = 220 +/- 20 mm, Com Bombeamento (Disponibilizacao de Bomba), Sem o Lancamento (NBR 8953)</t>
  </si>
  <si>
    <t>Concreto Usinado Bombeavel, Classe de Resistencia C25, Brita 0 e 1, Slump = 100 +/- 20 mm, Com Bombeamento (Disponibilizacao de Bomba), Sem o Lancamento (NBR 8953)</t>
  </si>
  <si>
    <t>Concreto Usinado Bombeavel, Classe de Resistencia C30, Brita 0 e 1, Slump = 100 +/- 20 mm, Com Bombeamento (Disponibilizacao de Bomba), Sem o Lancamento (NBR 8953)</t>
  </si>
  <si>
    <t>Concreto Usinado Bombeavel, Classe de Resistencia C35, Brita 0 e 1, Slump = 100 +/- 20 mm, Com Bombeamento (Disponibilizacao de Bomba), Sem o Lancamento (NBR 8953)</t>
  </si>
  <si>
    <t>Concreto Usinado Bombeavel, Classe de Resistencia C40, Brita 0 e 1, Slump = 100 +/- 20 mm, Com Bombeamento (Disponibilizacao de Bomba), Sem o Lancamento (NBR 8953)</t>
  </si>
  <si>
    <t>Concreto Usinado Bombeavel, Classe de Resistencia C45, Brita 0 e 1, Slump = 100 +/- 20 mm, Com Bombeamento (Disponibilizacao de Bomba), Sem o Lancamento (NBR 8953)</t>
  </si>
  <si>
    <t>Concreto Usinado Bombeavel, Classe de Resistencia C50, Brita 0 e 1, Slump = 100 +/- 20 mm, Com Bombeamento (Disponibilizacao de Bomba), Sem o Lancamento (NBR 8953)</t>
  </si>
  <si>
    <t>Concreto Usinado Bombeavel, Classe de Resistencia C60, Com Brita 0 e 1, Slump = 100 +/- 20 mm, Com Bombeamento (Disponibilizacao de Bomba), Sem o Lancamento (NBR 8953)</t>
  </si>
  <si>
    <t>Placa de Sinalização Fotoluminescente de Proibido Utilizar Água Para Apagar o Fogo P3 Ø150 mm</t>
  </si>
  <si>
    <t>BEP/BEL 101,6 X 6,35 X 385mm 26 Furos Ø 10mm</t>
  </si>
  <si>
    <t>BEP/BEL 38,1 X 4,76 X 130mm 8 Furos Ø 8,5mm</t>
  </si>
  <si>
    <t>BEP/BEL 38,1 X 4,76 X 200mm 12 Furos Ø 10mm</t>
  </si>
  <si>
    <t>BEP/BEL 63,5 X 6,35 X 300mm 7 Furos Ø 7mm</t>
  </si>
  <si>
    <t>BEP/BEL 63,5 X 6,35 X 360mm 18 Furos Ø 9mm</t>
  </si>
  <si>
    <t>BEP/BEL 63,5 X 6,35 X 420mm 22 Furos Ø 11,1mm</t>
  </si>
  <si>
    <t>BEP/BEL 76,2 X 6,35 X 360mm 24 Furos Ø 10,5mm</t>
  </si>
  <si>
    <t>Conector à Compressão Cabo-Haste em Bronze Natural Para Dois Cabos de 16 a 70mm² e Ferragens (Cabo-Haste)</t>
  </si>
  <si>
    <t>Conector à Compressão Para Aterramento (Cabo-Cabo) 6-1/0AWG 16-50mm</t>
  </si>
  <si>
    <t>Conector à Compressão Para Aterramento (Cabo-Cabo) 8-4AWG 10-25mm</t>
  </si>
  <si>
    <t>Conector à Compressão Para Cabos de Cobre NU 50mm² (7 Fios) (Cabo-Cabo)</t>
  </si>
  <si>
    <t>Conector de Aterramento à Compressão Tipo "L" - Haste 12,7-14,3mm (1/2"-5/8") - Condutor 2-250AWG 35-120mm</t>
  </si>
  <si>
    <t>Luva Bimetálica à Compressão - Condutor Ca 1/0|50 (AWG/mm² Comp.) - Condutor Cu/Cs 35 (mm²)</t>
  </si>
  <si>
    <t>Luva Bimetálica à Compressão - Condutor Ca 2/0|70 (AWG/mm² Comp.) - Condutor Cu/Cs 50 (mm²)</t>
  </si>
  <si>
    <t>Luva Bimetálica à Compressão - Condutor Ca 2|35 (AWG/mm² Comp.) - Condutor Cu/Cs 25 (mm²)</t>
  </si>
  <si>
    <t>Luva Bimetálica à Compressão - Condutor Ca 3/0|95 (AWG/mm² Comp.) - Condutor Cu/Cs 70 (mm²)</t>
  </si>
  <si>
    <t>Luva Bimetálica à Compressão - Condutor Ca 4/0|120 (AWG/mm² Comp.) - Condutor Cu/Cs 95 (mm²)</t>
  </si>
  <si>
    <t>Eletroduto de Aço Galvanizado Pesado. Diâmetro Nominal: 1 1/2" (Gf) Galvanização à Fogo Por Imersão a Quente, Barra de 3 Metros. Atende Aos Requisitos Das Normas: NBR - 5624.</t>
  </si>
  <si>
    <t>Terminal Cabo-Barramento de Alumínio (Conexão Reta ou à 90°) - 2 Furos M10 - Condutores 16-300mm2 e 6-636 AWG/MCM</t>
  </si>
  <si>
    <t>Terminal Cabo-Barramento de Alumínio (Conexão Reta ou à 90°) - 4 Furos M10 - Condutores 16-300mm2 e 6-636 AWG/MCM</t>
  </si>
  <si>
    <t>Terminal Cabo-Barramento de Cobre (Conexão Reta ou à 90°) - 2 Furos M10 - Condutores 16-300mm2 e 6-636 AWG/MCM</t>
  </si>
  <si>
    <t>Terminal Cabo-Barramento de Cobre (Conexão Reta ou à 90°) - 4 Furos M10 - Condutores 16-300mm2 e 6-636 AWG/MCM</t>
  </si>
  <si>
    <t>Terminal de Cobre à Compressão - Curto 1Furo - M10 - 120mm</t>
  </si>
  <si>
    <t>Terminal de Cobre à Compressão - Curto 1Furo - M10 - 150mm</t>
  </si>
  <si>
    <t>Terminal de Cobre à Compressão - Curto 1Furo - M10 - 185mm</t>
  </si>
  <si>
    <t>Terminal de Cobre à Compressão - Curto 1Furo - M10 - 240mm</t>
  </si>
  <si>
    <t>Terminal de Cobre à Compressão - Curto 1Furo - M10 - 25mm</t>
  </si>
  <si>
    <t>Terminal de Cobre à Compressão - Curto 1Furo - M10 - 35mm</t>
  </si>
  <si>
    <t>Terminal de Cobre à Compressão - Curto 1Furo - M10 - 50mm</t>
  </si>
  <si>
    <t>Terminal de Cobre à Compressão - Curto 1Furo - M10 - 70mm</t>
  </si>
  <si>
    <t>Terminal de Cobre à Compressão - Curto 1Furo - M10 - 95mm</t>
  </si>
  <si>
    <t>Terminal de Cobre à Compressão - Curto 1Furo - M12 - 120mm</t>
  </si>
  <si>
    <t>Terminal de Cobre à Compressão - Curto 1Furo - M12 - 150mm</t>
  </si>
  <si>
    <t>Terminal de Cobre à Compressão - Curto 1Furo - M12 - 185mm</t>
  </si>
  <si>
    <t>Terminal de Cobre à Compressão - Curto 1Furo - M12 - 240mm</t>
  </si>
  <si>
    <t>Terminal de Cobre à Compressão - Curto 1Furo - M12 - 300mm</t>
  </si>
  <si>
    <t>Terminal de Cobre à Compressão - Curto 1Furo - M12 - 400mm</t>
  </si>
  <si>
    <t>Terminal de Cobre à Compressão - Curto 1Furo - M12 - 50mm</t>
  </si>
  <si>
    <t>Terminal de Cobre à Compressão - Curto 1Furo - M12 - 70mm</t>
  </si>
  <si>
    <t>Terminal de Cobre à Compressão - Curto 1Furo - M12 - 95mm</t>
  </si>
  <si>
    <t>Terminal de Cobre à Compressão - Curto 1Furo - M16 - 300mm</t>
  </si>
  <si>
    <t>Terminal de Cobre à Compressão - Curto 1Furo - M16 - 400mm</t>
  </si>
  <si>
    <t>Terminal de Cobre à Compressão - Curto 1Furo - M16 - 500mm</t>
  </si>
  <si>
    <t>Terminal de Cobre à Compressão - Curto 1Furo - M16 - 630mm</t>
  </si>
  <si>
    <t>Terminal de Cobre à Compressão - Curto 1Furo - M5 - 10mm</t>
  </si>
  <si>
    <t>Terminal de Cobre à Compressão - Curto 1Furo - M5 - 1-2,5mm</t>
  </si>
  <si>
    <t>Terminal de Cobre à Compressão - Curto 1Furo - M5 - 16mm</t>
  </si>
  <si>
    <t>Terminal de Cobre à Compressão - Curto 1Furo - M5 - 25mm</t>
  </si>
  <si>
    <t>Terminal de Cobre à Compressão - Curto 1Furo - M5 - 4-6mm</t>
  </si>
  <si>
    <t>Terminal de Cobre à Compressão - Curto 1Furo - M5/M6 - 1-2,5mm</t>
  </si>
  <si>
    <t>Terminal de Cobre à Compressão - Curto 1Furo - M6 - 10mm</t>
  </si>
  <si>
    <t>Terminal de Cobre à Compressão - Curto 1Furo - M6 - 16mm</t>
  </si>
  <si>
    <t>Terminal de Cobre à Compressão - Curto 1Furo - M6 - 25mm</t>
  </si>
  <si>
    <t>Terminal de Cobre à Compressão - Curto 1Furo - M6 - 35mm</t>
  </si>
  <si>
    <t>Terminal de Cobre à Compressão - Curto 1Furo - M6 - 4-6mm</t>
  </si>
  <si>
    <t>Terminal de Cobre à Compressão - Curto 1Furo - M6 - 50mm</t>
  </si>
  <si>
    <t>Terminal de Cobre à Compressão - Curto 1Furo - M8 - 10mm</t>
  </si>
  <si>
    <t>Terminal de Cobre à Compressão - Curto 1Furo - M8 - 16mm</t>
  </si>
  <si>
    <t>Terminal de Cobre à Compressão - Curto 1Furo - M8 - 25mm</t>
  </si>
  <si>
    <t>Terminal de Cobre à Compressão - Curto 1Furo - M8 - 35mm</t>
  </si>
  <si>
    <t>Terminal de Cobre à Compressão - Curto 1Furo - M8 - 50mm</t>
  </si>
  <si>
    <t>Terminal de Cobre à Compressão - Curto 1Furo - M8 - 70mm</t>
  </si>
  <si>
    <t>Terminal de Cobre à Compressão - Curto 1Furo - M8 - 95mm</t>
  </si>
  <si>
    <t>Terminal de Cobre à Compressão - Curto 2Furos - M12 - 120mm</t>
  </si>
  <si>
    <t>Terminal de Cobre à Compressão - Curto 2Furos - M12 - 150mm</t>
  </si>
  <si>
    <t>Terminal de Cobre à Compressão - Curto 2Furos - M12 - 185mm</t>
  </si>
  <si>
    <t>Terminal de Cobre à Compressão - Curto 2Furos - M12 - 240mm</t>
  </si>
  <si>
    <t>Terminal de Cobre à Compressão - Curto 2Furos - M12 - 300mm</t>
  </si>
  <si>
    <t>Terminal de Cobre à Compressão - Curto 2Furos - M12 - 400mm</t>
  </si>
  <si>
    <t>Terminal de Cobre à Compressão - Curto 2Furos - M12 - 500mm</t>
  </si>
  <si>
    <t>Terminal de Cobre à Compressão - Curto 2Furos - M12 - 630mm</t>
  </si>
  <si>
    <t>Terminal de Cobre à Compressão - Curto 2Furos - M12 - 70mm</t>
  </si>
  <si>
    <t>Terminal de Cobre à Compressão - Curto 2Furos - M12 - 95mm</t>
  </si>
  <si>
    <t>Terminal de Cobre à Compressão - Curto 2Furos - M5 - 10mm</t>
  </si>
  <si>
    <t>Terminal de Cobre à Compressão - Curto 2Furos - M6 - 16mm</t>
  </si>
  <si>
    <t>Terminal de Cobre à Compressão - Curto 2Furos - M6 - 25mm</t>
  </si>
  <si>
    <t>Terminal de Cobre à Compressão - Curto 2Furos - M8 - 35mm</t>
  </si>
  <si>
    <t>Terminal de Cobre à Compressão - Curto 2Furos - M8 - 50mm</t>
  </si>
  <si>
    <t>Terminal de Cobre à Compressão - Longo 1Furo - M10 - 120mm</t>
  </si>
  <si>
    <t>Terminal de Cobre à Compressão - Longo 1Furo - M10 - 25mm</t>
  </si>
  <si>
    <t>Terminal de Cobre à Compressão - Longo 1Furo - M10 - 35mm</t>
  </si>
  <si>
    <t>Terminal de Cobre à Compressão - Longo 1Furo - M10 - 50mm</t>
  </si>
  <si>
    <t>Terminal de Cobre à Compressão - Longo 1Furo - M10 - 70mm</t>
  </si>
  <si>
    <t>Terminal de Cobre à Compressão - Longo 1Furo - M10 - 95mm</t>
  </si>
  <si>
    <t>Terminal de Cobre à Compressão - Longo 1Furo - M12 - 120mm</t>
  </si>
  <si>
    <t>Terminal de Cobre à Compressão - Longo 1Furo - M12 - 150mm</t>
  </si>
  <si>
    <t>Terminal de Cobre à Compressão - Longo 1Furo - M12 - 185mm</t>
  </si>
  <si>
    <t>Terminal de Cobre à Compressão - Longo 1Furo - M12 - 240mm</t>
  </si>
  <si>
    <t>Terminal de Cobre à Compressão - Longo 1Furo - M12 - 300mm</t>
  </si>
  <si>
    <t>Terminal de Cobre à Compressão - Longo 1Furo - M12 - 400mm</t>
  </si>
  <si>
    <t>Terminal de Cobre à Compressão - Longo 1Furo - M12 - 500mm</t>
  </si>
  <si>
    <t>Terminal de Cobre à Compressão - Longo 1Furo - M12 - 50mm</t>
  </si>
  <si>
    <t>Terminal de Cobre à Compressão - Longo 1Furo - M12 - 630mm</t>
  </si>
  <si>
    <t>Terminal de Cobre à Compressão - Longo 1Furo - M12 - 70mm</t>
  </si>
  <si>
    <t>Terminal de Cobre à Compressão - Longo 1Furo - M12 - 95mm</t>
  </si>
  <si>
    <t>Terminal de Cobre à Compressão - Longo 1Furo - M5 - 10mm</t>
  </si>
  <si>
    <t>Terminal de Cobre à Compressão - Longo 1Furo - M6 - 10mm</t>
  </si>
  <si>
    <t>Terminal de Cobre à Compressão - Longo 1Furo - M6 - 16mm</t>
  </si>
  <si>
    <t>Terminal de Cobre à Compressão - Longo 1Furo - M6 - 25mm</t>
  </si>
  <si>
    <t>Terminal de Cobre à Compressão - Longo 1Furo - M8 - 16mm</t>
  </si>
  <si>
    <t>Terminal de Cobre à Compressão - Longo 1Furo - M8 - 35mm</t>
  </si>
  <si>
    <t>Terminal de Cobre à Compressão - Longo 1Furo - M8 - 50mm</t>
  </si>
  <si>
    <t>Terminal de Cobre à Compressão - Longo 1Furo - M8 - 70mm</t>
  </si>
  <si>
    <t>Terminal de Cobre à Compressão - Longo 2Furos - M12 - 120mm</t>
  </si>
  <si>
    <t>Terminal de Cobre à Compressão - Longo 2Furos - M12 - 150mm</t>
  </si>
  <si>
    <t>Terminal de Cobre à Compressão - Longo 2Furos - M12 - 185mm</t>
  </si>
  <si>
    <t>Terminal de Cobre à Compressão - Longo 2Furos - M12 - 240mm</t>
  </si>
  <si>
    <t>Terminal de Cobre à Compressão - Longo 2Furos - M12 - 300mm</t>
  </si>
  <si>
    <t>Terminal de Cobre à Compressão - Longo 2Furos - M12 - 400mm</t>
  </si>
  <si>
    <t>Terminal de Cobre à Compressão - Longo 2Furos - M12 - 500mm</t>
  </si>
  <si>
    <t>Terminal de Cobre à Compressão - Longo 2Furos - M12 - 630mm</t>
  </si>
  <si>
    <t>Terminal de Cobre à Compressão - Longo 2Furos - M12 - 70mm</t>
  </si>
  <si>
    <t>Terminal de Cobre à Compressão - Longo 2Furos - M12 - 95mm</t>
  </si>
  <si>
    <t>Terminal de Cobre à Compressão - Longo 2Furos - M5 - 10mm</t>
  </si>
  <si>
    <t>Terminal de Cobre à Compressão - Longo 2Furos - M6 - 16mm</t>
  </si>
  <si>
    <t>Terminal de Cobre à Compressão - Longo 2Furos - M6 - 25mm</t>
  </si>
  <si>
    <t>Terminal de Cobre à Compressão - Longo 2Furos - M8 - 35mm</t>
  </si>
  <si>
    <t>Terminal de Cobre à Compressão - Longo 2Furos - M8 - 50mm</t>
  </si>
  <si>
    <t>Terminal Tipo Pino Chato Bimetálico à Compressão - 10/16mm - Acompanha Tubo Termocontrátil</t>
  </si>
  <si>
    <t>Terminal Tipo Pino Chato Bimetálico à Compressão - 25mm - Acompanha Tubo Termocontrátil</t>
  </si>
  <si>
    <t>Terminal Tipo Pino Chato Bimetálico à Compressão - 35mm - Acompanha Tubo Termocontrátil</t>
  </si>
  <si>
    <t>Terminal Tipo Pino Chato Bimetálico à Compressão - 50mm - Acompanha Tubo Termocontrátil</t>
  </si>
  <si>
    <t>Terminal Tipo Pino Chato Bimetálico à Compressão - 70mm - Acompanha Tubo Termocontrátil</t>
  </si>
  <si>
    <t>Terminal Tubular Bimetálico à Compressão - M10 - 10/16mm - Acompanha Tubo Termocontrátil</t>
  </si>
  <si>
    <t>Terminal Tubular Bimetálico à Compressão - M10 - 120mm - Acompanha Tubo Termocontrátil</t>
  </si>
  <si>
    <t>Terminal Tubular Bimetálico à Compressão - M10 - 150mm - Acompanha Tubo Termocontrátil</t>
  </si>
  <si>
    <t>Terminal Tubular Bimetálico à Compressão - M10 - 185mm - Acompanha Tubo Termocontrátil</t>
  </si>
  <si>
    <t>Terminal Tubular Bimetálico à Compressão - M10 - 240mm - Acompanha Tubo Termocontrátil</t>
  </si>
  <si>
    <t>Terminal Tubular Bimetálico à Compressão - M10 - 25mm - Acompanha Tubo Termocontrátil</t>
  </si>
  <si>
    <t>Terminal Tubular Bimetálico à Compressão - M10 - 300mm - Acompanha Tubo Termocontrátil</t>
  </si>
  <si>
    <t>Terminal Tubular Bimetálico à Compressão - M10 - 35mm - Acompanha Tubo Termocontrátil</t>
  </si>
  <si>
    <t>Terminal Tubular Bimetálico à Compressão - M10 - 400mm - Acompanha Tubo Termocontrátil</t>
  </si>
  <si>
    <t>Terminal Tubular Bimetálico à Compressão - M10 - 70mm - Acompanha Tubo Termocontrátil</t>
  </si>
  <si>
    <t>Terminal Tubular Bimetálico à Compressão - M12 - 120mm - Acompanha Tubo Termocontrátil</t>
  </si>
  <si>
    <t>Terminal Tubular Bimetálico à Compressão - M12 - 150mm - Acompanha Tubo Termocontrátil</t>
  </si>
  <si>
    <t>Terminal Tubular Bimetálico à Compressão - M12 - 185mm - Acompanha Tubo Termocontrátil</t>
  </si>
  <si>
    <t>Terminal Tubular Bimetálico à Compressão - M12 - 240mm - Acompanha Tubo Termocontrátil</t>
  </si>
  <si>
    <t>Terminal Tubular Bimetálico à Compressão - M12 - 300mm - Acompanha Tubo Termocontrátil</t>
  </si>
  <si>
    <t>Terminal Tubular Bimetálico à Compressão - M12 - 35mm - Acompanha Tubo Termocontrátil</t>
  </si>
  <si>
    <t>Terminal Tubular Bimetálico à Compressão - M12 - 400mm - Acompanha Tubo Termocontrátil</t>
  </si>
  <si>
    <t>Terminal Tubular Bimetálico à Compressão - M12 - 500mm - Acompanha Tubo Termocontrátil</t>
  </si>
  <si>
    <t>Terminal Tubular Bimetálico à Compressão - M12 - 50mm - Acompanha Tubo Termocontrátil</t>
  </si>
  <si>
    <t>Terminal Tubular Bimetálico à Compressão - M12 - 70mm - Acompanha Tubo Termocontrátil</t>
  </si>
  <si>
    <t>Terminal Tubular Bimetálico à Compressão - M12 - 95mm - Acompanha Tubo Termocontrátil</t>
  </si>
  <si>
    <t>Terminal Tubular Bimetálico à Compressão - M8 - 35mm - Acompanha Tubo Termocontrátil</t>
  </si>
  <si>
    <t>Cabo Eletronico Categoria 6A U/Utp 23AWG X 4P</t>
  </si>
  <si>
    <t>Condulete de Aluminio Tipo LR, Para Eletroduto Roscavel de 1 1/2", Com Tampa Cega</t>
  </si>
  <si>
    <t>Condulete de Aluminio Tipo LR, Para Eletroduto Roscavel de 1 1/4", Com Tampa Cega</t>
  </si>
  <si>
    <t>Condulete de Aluminio Tipo LR, Para Eletroduto Roscavel de 1", Com Tampa Cega</t>
  </si>
  <si>
    <t>Condulete de Aluminio Tipo LR, Para Eletroduto Roscavel de 1/2", Com Tampa Cega</t>
  </si>
  <si>
    <t>Condulete de Aluminio Tipo LR, Para Eletroduto Roscavel de 2", Com Tampa Cega</t>
  </si>
  <si>
    <t>Condulete de Aluminio Tipo LR, Para Eletroduto Roscavel de 3", Com Tampa Cega</t>
  </si>
  <si>
    <t>Condulete de Aluminio Tipo LR, Para Eletroduto Roscavel de 3/4", Com Tampa Cega</t>
  </si>
  <si>
    <t>Condulete de Aluminio Tipo LR, Para Eletroduto Roscavel de 4", Com Tampa Cega</t>
  </si>
  <si>
    <t>Condulete de Aluminio Tipo TB, Para Eletroduto Roscavel de 3", Com Tampa Cega</t>
  </si>
  <si>
    <t>Fita / Cinta Autoadesiva Elastomerica Para Vedacao, L= 50 mm, E = 3 mm</t>
  </si>
  <si>
    <t>Fita Aco Inox Para Cintar Poste, L = 19 mm, E = 0,5 mm (Rolo de 30M)</t>
  </si>
  <si>
    <t>Contatora 220Vca - 12A (Sugerido Cwb12)</t>
  </si>
  <si>
    <t>Cantoneira ZZ 38mm Para Perfilado</t>
  </si>
  <si>
    <t>Cantoneira Galvanizada ZZ Alta 38X38mm</t>
  </si>
  <si>
    <t>Tomada 2P+T 20A 250V, Conjunto Montado Para Embutir 4" X 2" (Placa + Suporte + Modulo)</t>
  </si>
  <si>
    <t>Chumbador CBA 1/4"</t>
  </si>
  <si>
    <t>Chumbador CBA 3/8"</t>
  </si>
  <si>
    <t>Chumbador CBA 5/16"</t>
  </si>
  <si>
    <t>Condulete em PVC, Tipo "LB", Sem Tampa, de 1"</t>
  </si>
  <si>
    <t>Condulete em PVC, Tipo "LB", Sem Tampa, de 1/2" ou 3/4"</t>
  </si>
  <si>
    <t>Condulete em PVC, Tipo "LL", Sem Tampa, de 1"</t>
  </si>
  <si>
    <t>Condulete em PVC, Tipo "LL", Sem Tampa, de 1/2" ou 3/4"</t>
  </si>
  <si>
    <t>Condulete em PVC, Tipo "LR", Sem Tampa, de 1"</t>
  </si>
  <si>
    <t>Condulete em PVC, Tipo "LR", Sem Tampa, de 1/2"</t>
  </si>
  <si>
    <t>Condulete em PVC, Tipo "LR", Sem Tampa, de 3/4"</t>
  </si>
  <si>
    <t>Condulete em PVC, Tipo "TB", Sem Tampa, de 1"</t>
  </si>
  <si>
    <t>Condulete em PVC, Tipo "TB", Sem Tampa, de 1/2" ou 3/4"</t>
  </si>
  <si>
    <t>Caixa Para Medicao Coletiva Tipo m, Padrao Bifasico ou Trifasico, Para Ate 8 Medidores, Sem Barramento e Com Portas Inferior e Superior</t>
  </si>
  <si>
    <t>Poste Conico ContiNUo em Aco Galvanizado, Curvo, Braco Duplo, Engastado, H = 9 m, Diametro Inferior/Base = *135* mm</t>
  </si>
  <si>
    <t>Poste Conico ContiNUo em Aco Galvanizado, Curvo, Braco Duplo, Flangeado, H = 9 m, Diametro Inferior = *135* mm</t>
  </si>
  <si>
    <t>Poste Conico ContiNUo em Aco Galvanizado, Curvo, Braco Simples, Engastado, H = 9 m, Diametro Inferior = *135* mm</t>
  </si>
  <si>
    <t>Poste Conico ContiNUo em Aco Galvanizado, Curvo, Braco Simples, Flangeado, H = 7 m, Diametro Inferior = *125* mm</t>
  </si>
  <si>
    <t>Poste Conico ContiNUo em Aco Galvanizado, Curvo, Braco Simples, Flangeado, H = 9 m, Diametro Inferior = *135* mm</t>
  </si>
  <si>
    <t>Poste Conico ContiNUo em Aco Galvanizado, Reto, Engastado, H = 7 m, Diametro Inferior = *125* mm</t>
  </si>
  <si>
    <t>Poste Conico ContiNUo em Aco Galvanizado, Reto, Engastado, H = 9 m, Diametro Inferior = *145* mm</t>
  </si>
  <si>
    <t>Poste Conico ContiNUo em Aco Galvanizado, Reto, Flangeado, H = 3 m, Diametro Inferior = *95* mm</t>
  </si>
  <si>
    <t>Poste de Concreto Armado de Secao Circular, Extensao de 10,00 m, Resistencia de 150 a 200 Dan, Tipo C-14</t>
  </si>
  <si>
    <t>Poste de Concreto Armado de Secao Circular, Extensao de 11,00 m, Resistencia de 200 a 300 Dan, Tipo C-14</t>
  </si>
  <si>
    <t>Poste de Concreto Armado de Secao Circular, Extensao de 11,00 m, Resistencia de 300 a 400 Dan, Tipo C-17</t>
  </si>
  <si>
    <t>Poste de Concreto Armado de Secao Circular, Extensao de 13,00 m, Resistencia de 1000 Dan, Tipo C-23</t>
  </si>
  <si>
    <t>Poste de Concreto Armado de Secao Circular, Extensao de 13,00 m, Resistencia de 1500 Dan, Tipo C-29</t>
  </si>
  <si>
    <t>Poste de Concreto Armado de Secao Circular, Extensao de 13,00 m, Resistencia de 2000 Dan, Tipo C-29</t>
  </si>
  <si>
    <t>Poste de Concreto Armado de Secao Circular, Extensao de 13,00 m, Resistencia de 2500 Dan, Tipo C-29</t>
  </si>
  <si>
    <t>Poste de Concreto Armado de Secao Circular, Extensao de 13,00 m, Resistencia de 3000 Dan, Tipo C-29</t>
  </si>
  <si>
    <t>Poste de Concreto Armado de Secao Circular, Extensao de 14,00 m, Resistencia de 1000 Dan, Tipo C-23</t>
  </si>
  <si>
    <t>Poste de Concreto Armado de Secao Circular, Extensao de 14,00 m, Resistencia de 1500 Dan, Tipo C-29</t>
  </si>
  <si>
    <t>Poste de Concreto Armado de Secao Circular, Extensao de 14,00 m, Resistencia de 2000 Dan, Tipo C-29</t>
  </si>
  <si>
    <t>Poste de Concreto Armado de Secao Circular, Extensao de 14,00 m, Resistencia de 2500 Dan, Tipo C-29</t>
  </si>
  <si>
    <t>Poste de Concreto Armado de Secao Circular, Extensao de 14,00 m, Resistencia de 300 a 400 Dan, Tipo C-17</t>
  </si>
  <si>
    <t>Poste de Concreto Armado de Secao Circular, Extensao de 14,00 m, Resistencia de 3000 Dan, Tipo C-29</t>
  </si>
  <si>
    <t>Poste de Concreto Armado de Secao Circular, Extensao de 15,00 m, Resistencia de 1000 Dan, Tipo C-23</t>
  </si>
  <si>
    <t>Poste de Concreto Armado de Secao Circular, Extensao de 15,00 m, Resistencia de 1500 Dan, Tipo C-29</t>
  </si>
  <si>
    <t>Poste de Concreto Armado de Secao Circular, Extensao de 15,00 m, Resistencia de 2000 Dan, Tipo C-29</t>
  </si>
  <si>
    <t>Poste de Concreto Armado de Secao Circular, Extensao de 15,00 m, Resistencia de 2500 Dan, Tipo C-29</t>
  </si>
  <si>
    <t>Poste de Concreto Armado de Secao Circular, Extensao de 15,00 m, Resistencia de 3000 Dan, Tipo C-29</t>
  </si>
  <si>
    <t>Poste de Concreto Armado de Secao Circular, Extensao de 9,00 m, Resistencia de 200 a 300 Dan, Tipo C-14</t>
  </si>
  <si>
    <t>Poste de Concreto Armado de Secao Circular, Extensao de 9,00 m, Resistencia de 300 a 400 Dan, Tipo C-17</t>
  </si>
  <si>
    <t>Poste de Concreto Armado de Secao Duplo T, Extensao de 10,00 m, Resistencia de 1000 Dan, Tipo B-1,5</t>
  </si>
  <si>
    <t>Poste de Concreto Armado de Secao Duplo T, Extensao de 10,00 m, Resistencia de 150 Dan, Tipo D</t>
  </si>
  <si>
    <t>Poste de Concreto Armado de Secao Duplo T, Extensao de 10,00 m, Resistencia de 300 a 400 Dan, Tipo B ou D</t>
  </si>
  <si>
    <t>Poste de Concreto Armado de Secao Duplo T, Extensao de 10,00 m, Resistencia de 600 Dan, Tipo B</t>
  </si>
  <si>
    <t>Poste de Concreto Armado de Secao Duplo T, Extensao de 11,00 m, Resistencia de 1000 Dan, Tipo B-1,5</t>
  </si>
  <si>
    <t>Poste de Concreto Armado de Secao Duplo T, Extensao de 11,00 m, Resistencia de 150 Dan, Tipo D</t>
  </si>
  <si>
    <t>Poste de Concreto Armado de Secao Duplo T, Extensao de 11,00 m, Resistencia de 1500 Dan, Tipo B-3,0</t>
  </si>
  <si>
    <t>Poste de Concreto Armado de Secao Duplo T, Extensao de 11,00 m, Resistencia de 200 Dan, Tipo D</t>
  </si>
  <si>
    <t>Poste de Concreto Armado de Secao Duplo T, Extensao de 11,00 m, Resistencia de 2000 Dan, Tipo B-4,5</t>
  </si>
  <si>
    <t>Poste de Concreto Armado de Secao Duplo T, Extensao de 11,00 m, Resistencia de 300 Dan, Tipo B</t>
  </si>
  <si>
    <t>Poste de Concreto Armado de Secao Duplo T, Extensao de 11,00 m, Resistencia de 600 Dan, Tipo B</t>
  </si>
  <si>
    <t>Poste de Concreto Armado de Secao Duplo T, Extensao de 12,00 m, Resistencia de 1000 Dan, Tipo B-1,5</t>
  </si>
  <si>
    <t>Poste de Concreto Armado de Secao Duplo T, Extensao de 12,00 m, Resistencia de 150 Dan, Tipo D</t>
  </si>
  <si>
    <t>Poste de Concreto Armado de Secao Duplo T, Extensao de 12,00 m, Resistencia de 1500 Dan, Tipo B-3,0</t>
  </si>
  <si>
    <t>Poste de Concreto Armado de Secao Duplo T, Extensao de 12,00 m, Resistencia de 300 a 400 Dan, Tipo B ou D</t>
  </si>
  <si>
    <t>Poste de Concreto Armado de Secao Duplo T, Extensao de 12,00 m, Resistencia de 3000 Dan, Tipo B-6,0</t>
  </si>
  <si>
    <t>Poste de Concreto Armado de Secao Duplo T, Extensao de 12,00 m, Resistencia de 600 Dan, Tipo B</t>
  </si>
  <si>
    <t>Poste de Concreto Armado de Secao Duplo T, Extensao de 13,00 m, Resistencia de 1000 Dan, Tipo B-1,5</t>
  </si>
  <si>
    <t>Poste de Concreto Armado de Secao Duplo T, Extensao de 13,00 m, Resistencia de 1500 Dan, Tipo B-3,0</t>
  </si>
  <si>
    <t>Poste de Concreto Armado de Secao Duplo T, Extensao de 13,00 m, Resistencia de 2000 Dan, Tipo B-4,5</t>
  </si>
  <si>
    <t>Poste de Concreto Armado de Secao Duplo T, Extensao de 13,00 m, Resistencia de 300 Dan, Tipo B</t>
  </si>
  <si>
    <t>Poste de Concreto Armado de Secao Duplo T, Extensao de 13,00 m, Resistencia de 600 Dan, Tipo B</t>
  </si>
  <si>
    <t>Poste de Concreto Armado de Secao Duplo T, Extensao de 15,00 m, Resistencia de 1500 Dan, Tipo B-3,0</t>
  </si>
  <si>
    <t>Poste de Concreto Armado de Secao Duplo T, Extensao de 15,00 m, Resistencia de 2000 Dan, Tipo B-4,5</t>
  </si>
  <si>
    <t>Poste de Concreto Armado de Secao Duplo T, Extensao de 8,00 m, Resistencia de 150 Dan, Tipo D</t>
  </si>
  <si>
    <t>Poste de Concreto Armado de Secao Duplo T, Extensao de 9,00 m, Resistencia de 1000 Dan, Tipo B-1,5</t>
  </si>
  <si>
    <t>Poste de Concreto Armado de Secao Duplo T, Extensao de 9,00 m, Resistencia de 150 Dan, Tipo D</t>
  </si>
  <si>
    <t>Poste de Concreto Armado de Secao Duplo T, Extensao de 9,00 m, Resistencia de 300 a 400 Dan, Tipo B ou D</t>
  </si>
  <si>
    <t>Poste de Concreto Armado de Secao Duplo T, Extensao de 9,00 m, Resistencia de 600 Dan, Tipo B</t>
  </si>
  <si>
    <t>Haste de Aterramento em Aco Com 3,00 m de Comprimento e Dn = 3/4", Revestida Com Baixa Camada de Cobre, Sem Conector</t>
  </si>
  <si>
    <t>Haste de Aterramento em Aco Com 3,00 m de Comprimento e Dn = 5/8", Revestida Com Baixa Camada de Cobre, Com Conector Tipo Grampo</t>
  </si>
  <si>
    <t>Haste de Aterramento em Aco Com 3,00 m de Comprimento e Dn = 5/8", Revestida Com Baixa Camada de Cobre, Sem Conector</t>
  </si>
  <si>
    <t>Haste de Aterramento em Aco Galvanizado Tipo Cantoneira Com 2,00 m de Comprimento, 25 X 25 mm e Chapa de 3/16"</t>
  </si>
  <si>
    <t>Patch Cord Cat5e 2m Utp - Azul</t>
  </si>
  <si>
    <t>Caixa de Aterramento em Concreto Pre-Moldado, Diametro de 0,30 m e Altura de 0,35 m, Sem Fundo e Com Tampa</t>
  </si>
  <si>
    <t>Caixa de Passagem de Concreto 0,30X0,30X0,35m - Volume Útil 18 Litros</t>
  </si>
  <si>
    <t>Caixa de Passagem de Concreto 0,32X0,32X0,35m - Volume Útil 24 Litros</t>
  </si>
  <si>
    <t>Caixa de Passagem de Concreto 0,40m Circular</t>
  </si>
  <si>
    <t>Caixa de Passagem de Concreto 0,40X0,40X0,45m - Volume Útil 40 Litros</t>
  </si>
  <si>
    <t>Caixa de Passagem de Concreto 0,50X0,50X0,45m - Volume Útil 62 Litros</t>
  </si>
  <si>
    <t>Caixa de Passagem de Concreto 0,60X0,60X0,53m - Volume Útil 119 Litros</t>
  </si>
  <si>
    <t>Caixa de Passagem de Concreto 0,80X0,80X0,72m - Volume Útil 332 Litros</t>
  </si>
  <si>
    <t>Caixa de Passagem de Concreto 1,00X1,00X0,90m - Volume Útil 650 Litros</t>
  </si>
  <si>
    <t>Caixa de Passagem de Concreto 1,07X0,52X0,80m R2</t>
  </si>
  <si>
    <t>Caixa de Passagem de Concreto 1,20X1,20X1,20m - 20cm Parede</t>
  </si>
  <si>
    <t>Tampa de Concreto Circular 0,40X0,050m Para Caixa de Passagem</t>
  </si>
  <si>
    <t>Tampa de Concreto Quadrada 0,30X0,30X0,035m Para Caixa de Passagem</t>
  </si>
  <si>
    <t>Tampa de Concreto Quadrada 0,40X0,40X0,035m Para Caixa de Passagem</t>
  </si>
  <si>
    <t>Tampa de Concreto Quadrada 0,50X0,50X0,035m Para Caixa de Passagem</t>
  </si>
  <si>
    <t>Tampa de Concreto Quadrada 0,60X0,60X0,035m Para Caixa de Passagem</t>
  </si>
  <si>
    <t>Tampa de Concreto Quadrada 0,80X0,80X0,035m Para Caixa de Passagem</t>
  </si>
  <si>
    <t>Tampa de Concreto Quadrada 1,00X1,00X0,035m Para Caixa de Passagem</t>
  </si>
  <si>
    <t>Tampa de Concreto Quadrada 1,20X1,20X0,050m Para Caixa de Passagem</t>
  </si>
  <si>
    <t>Caixa Para Hidrometro Concreto Pre Moldado, *0,24 m X 0,45 m X 0,30* m (L X C X A)</t>
  </si>
  <si>
    <t>Termo Retrátil - Tt-10/Pt Rolo - Rolo Com 200m (Para Cabos de 10mm² e 6mm²)</t>
  </si>
  <si>
    <t>Termo Retrátil - Tt-16/Pt Rolo - Rolo Com 200m (Para Cabos de 50mm²)</t>
  </si>
  <si>
    <t>Termo Retrátil - Tt-20/Pt Rolo - Rolo Com 200m (Para Cabos de 95mm²)</t>
  </si>
  <si>
    <t>Termo Retrátil - Tt-6/Pt Rolo - Rolo Com 200m (Para Cabos de 2,5mm²)</t>
  </si>
  <si>
    <t>Quadro Auxiliar 0,8X1X0,4m Com Barram. Princip. e Sec. P/ 63A + Barram. Neutro e Terra</t>
  </si>
  <si>
    <t>Quadro Cftv 0,4X0,4X0,2m - Ip54 - Teto Protetor</t>
  </si>
  <si>
    <t>Quadro Cftv 0,4X0,4X0,2m Com Barram. Princip. Para 35A + Barram. Neutro e Terra - Ip64 Com Teto Protetor</t>
  </si>
  <si>
    <t>Quadro Essencial 0,3X0,3X0,2m Com Barram. Princip. e Sec. P/10A + Barram. Neutro e Terra</t>
  </si>
  <si>
    <t>Trilho Din - Barra 2m S35mm - Perfurado e Pré Galvanizado</t>
  </si>
  <si>
    <t>Mourao Concreto Curvo, Secao "T", H = 2,80 m + Curva Com 0,45 m, Com Furos Para Fios</t>
  </si>
  <si>
    <t>Mourao de Concreto Curvo, *10 X 10* cm, H= *2,60* m + Curva de 0,40 M</t>
  </si>
  <si>
    <t>Câmera 2 Mp Fixed Turret Network Camera - Alcance de 30m - Ds-2Cd1323G2-Liu</t>
  </si>
  <si>
    <t>Câmera 4 Mp 25 X Network Ir Speed Dome - Alcance de 150m - Ds-2De5425Iw-Ae(T5)</t>
  </si>
  <si>
    <t>Câmera Bullet 720P L2.8 mm Ir 20m - Ip66</t>
  </si>
  <si>
    <t>Câmera Bullet Colorvu Lente 2.8mm e Alcance Até 20m - 2Mp Ip67</t>
  </si>
  <si>
    <t>Câmera Bullet Colorvu Lente 2.8mm e Alcance Até 30m - 4Mp Ip67</t>
  </si>
  <si>
    <t>Câmera Bullet Lente 2.8 mm e Alcance Até 30m - 2Mp Ip67</t>
  </si>
  <si>
    <t>Câmera Bullet Lente 2.8/3.6/6mm (Opcional) e Alcance Até 25m - 2Mp Ip67</t>
  </si>
  <si>
    <t>Câmera Bullet Lente 2.8/4/6mm (Opcional) e Alcance Até 60m - 4Mp Ip67</t>
  </si>
  <si>
    <t>Câmera Bullet Smart H. Light Lente 2.8 mm e Alcance Até 30m - 2Mp Ip67</t>
  </si>
  <si>
    <t>Câmera Bullet Wi-Fi 6 Lente 2.8 mm e Alcance Até 30m - Ip66</t>
  </si>
  <si>
    <t>Câmera Dome 1080P Colorvu Lente 2.8mm e Alcance Até 20m - 2Mp Ip67</t>
  </si>
  <si>
    <t>Câmera Dome 1536P Lente 2.8mm e Alcance Até 20m - 3Mp Ip66</t>
  </si>
  <si>
    <t>Câmera Dome Lente 2.8mm e Alcance Até 20m - 2Mp - Com Audio</t>
  </si>
  <si>
    <t>Câmera Dome Smart H. Light Lente 2.8 mm e Alcance Até 30m - 2Mp Ip67</t>
  </si>
  <si>
    <t>Câmera Speed Dome Lente Canal Ptz 4.8 a 120mm e Canal Projétil 2.8mm - Alcance Canal Ptz Até 100m e Canal Bala Até 30m - 4Mp</t>
  </si>
  <si>
    <t>Porca Olhal m 16, em Aco Galvanizado, Diametro = 16 mm</t>
  </si>
  <si>
    <t>Detector Wi-Fi Pir Ir - Ds-Pdp15P-Eg2-We - Área Monitorada de 15m</t>
  </si>
  <si>
    <t>32 Canais Dvr Acusense 1080P 1U H.265 Ids-723HQHI-m2/s</t>
  </si>
  <si>
    <t>32 Canais Dvr Ds-7232HGHI-M2</t>
  </si>
  <si>
    <t>Curva de Ferro Galvanizado | 1" X 90º</t>
  </si>
  <si>
    <t>GFC Tubos</t>
  </si>
  <si>
    <t>Curva de Ferro Galvanizado | 1.1/2" X 90º</t>
  </si>
  <si>
    <t>Curva de Ferro Galvanizado | 1.1/4" X 90º</t>
  </si>
  <si>
    <t>Curva de Ferro Galvanizado | 1/2" X 90º</t>
  </si>
  <si>
    <t>Curva de Ferro Galvanizado | 2" X 90º</t>
  </si>
  <si>
    <t>Curva de Ferro Galvanizado | 2.1/2" X 90º</t>
  </si>
  <si>
    <t>Curva de Ferro Galvanizado | 3" X 90º</t>
  </si>
  <si>
    <t>Curva de Ferro Galvanizado | 3/4" X 90º</t>
  </si>
  <si>
    <t>Curva de Ferro Galvanizado | 4" X 90º</t>
  </si>
  <si>
    <t>Suporte Angular Duplo - 100X100mm</t>
  </si>
  <si>
    <t>Suporte Angular Duplo - 100X50mm</t>
  </si>
  <si>
    <t>Suporte Angular Duplo - 150X100mm</t>
  </si>
  <si>
    <t>Suporte Angular Duplo - 150X50mm</t>
  </si>
  <si>
    <t>Suporte Angular Duplo - 200X100mm</t>
  </si>
  <si>
    <t>Suporte Angular Duplo - 200X50mm</t>
  </si>
  <si>
    <t>Suporte Angular Duplo - 300X100mm</t>
  </si>
  <si>
    <t>Suporte Angular Duplo - 300X50mm</t>
  </si>
  <si>
    <t>Suporte Angular Duplo - 400X100mm</t>
  </si>
  <si>
    <t>Suporte Angular Duplo - 400X50mm</t>
  </si>
  <si>
    <t>Suporte Angular Duplo - 50X50mm</t>
  </si>
  <si>
    <t>Dispositivo Dr, 2 Polos, Sensibilidade de 30 MA, Corrente de 100 A, Tipo Ac</t>
  </si>
  <si>
    <t>Dispositivo Dr, 2 Polos, Sensibilidade de 30 MA, Corrente de 25 A, Tipo Ac</t>
  </si>
  <si>
    <t>Dispositivo Dr, 2 Polos, Sensibilidade de 30 MA, Corrente de 40 A, Tipo Ac</t>
  </si>
  <si>
    <t>Dispositivo Dr, 2 Polos, Sensibilidade de 30 MA, Corrente de 63 A, Tipo Ac</t>
  </si>
  <si>
    <t>Dispositivo Dr, 2 Polos, Sensibilidade de 30 MA, Corrente de 80 A, Tipo Ac</t>
  </si>
  <si>
    <t>Dispositivo Dr, 2 Polos, Sensibilidade de 300 MA, Corrente de 25 A, Tipo Ac</t>
  </si>
  <si>
    <t>Dispositivo Dr, 2 Polos, Sensibilidade de 300 MA, Corrente de 40 A, Tipo Ac</t>
  </si>
  <si>
    <t>Dispositivo Dr, 2 Polos, Sensibilidade de 300 MA, Corrente de 63 A, Tipo Ac</t>
  </si>
  <si>
    <t>Dispositivo Dr, 2 Polos, Sensibilidade de 300 MA, Corrente de 80 A, Tipo Ac</t>
  </si>
  <si>
    <t>Dispositivo Dr, 4 Polos, Sensibilidade de 30 MA, Corrente de 100 A, Tipo Ac</t>
  </si>
  <si>
    <t>Dispositivo Dr, 4 Polos, Sensibilidade de 30 MA, Corrente de 25 A, Tipo Ac</t>
  </si>
  <si>
    <t>Dispositivo Dr, 4 Polos, Sensibilidade de 30 MA, Corrente de 40 A, Tipo Ac</t>
  </si>
  <si>
    <t>Dispositivo Dr, 4 Polos, Sensibilidade de 30 MA, Corrente de 63 A, Tipo Ac</t>
  </si>
  <si>
    <t>Dispositivo Dr, 4 Polos, Sensibilidade de 30 MA, Corrente de 80 A, Tipo Ac</t>
  </si>
  <si>
    <t>Dispositivo Dr, 4 Polos, Sensibilidade de 300 MA, Corrente de 100 A, Tipo Ac</t>
  </si>
  <si>
    <t>Dispositivo Dr, 4 Polos, Sensibilidade de 300 MA, Corrente de 25 A, Tipo Ac</t>
  </si>
  <si>
    <t>Dispositivo Dr, 4 Polos, Sensibilidade de 300 MA, Corrente de 40 A, Tipo Ac</t>
  </si>
  <si>
    <t>Dispositivo Dr, 4 Polos, Sensibilidade de 300 MA, Corrente de 63 A, Tipo Ac</t>
  </si>
  <si>
    <t>Dispositivo Dr, 4 Polos, Sensibilidade de 300 MA, Corrente de 80 A, Tipo Ac</t>
  </si>
  <si>
    <t>Disjuntor Termomagnetico Tripolar 250 A / 600 V, Tipo Fxd</t>
  </si>
  <si>
    <t>Disjuntor Termomagnetico Tripolar 800 A / 600 V, Tipo Lmxd</t>
  </si>
  <si>
    <t>Cabo de Rede, Par Trancado U/Utp, 4 Pares, Categoria 5e (Cat 5E), Isolamento PVC (CM)</t>
  </si>
  <si>
    <t>Cabo de Rede, Par Trancado U/Utp, 4 Pares, Categoria 5e (Cat 5E), Isolamento PVC (CMX)</t>
  </si>
  <si>
    <t>Cabo de Rede, Par Trancado U/Utp, 4 Pares, Categoria 6 (Cat 6), Isolamento PVC (CM)</t>
  </si>
  <si>
    <t>Concreto Betuminoso Usinado a Quente (CBUQ) Para Pavimentacao Asfaltica, Padrao Dnit, Faixa C, Com Cap 30/45 - Aquisicao Posto Usina</t>
  </si>
  <si>
    <t>Concreto Betuminoso Usinado a Quente (CBUQ) Para Pavimentacao Asfaltica, Padrao Dnit, Faixa C, Com Cap 50/70 - Aquisicao Posto Usina</t>
  </si>
  <si>
    <t>Concreto Betuminoso Usinado a Quente (CBUQ) Para Pavimentacao Asfaltica, Padrao Dnit, Para Binder, Com Cap 50/70 - Aquisicao Posto Usina</t>
  </si>
  <si>
    <t>14/01/2026</t>
  </si>
  <si>
    <t>Escavação de valas para instalações até uma profundidade de 2 m, em solo de areia densa, com meios mecânicos, sem entivação e armazenamento nas bordas da escavação</t>
  </si>
  <si>
    <t>Escavação de valas para instalações até uma profundidade de 2 m, em solo de areia semi-densa, com meios mecânicos, sem entivação e armazenamento nas bordas da escavação</t>
  </si>
  <si>
    <t>Escavação de valas para instalações até uma profundidade de 2 m, em solo de areia densa, com meios manuais, sem entivação e armazenamento nas bordas da escavação</t>
  </si>
  <si>
    <t>Escavação de valas para instalações até uma profundidade de 2 m, em solo de areia semi-densa, com meios manuais, sem entivação e armazenamento nas bordas da escavação</t>
  </si>
  <si>
    <t>Cabine Medição e Proteção - 36kV - 5 Medições - Equatorial</t>
  </si>
  <si>
    <t>Cabine Medição e Proteção - CMPS 36kV - Energisa</t>
  </si>
  <si>
    <t>Cabo 1kV 10mm² Hepr 90° Classe 5 Flexível Azul</t>
  </si>
  <si>
    <t>Cabo 1kV 10mm² Hepr 90° Classe 5 Flexível Preto</t>
  </si>
  <si>
    <t>Cabo 1kV 10mm² Hepr 90° Classe 5 Flexível Verde</t>
  </si>
  <si>
    <t>Cabo 1kV 120mm² Hepr 90° Classe 5 Flexível Azul</t>
  </si>
  <si>
    <t>Cabo 1kV 120mm² Hepr 90° Classe 5 Flexível Preto</t>
  </si>
  <si>
    <t>Cabo 1kV 120mm² Hepr 90° Classe 5 Flexível Verde</t>
  </si>
  <si>
    <t>Cabo 1kV 150mm² Hepr 90° Classe 5 Flexível Azul</t>
  </si>
  <si>
    <t>Cabo 1kV 150mm² Hepr 90° Classe 5 Flexível Preto</t>
  </si>
  <si>
    <t>Cabo 1kV 150mm² Hepr 90° Classe 5 Flexível Verde</t>
  </si>
  <si>
    <t>Cabo 1kV 16mm² Hepr 90° Classe 5 Flexível Azul</t>
  </si>
  <si>
    <t>Cabo 1kV 16mm² Hepr 90° Classe 5 Flexível Preto</t>
  </si>
  <si>
    <t>Cabo 1kV 16mm² Hepr 90° Classe 5 Flexível Verde</t>
  </si>
  <si>
    <t>Cabo 1kV 185mm² Hepr 90° Classe 5 Flexível Azul</t>
  </si>
  <si>
    <t>Cabo 1kV 185mm² Hepr 90° Classe 5 Flexível Preto</t>
  </si>
  <si>
    <t>Cabo 1kV 185mm² Hepr 90° Classe 5 Flexível Verde</t>
  </si>
  <si>
    <t>Cabo 1kV 240mm² Hepr 90° Classe 5 Flexível Azul</t>
  </si>
  <si>
    <t>Cabo 1kV 240mm² Hepr 90° Classe 5 Flexível Preto</t>
  </si>
  <si>
    <t>Cabo 1kV 240mm² Hepr 90° Classe 5 Flexível Verde</t>
  </si>
  <si>
    <t>Cabo 1kV 25mm² Hepr 90° Classe 5 Flexível Azul</t>
  </si>
  <si>
    <t>Cabo 1kV 25mm² Hepr 90° Classe 5 Flexível Preto</t>
  </si>
  <si>
    <t>Cabo 1kV 25mm² Hepr 90° Classe 5 Flexível Verde</t>
  </si>
  <si>
    <t>Cabo 1kV 300mm² Hepr 90° Classe 5 Flexível Azul</t>
  </si>
  <si>
    <t>Cabo 1kV 300mm² Hepr 90° Classe 5 Flexível Preto</t>
  </si>
  <si>
    <t>Cabo 1kV 35mm² Hepr 90° Classe 5 Flexível Azul</t>
  </si>
  <si>
    <t>Cabo 1kV 35mm² Hepr 90° Classe 5 Flexível Preto</t>
  </si>
  <si>
    <t>Cabo 1kV 35mm² Hepr 90° Classe 5 Flexível Verde</t>
  </si>
  <si>
    <t>Cabo 1kV 50mm² Hepr 90° Classe 5 Flexível Azul</t>
  </si>
  <si>
    <t>Cabo 1kV 50mm² Hepr 90° Classe 5 Flexível Preto</t>
  </si>
  <si>
    <t>Cabo 1kV 50mm² Hepr 90° Classe 5 Flexível Verde</t>
  </si>
  <si>
    <t>Cabo 1kV 6mm² Hepr 90° Classe 4 Flexível Azul</t>
  </si>
  <si>
    <t>Cabo 1kV 6mm² Hepr 90° Classe 4 Flexível Preto</t>
  </si>
  <si>
    <t>Cabo 1kV 6mm² Hepr 90° Classe 4 Flexível Verde</t>
  </si>
  <si>
    <t>Cabo 1kV 70mm² Hepr 90° Classe 5 Flexível Azul</t>
  </si>
  <si>
    <t>Cabo 1kV 70mm² Hepr 90° Classe 5 Flexível Preto</t>
  </si>
  <si>
    <t>Cabo 1kV 70mm² Hepr 90° Classe 5 Flexível Verde</t>
  </si>
  <si>
    <t>Cabo 1kV 95mm² Hepr 90° Classe 5 Flexível Azul</t>
  </si>
  <si>
    <t>Cabo 1kV 95mm² Hepr 90° Classe 5 Flexível Preto</t>
  </si>
  <si>
    <t>Cabo 1kV 95mm² Hepr 90° Classe 5 Flexível Verde</t>
  </si>
  <si>
    <t>Cabo 1kV Flex 90º Hepr | 1,5mm² Azul</t>
  </si>
  <si>
    <t>Cabo 1kV Flex 90º Hepr | 1,5mm² Preto</t>
  </si>
  <si>
    <t>Cabo 1kV Flex 90º Hepr | 2,5mm² Azul</t>
  </si>
  <si>
    <t>Cabo 1kV Flex 90º Hepr | 2,5mm² Preto</t>
  </si>
  <si>
    <t>Cabo 1kV Flex 90º Hepr | 2,5mm² Verde</t>
  </si>
  <si>
    <t>Cabo 1kV Flexivel 4mm2 90G Hepr Azul</t>
  </si>
  <si>
    <t>Cabo 1kV Flexivel 4mm2 90G Hepr Preto</t>
  </si>
  <si>
    <t>Cabo 1kV Flexivel 4mm2 90G Hepr Verde</t>
  </si>
  <si>
    <t>Cabo de Cobre, Flexivel, Classe 4 ou 5, Isolacao em PVC/A, Antichama Bwf-B, Cobertura PVC-St1, Antichama Bwf-B, 1 Condutor, 0,6/1 kV, Secao Nominal 1,5 mm2</t>
  </si>
  <si>
    <t>Cabo de Cobre, Flexivel, Classe 4 ou 5, Isolacao em PVC/A, Antichama Bwf-B, Cobertura PVC-St1, Antichama Bwf-B, 1 Condutor, 0,6/1 kV, Secao Nominal 10 mm2</t>
  </si>
  <si>
    <t>Cabo de Cobre, Flexivel, Classe 4 ou 5, Isolacao em PVC/A, Antichama Bwf-B, Cobertura PVC-St1, Antichama Bwf-B, 1 Condutor, 0,6/1 kV, Secao Nominal 120 mm2</t>
  </si>
  <si>
    <t>Cabo de Cobre, Flexivel, Classe 4 ou 5, Isolacao em PVC/A, Antichama Bwf-B, Cobertura PVC-St1, Antichama Bwf-B, 1 Condutor, 0,6/1 kV, Secao Nominal 150 mm2</t>
  </si>
  <si>
    <t>Cabo de Cobre, Flexivel, Classe 4 ou 5, Isolacao em PVC/A, Antichama Bwf-B, Cobertura PVC-St1, Antichama Bwf-B, 1 Condutor, 0,6/1 kV, Secao Nominal 16 mm2</t>
  </si>
  <si>
    <t>Cabo de Cobre, Flexivel, Classe 4 ou 5, Isolacao em PVC/A, Antichama Bwf-B, Cobertura PVC-St1, Antichama Bwf-B, 1 Condutor, 0,6/1 kV, Secao Nominal 185 mm2</t>
  </si>
  <si>
    <t>Cabo de Cobre, Flexivel, Classe 4 ou 5, Isolacao em PVC/A, Antichama Bwf-B, Cobertura PVC-St1, Antichama Bwf-B, 1 Condutor, 0,6/1 kV, Secao Nominal 2,5 mm2</t>
  </si>
  <si>
    <t>Cabo de Cobre, Flexivel, Classe 4 ou 5, Isolacao em PVC/A, Antichama Bwf-B, Cobertura PVC-St1, Antichama Bwf-B, 1 Condutor, 0,6/1 kV, Secao Nominal 240 mm2</t>
  </si>
  <si>
    <t>Cabo de Cobre, Flexivel, Classe 4 ou 5, Isolacao em PVC/A, Antichama Bwf-B, Cobertura PVC-St1, Antichama Bwf-B, 1 Condutor, 0,6/1 kV, Secao Nominal 25 mm2</t>
  </si>
  <si>
    <t>Cabo de Cobre, Flexivel, Classe 4 ou 5, Isolacao em PVC/A, Antichama Bwf-B, Cobertura PVC-St1, Antichama Bwf-B, 1 Condutor, 0,6/1 kV, Secao Nominal 300 mm2</t>
  </si>
  <si>
    <t>Cabo de Cobre, Flexivel, Classe 4 ou 5, Isolacao em PVC/A, Antichama Bwf-B, Cobertura PVC-St1, Antichama Bwf-B, 1 Condutor, 0,6/1 kV, Secao Nominal 35 mm2</t>
  </si>
  <si>
    <t>Cabo de Cobre, Flexivel, Classe 4 ou 5, Isolacao em PVC/A, Antichama Bwf-B, Cobertura PVC-St1, Antichama Bwf-B, 1 Condutor, 0,6/1 kV, Secao Nominal 4 mm2</t>
  </si>
  <si>
    <t>Cabo de Cobre, Flexivel, Classe 4 ou 5, Isolacao em PVC/A, Antichama Bwf-B, Cobertura PVC-St1, Antichama Bwf-B, 1 Condutor, 0,6/1 kV, Secao Nominal 400 mm2</t>
  </si>
  <si>
    <t>Cabo de Cobre, Flexivel, Classe 4 ou 5, Isolacao em PVC/A, Antichama Bwf-B, Cobertura PVC-St1, Antichama Bwf-B, 1 Condutor, 0,6/1 kV, Secao Nominal 50 mm2</t>
  </si>
  <si>
    <t>Cabo de Cobre, Flexivel, Classe 4 ou 5, Isolacao em PVC/A, Antichama Bwf-B, Cobertura PVC-St1, Antichama Bwf-B, 1 Condutor, 0,6/1 kV, Secao Nominal 500 mm2</t>
  </si>
  <si>
    <t>Cabo de Cobre, Flexivel, Classe 4 ou 5, Isolacao em PVC/A, Antichama Bwf-B, Cobertura PVC-St1, Antichama Bwf-B, 1 Condutor, 0,6/1 kV, Secao Nominal 6 mm2</t>
  </si>
  <si>
    <t>Cabo de Cobre, Flexivel, Classe 4 ou 5, Isolacao em PVC/A, Antichama Bwf-B, Cobertura PVC-St1, Antichama Bwf-B, 1 Condutor, 0,6/1 kV, Secao Nominal 70 mm2</t>
  </si>
  <si>
    <t>Cabo de Cobre, Flexivel, Classe 4 ou 5, Isolacao em PVC/A, Antichama Bwf-B, Cobertura PVC-St1, Antichama Bwf-B, 1 Condutor, 0,6/1 kV, Secao Nominal 95 mm2</t>
  </si>
  <si>
    <t>Cabo Multipolar de Cobre, Flexivel, Classe 4 ou 5, Isolacao em Hepr, Cobertura em PVC-St2, Antichama Bwf-B, 0,6/1 kV, 3 Condutores de 1,5 mm2</t>
  </si>
  <si>
    <t>Cabo Multipolar de Cobre, Flexivel, Classe 4 ou 5, Isolacao em Hepr, Cobertura em PVC-St2, Antichama Bwf-B, 0,6/1 kV, 3 Condutores de 10 mm2</t>
  </si>
  <si>
    <t>Cabo Multipolar de Cobre, Flexivel, Classe 4 ou 5, Isolacao em Hepr, Cobertura em PVC-St2, Antichama Bwf-B, 0,6/1 kV, 3 Condutores de 120 mm2</t>
  </si>
  <si>
    <t>Cabo Multipolar de Cobre, Flexivel, Classe 4 ou 5, Isolacao em Hepr, Cobertura em PVC-St2, Antichama Bwf-B, 0,6/1 kV, 3 Condutores de 16 mm2</t>
  </si>
  <si>
    <t>Cabo Multipolar de Cobre, Flexivel, Classe 4 ou 5, Isolacao em Hepr, Cobertura em PVC-St2, Antichama Bwf-B, 0,6/1 kV, 3 Condutores de 2,5 mm2</t>
  </si>
  <si>
    <t>Cabo Multipolar de Cobre, Flexivel, Classe 4 ou 5, Isolacao em Hepr, Cobertura em PVC-St2, Antichama Bwf-B, 0,6/1 kV, 3 Condutores de 25 mm2</t>
  </si>
  <si>
    <t>Cabo Multipolar de Cobre, Flexivel, Classe 4 ou 5, Isolacao em Hepr, Cobertura em PVC-St2, Antichama Bwf-B, 0,6/1 kV, 3 Condutores de 35 mm2</t>
  </si>
  <si>
    <t>Cabo Multipolar de Cobre, Flexivel, Classe 4 ou 5, Isolacao em Hepr, Cobertura em PVC-St2, Antichama Bwf-B, 0,6/1 kV, 3 Condutores de 4 mm2</t>
  </si>
  <si>
    <t>Cabo Multipolar de Cobre, Flexivel, Classe 4 ou 5, Isolacao em Hepr, Cobertura em PVC-St2, Antichama Bwf-B, 0,6/1 kV, 3 Condutores de 50 mm2</t>
  </si>
  <si>
    <t>Cabo Multipolar de Cobre, Flexivel, Classe 4 ou 5, Isolacao em Hepr, Cobertura em PVC-St2, Antichama Bwf-B, 0,6/1 kV, 3 Condutores de 6 mm2</t>
  </si>
  <si>
    <t>Cabo Multipolar de Cobre, Flexivel, Classe 4 ou 5, Isolacao em Hepr, Cobertura em PVC-St2, Antichama Bwf-B, 0,6/1 kV, 3 Condutores de 70 mm2</t>
  </si>
  <si>
    <t>Cabo Multipolar de Cobre, Flexivel, Classe 4 ou 5, Isolacao em Hepr, Cobertura em PVC-St2, Antichama Bwf-B, 0,6/1 kV, 3 Condutores de 95 mm2</t>
  </si>
  <si>
    <t>Caixa de Passagem de Concreto 1,20X1,20X1,20m - 10cm Parede - Peso 2,600 kg</t>
  </si>
  <si>
    <t>Capacitor Trifasico, Potencia 2,5 kVAr, Tensao 220 V, Fornecido Com Capa Protetora, Resistor Interno a Unidade Capacitiva</t>
  </si>
  <si>
    <t>Capacitor Trifasico, Potencia 5 kVAr, Tensao 220 V, Fornecido Com Capa Protetora, Resistor Interno a Unidade Capacitiva</t>
  </si>
  <si>
    <t>Disjuntor Termomagnetico Ajustavel, Tripolar de 100 Ate 250A, Capacidade de Interrupcao de 35kA</t>
  </si>
  <si>
    <t>Disjuntor Termomagnetico Ajustavel, Tripolar de 300 Ate 400A, Capacidade de Interrupcao de 35kA</t>
  </si>
  <si>
    <t>Disjuntor Termomagnetico Ajustavel, Tripolar de 450 Ate 600A, Capacidade de Interrupcao de 35kA</t>
  </si>
  <si>
    <t>Disjuntor Termomagnetico Tripolar 125 A / 425 V / Icc - 25 kA</t>
  </si>
  <si>
    <t>Disjuntor Termomagnetico Tripolar 150 A / 600 V, Tipo Fxd / Icc - 35 kA</t>
  </si>
  <si>
    <t>Disjuntor Termomagnetico Tripolar 200 A / 600 V, Tipo Fxd / Icc - 35 kA</t>
  </si>
  <si>
    <t>Disjuntor Termomagnetico Tripolar 3 X 250 A/Icc - 25 kA</t>
  </si>
  <si>
    <t>Disjuntor Termomagnetico Tripolar 3 X 350 A/Icc - 25 kA</t>
  </si>
  <si>
    <t>Disjuntor Termomagnetico Tripolar 3 X 400 A / Icc - 25 kA</t>
  </si>
  <si>
    <t>Disjuntor Termomagnetico Tripolar 300 A / 600 V, Tipo Jxd / Icc - 40 kA</t>
  </si>
  <si>
    <t>Disjuntor Termomagnetico Tripolar 400 A / 600 V, Tipo Jxd / Icc - 40 kA</t>
  </si>
  <si>
    <t>Disjuntor Termomagnetico Tripolar 600 A / 600 V, Tipo Lxd / Icc - 40 kA</t>
  </si>
  <si>
    <t>Minidisjuntor Monofásico 10A - Curva C - 240/415Vca 50/60Hz - 4,5kA</t>
  </si>
  <si>
    <t>Minidisjuntor Monofásico 16A - Curva C - 240/415Vca 50/60Hz - 4,5kA</t>
  </si>
  <si>
    <t>Minidisjuntor Monofásico 40A - Curva C - 240/415Vca 50/60Hz - 4,5kA</t>
  </si>
  <si>
    <t>Minidisjuntor Trifásico 50A - Curva C - 415Vca - 50/60Hz - 10kA</t>
  </si>
  <si>
    <t>Minidisjuntor Trifásico 50A - Curva C - 415Vca - 50/60Hz - 3kA</t>
  </si>
  <si>
    <t>Minidisjuntor Trifásico 50A - Curva C - 415Vca - 50/60Hz - 4,5kA</t>
  </si>
  <si>
    <t>Dispositivo Dps Classe II, 1 Polo, Tensao Maxima de 175 V, Corrente Maxima de *20* kA (Tipo Ac)</t>
  </si>
  <si>
    <t>Dispositivo Dps Classe II, 1 Polo, Tensao Maxima de 175 V, Corrente Maxima de *30* kA (Tipo Ac)</t>
  </si>
  <si>
    <t>Dispositivo Dps Classe II, 1 Polo, Tensao Maxima de 175 V, Corrente Maxima de *45* kA (Tipo Ac)</t>
  </si>
  <si>
    <t>Dispositivo Dps Classe II, 1 Polo, Tensao Maxima de 175 V, Corrente Maxima de *90* kA (Tipo Ac)</t>
  </si>
  <si>
    <t>Dispositivo Dps Classe II, 1 Polo, Tensao Maxima de 275 V, Corrente Maxima de *20* kA (Tipo Ac)</t>
  </si>
  <si>
    <t>Dispositivo Dps Classe II, 1 Polo, Tensao Maxima de 275 V, Corrente Maxima de *30* kA (Tipo Ac)</t>
  </si>
  <si>
    <t>Dispositivo Dps Classe II, 1 Polo, Tensao Maxima de 275 V, Corrente Maxima de *45* kA (Tipo Ac)</t>
  </si>
  <si>
    <t>Dispositivo Dps Classe II, 1 Polo, Tensao Maxima de 275 V, Corrente Maxima de *90* kA (Tipo Ac)</t>
  </si>
  <si>
    <t>Dispositivo Dps Classe II, 1 Polo, Tensao Maxima de 385 V, Corrente Maxima de *20* kA (Tipo Ac)</t>
  </si>
  <si>
    <t>Dispositivo Dps Classe II, 1 Polo, Tensao Maxima de 385 V, Corrente Maxima de *30* kA (Tipo Ac)</t>
  </si>
  <si>
    <t>Dispositivo Dps Classe II, 1 Polo, Tensao Maxima de 385 V, Corrente Maxima de *45* kA (Tipo Ac)</t>
  </si>
  <si>
    <t>Dispositivo Dps Classe II, 1 Polo, Tensao Maxima de 385 V, Corrente Maxima de *90* kA (Tipo Ac)</t>
  </si>
  <si>
    <t>Dispositivo Dps Classe II, 1 Polo, Tensao Maxima de 460 V, Corrente Maxima de *20* kA (Tipo Ac)</t>
  </si>
  <si>
    <t>Dispositivo Dps Classe II, 1 Polo, Tensao Maxima de 460 V, Corrente Maxima de *30* kA (Tipo Ac)</t>
  </si>
  <si>
    <t>Dispositivo Dps Classe II, 1 Polo, Tensao Maxima de 460 V, Corrente Maxima de *45* kA (Tipo Ac)</t>
  </si>
  <si>
    <t>Dispositivo Dps Classe II, 1 Polo, Tensao Maxima de 460 V, Corrente Maxima de *90* kA (Tipo Ac)</t>
  </si>
  <si>
    <t>String Box CA / Quadro de Proteção CA - 275V 20kA 3P 50A Trifásico - Possui DPS Classe II, disjuntor bipolar e invólucro IP65</t>
  </si>
  <si>
    <t>String Box CA / Quadro de Proteção CA - 275V 20kA 2P 63A Bifásica - Possui DPS Classe II, disjuntor bipolar e invólucro IP65</t>
  </si>
  <si>
    <t>String Box CA / Quadro de Proteção CA - 275V 20kA 2P 25A Bifásica - Possui DPS Classe II, disjuntor bipolar e invólucro IP65</t>
  </si>
  <si>
    <t>String Box CA / Quadro de Proteção CA - 275V 20kA 2P 20A Bifásica - Possui DPS Classe II, disjuntor bipolar e invólucro IP65</t>
  </si>
  <si>
    <t>Fita Isolante de Borracha Autofusao, Uso Ate 69 kV (Alta Tensao), Largura de 19 mm</t>
  </si>
  <si>
    <t>Fita Metalica Perfurada, L = *18* mm, Rolo de 30 m, Carga Recomendada = *30* kgf</t>
  </si>
  <si>
    <t>Fita Metalica Perfurada, L = 17 mm, Rolo de 30 m, Carga Recomendada = *19* kgf</t>
  </si>
  <si>
    <t>Fita Metalica Perfurada, L = 25 mm, Rolo de 30 m, Carga Recomendada = *222,5* kgf</t>
  </si>
  <si>
    <t>Fusivel Diazed 20 a Tamanho DII, Capacidade de Interrupcao de 50 kA em Vca e 8 kA em Vcc, Tensao Nominal de 500 V</t>
  </si>
  <si>
    <t>Fusivel Diazed 35 a Tamanho DIII, Capacidade de Interrupcao de 50 kA em Vca e 8 kA em Vcc, Tensao Nominal de 500 V</t>
  </si>
  <si>
    <t>Fusivel Nh *36* a 80 Amperes, Tamanho 00, Capacidade de Interrupcao de 120 kA, Tensao Nominal de 500 V</t>
  </si>
  <si>
    <t>Fusivel Nh 100 a Tamanho 00, Capacidade de Interrupcao de 120 kA, Tensao Nominal de 500 V</t>
  </si>
  <si>
    <t>Fusivel Nh 125 a Tamanho 00, Capacidade de Interrupcao de 120 kA, Tensao Nominal de 500 V</t>
  </si>
  <si>
    <t>Fusivel Nh 160 a Tamanho 00, Capacidade de Interrupcao de 120 kA, Tensao Nominal de 500 V</t>
  </si>
  <si>
    <t>Fusivel Nh 20 a Tamanho 000, Capacidade de Interrupcao de 120 kA, Tensao Nominal de 500 V</t>
  </si>
  <si>
    <t>Fusivel Nh 200 a 250 Amperes, Tamanho 1, Capacidade de Interrupcao de 120 kA, Tensao Nominal de 500 V</t>
  </si>
  <si>
    <t>Lâmpada Led Bulbo 100W - 6500k (Iluminação Interna)</t>
  </si>
  <si>
    <t>Refletor 100W Led - Ip65 - 6500k (Iluminação Externa)</t>
  </si>
  <si>
    <t>Isolador de Porcelana Suspenso, Disco Tipo Garfo Olhal, Diametro de 152 mm, Para Tensao de *15* kV</t>
  </si>
  <si>
    <t>Isolador de Porcelana, Tipo Bucha, Para Tensao de *15* kV</t>
  </si>
  <si>
    <t>Isolador de Porcelana, Tipo Bucha, Para Tensao de *35* kV</t>
  </si>
  <si>
    <t>Isolador de Porcelana, Tipo Pino Monocorpo, Para Tensao de *15* kV</t>
  </si>
  <si>
    <t>Isolador de Porcelana, Tipo Pino Monocorpo, Para Tensao de *35* kV</t>
  </si>
  <si>
    <t>Nobreak Trifasico, de 10 kVa Fator de Potencia de 0,8, Autonomia Minima de 30 MiNUtos a Plena Carga</t>
  </si>
  <si>
    <t>Nobreak Trifasico, de 15 kVa Fator de Potencia de 0,8, Autonomia Minima de 30 MiNUtos a Plena Carga</t>
  </si>
  <si>
    <t>Nobreak Trifasico, de 20 kVa Fator de Potencia de 0,8, Autonomia Minima de 30 MiNUtos a Plena Carga</t>
  </si>
  <si>
    <t>Nobreak Trifasico, de 25 kVa Fator de Potencia de 0,8, Autonomia Minima de 30 MiNUtos a Plena Carga</t>
  </si>
  <si>
    <t>Nobreak Trifasico, de 5 kVa Fator de Potencia de 0,8, Autonomia Minima de 30 MiNUtos a Plena Carga</t>
  </si>
  <si>
    <t>Para-Raios de Distribuicao, Tensao Nominal 15 kV, Corrente Nominal de Descarga 5 kA</t>
  </si>
  <si>
    <t>Para-Raios de Distribuicao, Tensao Nominal 30 kV, Corrente Nominal de Descarga 10 kA</t>
  </si>
  <si>
    <t>Cabo Elétrico 12/20kV Constituído Por Condutor de Cobre Nú, 1X25mm², Classe 2 Rígido, Isolação Composto Termofixo de Borracha Epr 105ºc e Cobertura Composto de Cloreto de Polivinila PVC St2. Atende Aos Requisitos Da Norma 7286.</t>
  </si>
  <si>
    <t>Cabo Elétrico 12/20kV Constituído Por Condutor de Cobre Nú, 1X50mm², Classe 2 Rígido, Isolação Composto Termofixo de Borracha Epr 105ºc e Cobertura Composto de Cloreto de Polivinila PVC St2. Atende Aos Requisitos Da Norma 7286.</t>
  </si>
  <si>
    <t>Cabo Elétrico 12/20kV Constituído Por Condutor de Cobre Nú, 1X70mm², Classe 2 Rígido, Isolação Composto Termofixo de Borracha Epr 105ºc e Cobertura Composto de Cloreto de Polivinila PVC St2. Atende Aos Requisitos Da Norma 7286.</t>
  </si>
  <si>
    <t>Cabo Elétrico 20/35kV Constituído Por Condutor de Cobre Nú, 1X25mm², Classe 2 Rígido, Isolação Composto Termofixo de Borracha Epr 105ºc e Cobertura Composto de Cloreto de Polivinila PVC St2. Atende Aos Requisitos Da Norma 7286.</t>
  </si>
  <si>
    <t>Cabo Elétrico 20/35kV Constituído Por Condutor de Cobre Nú, 1X50mm², Classe 2 Rígido, Isolação Composto Termofixo de Borracha Epr 105ºc e Cobertura Composto de Cloreto de Polivinila PVC St2. Atende Aos Requisitos Da Norma 7286.</t>
  </si>
  <si>
    <t>Cabo Elétrico 20/35kV Constituído Por Condutor de Cobre Nú, 1X70mm², Classe 2 Rígido, Isolação Composto Termofixo de Borracha Epr 105ºc e Cobertura Composto de Cloreto de Polivinila PVC St2. Atende Aos Requisitos Da Norma 7286.</t>
  </si>
  <si>
    <t>Cabo Elétrico 8,7/15kV Constituído Por Condutor de Cobre Nú, 1X25mm², Classe 2 Rígido, Isolação Composto Termofixo de Borracha Epr 105ºc e Cobertura Composto de Cloreto de Polivinila PVC St2. Atende Aos Requisitos Da Norma 7286.</t>
  </si>
  <si>
    <t>Cabo Elétrico 8,7/15kV Constituído Por Condutor de Cobre Nú, 1X50mm², Classe 2 Rígido, Isolação Composto Termofixo de Borracha Epr 105ºc e Cobertura Composto de Cloreto de Polivinila PVC St2. Atende Aos Requisitos Da Norma 7286.</t>
  </si>
  <si>
    <t>Cabo Elétrico 8,7/15kV Constituído Por Condutor de Cobre Nú, 1X70mm², Classe 2 Rígido, Isolação Composto Termofixo de Borracha Epr 105ºc e Cobertura Composto de Cloreto de Polivinila PVC St2. Atende Aos Requisitos Da Norma 7286.</t>
  </si>
  <si>
    <t>Mufla Contrátil a Frio Com Corpo Extrudado em Silicone Para Cabos Com Isolação Polimérica em Xlpe, Para Tensão de 20/35 kV, Uso Externo, Seção Do Cabo 50mm², Nbi 110kV.</t>
  </si>
  <si>
    <t>Mufla Contrátil a Frio Com Corpo Extrudado em Silicone Para Cabos Com Isolação Polimérica em Xlpe, Para Tensão de 20/35 kV, Uso Interno, Seção Do Cabo 50mm², Nbi 110kV.</t>
  </si>
  <si>
    <t>Skid Solar Seco String 34,5kV - 1000kVA - 400V</t>
  </si>
  <si>
    <t>Skid Solar Seco String 34,5kV - 500kVA - 400V</t>
  </si>
  <si>
    <t>32-Ch 1U k Series Acusense 4k Nvr - Ds-7632Nxi-k2</t>
  </si>
  <si>
    <t>Inversor Potência Nominal 100kw, Tensão Ca 400V, Frequência 60Hz, Código:Se100k</t>
  </si>
  <si>
    <t>Abrigo Para Extintor 12 kg</t>
  </si>
  <si>
    <t>Abrigo Para Extintor 6 kg</t>
  </si>
  <si>
    <t>Extintor de Incendio Portatil Com Carga de Gas Carbonico Co2 de 4 kg, Classe Bc</t>
  </si>
  <si>
    <t>Extintor de Incendio Portatil Com Carga de Gas Carbonico Co2 de 6 kg, Classe Bc</t>
  </si>
  <si>
    <t>Extintor de Incendio Portatil Com Carga de Po Quimico Seco (Pqs) de 12 kg, Classe Bc</t>
  </si>
  <si>
    <t>Extintor de Incendio Portatil Com Carga de Po Quimico Seco (Pqs) de 4 kg, Classe Bc</t>
  </si>
  <si>
    <t>Extintor de Incendio Portatil Com Carga de Po Quimico Seco (Pqs) de 6 kg, Classe Bc</t>
  </si>
  <si>
    <t>Extintor de Incendio Portatil Com Carga de Po Quimico Seco (Pqs) de 8 kg, Classe Bc</t>
  </si>
  <si>
    <t>Protetor CT/Sobrec.Eletrica Para-Raios 280V 10kA Gancho/Fio Terra - DPS Classe II</t>
  </si>
  <si>
    <t>String Box CA / Quadro de Proteção CA - 275V 20kA 2P 50A Bifásica - Possui DPS Classe II, disjuntor bipolar e invólucro IP65</t>
  </si>
  <si>
    <t>DPS Classe III SAD+MOV - 127V 12kA (Imáx) 0,7kV (Up) - Fixação em trilho DIN 35 mm. Sinalização local e desligador térmico interno</t>
  </si>
  <si>
    <t>DPS Classe III SAD+MOV - 50V 12kA (Imáx) 0,33kV (Up) - Fixação em trilho DIN 35 mm. Sinalização local e desligador térmico interno</t>
  </si>
  <si>
    <t>DPS Front V+G Bipolar 1+1 Classe II MOV+GDT - 275V 20kA (Imáx) - Fixação em trilho DIN 35 mm. Sinalização local e remota (opcional) e desligador térmico interno</t>
  </si>
  <si>
    <t>DPS Front V+G Bipolar 1+1 Classe II MOV+GDT - 275V 45kA (Imáx) - Fixação em trilho DIN 35 mm. Sinalização local e remota (opcional) e desligador térmico interno</t>
  </si>
  <si>
    <t>DPS Front V Bipolar 2+0 Classe II com MOV - 175V 15kA (Imáx) 0,7kV (Up) - Fixação em trilho DIN 35 mm. Sinalização local e desligador térmico interno</t>
  </si>
  <si>
    <t>DPS Front V Bipolar 2+0 Classe II com MOV - 175V 20kA (Imáx) 0,8kV (Up) - Fixação em trilho DIN 35 mm. Sinalização local e desligador térmico interno</t>
  </si>
  <si>
    <t>DPS Front V Bipolar 2+0 Classe II com MOV - 175V 45kA (Imáx) 1,2kV (Up) - Fixação em trilho DIN 35 mm. Sinalização local e desligador térmico interno</t>
  </si>
  <si>
    <t>DPS Front V Bipolar 2+0 Classe II com MOV - 275V 12,5/60kA (Imáx) 1,5kV (Up) - Fixação em trilho DIN 35 mm. Sinalização local e desligador térmico interno</t>
  </si>
  <si>
    <t>DPS Front V Bipolar 2+0 Classe II com MOV - 275V 15kA (Imáx) 1,2kV (Up) - Fixação em trilho DIN 35 mm. Sinalização local e desligador térmico interno</t>
  </si>
  <si>
    <t>DPS Front V Bipolar 2+0 Classe II com MOV - 275V 20kA (Imáx) 1,2kV (Up) - Fixação em trilho DIN 35 mm. Sinalização local e desligador térmico interno</t>
  </si>
  <si>
    <t>DPS Front V Bipolar 2+0 Classe II MOV+GDT - 275V 45kA (Imáx) 1,5kV (Up) - Fixação em trilho DIN 35 mm. Sinalização local e desligador térmico interno</t>
  </si>
  <si>
    <t>DPS Solar Plugue 150V 20kA (Imáx)</t>
  </si>
  <si>
    <t>DPS Solar Plugue 150V 40kA (Imáx)</t>
  </si>
  <si>
    <t>DPS Solar Plugue 300V 40kA (Imáx)</t>
  </si>
  <si>
    <t>DPS Solar Plugue 600V 40kA (Imáx)</t>
  </si>
  <si>
    <t>DPS Front V Tetrapolar 4+0 Classe II com MOV - 275V 12,5/60kA (Imáx) 1,5kV (Up) - Fixação em trilho DIN 35 mm. Sinalização local e desligador térmico interno</t>
  </si>
  <si>
    <t>DPS Front V+G Tetrapolar 3+1 Classe II MOV+GDT - 275V 45kA (Imáx) - Fixação em trilho DIN 35 mm. Sinalização local e remota (opcional) e desligador térmico interno</t>
  </si>
  <si>
    <t>DPS Front V Tetrapolar 4+0 Classe II com MOV - 275V 15kA (Imáx) 1,2kV (Up) - Fixação em trilho DIN 35 mm. Sinalização local e desligador térmico interno</t>
  </si>
  <si>
    <t>DPS Front V Tetrapolar 4+0 Classe II com MOV - 275V 20kA (Imáx) 1,2kV (Up) - Fixação em trilho DIN 35 mm. Sinalização local e desligador térmico interno</t>
  </si>
  <si>
    <t>DPS Front V Tetrapolar 4+0 Classe II com MOV - 275V 45kA (Imáx) 1,2kV (Up) - Fixação em trilho DIN 35 mm. Sinalização local e desligador térmico interno</t>
  </si>
  <si>
    <t>DPS Front V Tetrapolar 4+0 Classe II com MOV - 275V 45kA (Imáx) 1,5kV (Up) - Fixação em trilho DIN 35 mm. Sinalização local e remota (opcional) e desligador térmico interno</t>
  </si>
  <si>
    <t>DPS Front V Tripolar 3+0 Classe II com MOV - 175V 12,5/60kA (Imáx) 1,4kV (Up) - Fixação em trilho DIN 35 mm. Sinalização local e desligador térmico interno</t>
  </si>
  <si>
    <t>DPS Front V Tripolar 3+0 Classe II com MOV - 175V 15kA (Imáx) 0,7kV (Up) - Fixação em trilho DIN 35 mm. Sinalização local e desligador térmico interno</t>
  </si>
  <si>
    <t>DPS Front V Tripolar 3+0 Classe II com MOV - 275V 15kA (Imáx) 1,2kV (Up) - Fixação em trilho DIN 35 mm. Sinalização local e desligador térmico interno</t>
  </si>
  <si>
    <t>15/01/2026</t>
  </si>
  <si>
    <t>Ryan ♥</t>
  </si>
  <si>
    <t>DPS Front V Tripolar 3+0 Classe II com MOV - 275V 20kA (Imáx) 1,25kV (Up) - Fixação em trilho DIN 35 mm. Sinalização local e desligador térmico interno</t>
  </si>
  <si>
    <t>DPS Front V Tripolar 3+0 Classe II com MOV - 275V 45kA (Imáx) 1,25kV (Up) - Fixação em trilho DIN 35 mm. Sinalização local e desligador térmico interno</t>
  </si>
  <si>
    <t>DPS Front V Tripolar 3+0 Classe II com MOV - 275V 45kA (Imáx) 1,5kV (Up) - Fixação em trilho DIN 35 mm. Sinalização local e remota (opcional) e desligador térmico interno</t>
  </si>
  <si>
    <t>DPS Front V Monopolar Classe II com MOV - 275V 12kA (Imáx) - Corrente Alternada - Fixação em trilho DIN 35 mm</t>
  </si>
  <si>
    <t>DPS Front V Monopolar Classe II com MOV - 175V 15kA (Imáx) - Fixação em trilho DIN 35 mm</t>
  </si>
  <si>
    <t>DPS Front V Monopolar Classe II com MOV - 175V 15kA (Imáx) - Fixação em trilho DIN 35 mm. Sinalização remota</t>
  </si>
  <si>
    <t>DPS Front V Monopolar Classe II com MOV - 275V 15kA (Imáx) - Fixação em trilho DIN 35 mm</t>
  </si>
  <si>
    <t>DPS Front V Monopolar Classe II com MOV - 275V 15kA (Imáx) - Fixação em trilho DIN 35 mm. Sinalização remota</t>
  </si>
  <si>
    <t>DPS Front V Monopolar Classe II com MOV - 175V 20kA (Imáx) - Fixação em trilho DIN 35 mm. Sinalização remota</t>
  </si>
  <si>
    <t>DPS Front V Monopolar Classe II com MOV - 275V 20kA (Imáx) - Fixação em trilho DIN 35 mm. Sinalização remota</t>
  </si>
  <si>
    <t>DPS Front V Monopolar Classe II com MOV - 175V 45kA (Imáx) - Fixação em trilho DIN 35 mm. Sinalização remota</t>
  </si>
  <si>
    <t>Módulo Fotovoltaico Bifacial DAH, Potência 620W</t>
  </si>
  <si>
    <t>DPS Front V Monopolar Classe II com MOV - 275V 45kA (Imáx) - Fixação em trilho DIN 35 mm. Sinalização remota</t>
  </si>
  <si>
    <t>DPS Front V Monopolar Classe II com MOV - 385V 45kA (Imáx) - Fixação em trilho DIN 35 mm. Sinalização remota</t>
  </si>
  <si>
    <t>DPS Front V Monopolar Classe II com MOV - 460V 45kA (Imáx) - Fixação em trilho DIN 35 mm. Sinalização remota</t>
  </si>
  <si>
    <t>DPS Front V Monopolar Classe II com MOV - 75V 45kA (Imáx) - Fixação em trilho DIN 35 mm. Sinalização remota</t>
  </si>
  <si>
    <t>DPS Front V Monopolar Classe II com MOV - 385V 15kA (Imáx) - Fixação em trilho DIN 35 mm</t>
  </si>
  <si>
    <t>DPS Front V Monopolar Classe II com MOV - 460V 15kA (Imáx) - Fixação em trilho DIN 35 mm</t>
  </si>
  <si>
    <t>DPS Front V Monopolar Classe II com MOV - 175V 20kA (Imáx) - Fixação em trilho DIN 35 mm</t>
  </si>
  <si>
    <t>DPS Front V Monopolar Classe II com MOV - 275V 20kA (Imáx) - Fixação em trilho DIN 35 mm</t>
  </si>
  <si>
    <t>DPS Front V Monopolar Classe II com MOV - 385V 20kA (Imáx) - Fixação em trilho DIN 35 mm</t>
  </si>
  <si>
    <t>DPS Front V Monopolar Classe II com MOV - 460V 20kA (Imáx) - Fixação em trilho DIN 35 mm</t>
  </si>
  <si>
    <t>DPS Front V Monopolar Classe II com MOV - 175V 45kA (Imáx) - Fixação em trilho DIN 35 mm</t>
  </si>
  <si>
    <t>DPS Front V Monopolar Classe II com MOV - 275V 45kA (Imáx) - Fixação em trilho DIN 35 mm</t>
  </si>
  <si>
    <t>DPS Front V Monopolar Classe II com MOV - 385V 45kA (Imáx) - Fixação em trilho DIN 35 mm</t>
  </si>
  <si>
    <t>DPS Front V Monopolar Classe II com MOV - 460V 45kA (Imáx) - Fixação em trilho DIN 35 mm</t>
  </si>
  <si>
    <t>DPS Front Monopolar Classe II com MOV - 175V 15kA (Imáx) 0,7kV (Up) - Corrente Alternada - Fixação em trilho DIN 35 mm</t>
  </si>
  <si>
    <t>DPS Front Monopolar Classe II com MOV - 385V 45kA (Imáx) 2,0kV (Up) - Corrente Alternada - Fixação em trilho DIN 35 mm</t>
  </si>
  <si>
    <t>DPS Front Plugue Monopolar Classe II com MOV - 460V 15kA (Imáx) - Fixação em trilho DIN 35 mm</t>
  </si>
  <si>
    <t>DPS Front Plugue Monopolar Classe II com MOV - 460V 45kA (Imáx) 2,0kV (Up) - Fixação em trilho DIN 35 mm</t>
  </si>
  <si>
    <t>DPS Front Plugue Monopolar Classe II com MOV - 275V 45kA (Imáx) - Fixação em trilho DIN 35 mm</t>
  </si>
  <si>
    <t>DPS Front Plugue Monopolar Classe II com MOV - 175V 45kA (Imáx) - Fixação em trilho DIN 35 mm</t>
  </si>
  <si>
    <t>DPS Front Plugue Monopolar Classe II com MOV - 175V 15kA (Imáx) - Fixação em trilho DIN 35 mm</t>
  </si>
  <si>
    <t>DPS Front Plugue Monopolar Classe II com MOV - 275V 15kA (Imáx) - Fixação em trilho DIN 35 mm</t>
  </si>
  <si>
    <t>DPS Front Plugue Monopolar Classe II com MOV - 385V 15kA (Imáx) - Fixação em trilho DIN 35 mm</t>
  </si>
  <si>
    <t>DPS Front Plugue Monopolar Classe II com MOV - 175V 20kA (Imáx) - Fixação em trilho DIN 35 mm</t>
  </si>
  <si>
    <t>DPS Front Plugue Monopolar Classe II com MOV - 385V 20kA (Imáx) - Fixação em trilho DIN 35 mm</t>
  </si>
  <si>
    <t>DPS Front Plugue Monopolar Classe II com MOV - 460V 20kA (Imáx) - Fixação em trilho DIN 35 mm</t>
  </si>
  <si>
    <t>DPS Front Plugue Monopolar Classe II com MOV - 275V 30kA (Imáx) - Fixação em trilho DIN 35 mm</t>
  </si>
  <si>
    <t>DPS Front Plugue Monopolar Classe II com MOV - 175V 12,5/60kA (Imáx) - Fixação em trilho DIN 35 mm</t>
  </si>
  <si>
    <t>DPS Front Plugue Monopolar Classe II com MOV - 275V 12,5/60kA (Imáx) - Fixação em trilho DIN 35 mm</t>
  </si>
  <si>
    <t>DPS Front Plugue Monopolar Classe II com MOV - 385V 12,5/60kA (Imáx) - Fixação em trilho DIN 35 mm</t>
  </si>
  <si>
    <t>DPS Front Plugue Monopolar Classe II com MOV - 460V 12,5/60kA (Imáx) - Fixação em trilho DIN 35 mm</t>
  </si>
  <si>
    <t>DPS Front V Monopolar Classe I/II com MOV - 175V 12,5/60kA (Imáx) - Fixação em trilho DIN 35 mm. Sinalização remota</t>
  </si>
  <si>
    <t>DPS Front V Monopolar Classe I/II com MOV - 275V 12,5/60kA (Imáx) - Fixação em trilho DIN 35 mm. Sinalização remota</t>
  </si>
  <si>
    <t>DPS Front V Monopolar Classe I/II com MOV - 385V 12,5/60kA (Imáx) - Fixação em trilho DIN 35 mm. Sinalização remota</t>
  </si>
  <si>
    <t>DPS Front V Monopolar Classe I/II com MOV - 460V 12,5/60kA (Imáx) - Fixação em trilho DIN 35 mm. Sinalização remota</t>
  </si>
  <si>
    <t>DPS SCL Monopolar Classe I - 275V 60kA (Imáx) 1,3kV (Up) - Fixação em trilho DIN 35 mm</t>
  </si>
  <si>
    <t>DPS SCL Monopolar Classe I - 460V 60kA (Imáx) 2,5kV (Up) - Fixação em trilho DIN 35 mm</t>
  </si>
  <si>
    <t>DPS GCL N/PE Monopolar Classe I - 275V 25kA (Imáx) 1,3kV (Up) - Fixação em trilho DIN 35 mm</t>
  </si>
  <si>
    <t>DPS GCL N/PE Monopolar Classe I - 250V 50kA (Imáx) 1,3kV (Up) - Fixação em trilho DIN 35 mm</t>
  </si>
  <si>
    <t>DPS DCL Slim Classe II com SAD - 275V 10kA (Imáx) - Fixação em trilho DIN 35 mm ou Garra (NEMA). Sinalização remota e desligador térmico interno</t>
  </si>
  <si>
    <t>DPS GCL N/PE Monopolar Classe I - 275V 100kA (Imáx) 1,3kV (Up) - Fixação em trilho DIN 35 mm</t>
  </si>
  <si>
    <t>String Box CA DUAL - 1000V 20/32A (Configurações 4E/4S e 2E/2S) - Possui DPS Classe II e invólucro IP65</t>
  </si>
  <si>
    <t>DPS Solar Tripolar Classe II com MOV - 150V 40kA (Imáx) 2,7kV (Up)</t>
  </si>
  <si>
    <t>DPS Solar Tripolar Classe II com MOV - 150V 40kA (Imáx) 1,0kV (Up)</t>
  </si>
  <si>
    <t>DPS Solar Tripolar Classe II com MOV - 300V 40kA (Imáx) 2,0kV (Up)</t>
  </si>
  <si>
    <t>DPS Solar Tripolar Classe II com MOV - 600V 40kA (Imáx) 2,7kV (Up)</t>
  </si>
  <si>
    <t>DPS Solar Tripolar Classe II com MOV - 1000V 40kA (Imáx) 3,5kV (Up)</t>
  </si>
  <si>
    <t>DPS Solar Tripolar Classe II com MOV - 1040V 40kA (Imáx) 3,5kV (Up)</t>
  </si>
  <si>
    <t>DPS Solar Plugue 1000V 40kA (Imáx) 18kA (In)</t>
  </si>
  <si>
    <t>DPS Solar Plugue 1040V 40kA (Imáx) 10kA (In)</t>
  </si>
  <si>
    <t>DPS Classe III SAD+MOV - 220V 12kA (Imáx) 1,0kV (Up) - Fixação em trilho DIN 35 mm. Sinalização local e desligador térmico interno</t>
  </si>
  <si>
    <t>DPS Classe III SAD+MOV - 20V 10kA (Imáx) 0,6kV (Up) - Fixação em trilho DIN 35 mm. Sinalização local e desligador térmico interno</t>
  </si>
  <si>
    <t>DPS Classe III SAD+MOV+GDT - 60V 12kA (Imáx) - Fixação em trilho DIN 35 mm. Sinalização local e desligador térmico interno</t>
  </si>
  <si>
    <t>DPS Multi Classe II MOV+GDT - 275V 12kA (Imáx) 1,5kV (Up), possui LED indicador e invólucro IP66</t>
  </si>
  <si>
    <t>DPS Light Classe II MOV+GDT - 275V 15kA (Imáx), possui LED indicador e invólucro IP66</t>
  </si>
  <si>
    <t>DPS Light Outdoor Classe II MOV+GDT - 275V 12kA (Imáx) 1,5kV (Up), possui LED indicador e invólucro IP66</t>
  </si>
  <si>
    <t>Suporte em Aco Galvanizado Para Transformador Para Poste Duplo T 185 X 95 mm, Chapa de 5/16"</t>
  </si>
  <si>
    <t>Caixa de Protecao Para Transformador Corrente, em Chapa de Aco 18 Usg (Padrao Da Concessionaria Local)</t>
  </si>
  <si>
    <t>Cinta Circular em Aco Galvanizado de 210 mm de Diametro Para Instalacao de Transformador em Poste de Concreto</t>
  </si>
  <si>
    <t>Transformador Trifasico de Distribuicao, Potencia de 1000 kVA, Tensao Nominal de 15 kV, Tensao Secundaria de 220/127V, em Oleo Isolante Tipo Mineral</t>
  </si>
  <si>
    <t>Transformador Trifasico de Distribuicao, Potencia de 112,5 kVA, Tensao Nominal de 15 kV, Tensao Secundaria de 220/127V, em Oleo Isolante Tipo Mineral</t>
  </si>
  <si>
    <t>Transformador Trifasico de Distribuicao, Potencia de 15 kVA, Tensao Nominal de 15 kV, Tensao Secundaria de 220/127V, em Oleo Isolante Tipo Mineral</t>
  </si>
  <si>
    <t>Transformador Trifasico de Distribuicao, Potencia de 150 kVA, Tensao Nominal de 15 kV, Tensao Secundaria de 220/127V, em Oleo Isolante Tipo Mineral</t>
  </si>
  <si>
    <t>Transformador Trifasico de Distribuicao, Potencia de 1500 kVA, Tensao Nominal de 15 kV, Tensao Secundaria de 220/127V, em Oleo Isolante Tipo Mineral</t>
  </si>
  <si>
    <t>Transformador Trifasico de Distribuicao, Potencia de 225 kVA, Tensao Nominal de 15 kV, Tensao Secundaria de 220/127V, em Oleo Isolante Tipo Mineral</t>
  </si>
  <si>
    <t>Transformador Trifasico de Distribuicao, Potencia de 30 kVA, Tensao Nominal de 15 kV, Tensao Secundaria de 220/127V, em Oleo Isolante Tipo Mineral</t>
  </si>
  <si>
    <t>Transformador Trifasico de Distribuicao, Potencia de 300 kVA, Tensao Nominal de 15 kV, Tensao Secundaria de 220/127V, em Oleo Isolante Tipo Mineral</t>
  </si>
  <si>
    <t>Transformador Trifasico de Distribuicao, Potencia de 45 kVA, Tensao Nominal de 15 kV, Tensao Secundaria de 220/127V, em Oleo Isolante Tipo Mineral</t>
  </si>
  <si>
    <t>Transformador Trifasico de Distribuicao, Potencia de 500 kVA, Tensao Nominal de 15 kV, Tensao Secundaria de 220/127V, em Oleo Isolante Tipo Mineral</t>
  </si>
  <si>
    <t>Transformador Trifasico de Distribuicao, Potencia de 75 kVA, Tensao Nominal de 15 kV, Tensao Secundaria de 220/127V, em Oleo Isolante Tipo Mineral</t>
  </si>
  <si>
    <t>Transformador Trifasico de Distribuicao, Potencia de 750 kVA, Tensao Nominal de 15 kV, Tensao Secundaria de 220/127V, em Oleo Isolante Tipo Mineral</t>
  </si>
  <si>
    <t>Aco Ca-25, 16,0 mm, Barra de Transferencia</t>
  </si>
  <si>
    <t>Aco Ca-25, 20,0 mm, Barra de Transferencia</t>
  </si>
  <si>
    <t>Aco Ca-25, 25,0 mm, Barra de Transferencia</t>
  </si>
  <si>
    <t>Aco Ca-25, 32,0 mm, Barra de Transferencia</t>
  </si>
  <si>
    <t>Para-Raios Tipo Franklin 350 mm, em Latao Cromado, Duas Descidas, Para Protecao de Edificacoes Contra Descargas Atmosfericas</t>
  </si>
  <si>
    <t>Mod.Mini Gbic a Sc 1.25 SFP Mono Sm 20km</t>
  </si>
  <si>
    <t>Mod.Mini Gbic B Sc 1.25 SFP Mono Sm 20km</t>
  </si>
  <si>
    <t>Switch Poe 4P G + 2SFP A/B 20km - Hoe3205P</t>
  </si>
  <si>
    <t>Switch Poe 8P G + 2SFP L2 - Hoe3220</t>
  </si>
  <si>
    <t>Parafuso Dry Wall, em Aco Fosfatizado, Cabeca Trombeta e Ponta Agulha (TA), Comprimento 25 mm</t>
  </si>
  <si>
    <t>Parafuso Dry Wall, em Aco Fosfatizado, Cabeca Trombeta e Ponta Agulha (TA), Comprimento 35 mm</t>
  </si>
  <si>
    <t>Parafuso Dry Wall, em Aco Fosfatizado, Cabeca Trombeta e Ponta Agulha (TA), Comprimento 45 mm</t>
  </si>
  <si>
    <t>Parafuso Dry Wall, em Aco Fosfatizado, Cabeca Trombeta e Ponta Broca (TB), Comprimento 25 mm</t>
  </si>
  <si>
    <t>Parafuso Dry Wall, em Aco Fosfatizado, Cabeca Trombeta e Ponta Broca (TB), Comprimento 35 mm</t>
  </si>
  <si>
    <t>Parafuso Dry Wall, em Aco Fosfatizado, Cabeca Trombeta e Ponta Broca (TB), Comprimento 45 mm</t>
  </si>
  <si>
    <t>16/01/2026</t>
  </si>
  <si>
    <t>GTDU2C-3/8"-IPS-4-2/0 - Intelli</t>
  </si>
  <si>
    <t>GTDU2C-3/8"-IPS-2/0-250 - Intelli</t>
  </si>
  <si>
    <t>GTDU2C-1/4"-IPS-4-2/0 - Intelli</t>
  </si>
  <si>
    <t>GTDU2C-3/8"-IPS-8-4 - Intelli</t>
  </si>
  <si>
    <t>GTDU2C-3/8"-IPS-300-500 - Intelli</t>
  </si>
  <si>
    <t>GTDU2C-1/2"-3/4"-IPS-4-2/0 - Intelli</t>
  </si>
  <si>
    <t>GTDU2C-1/2"-3/4"-IPS-2/0-250 - Intelli</t>
  </si>
  <si>
    <t>GTDU2C-1"-IPS-4-2/0 - Intelli</t>
  </si>
  <si>
    <t>GTDU2C-1"-IPS-2/0-250 - Intelli</t>
  </si>
  <si>
    <t>GTDU2C-1.1/2"-IPS-4-2/0 - Intelli</t>
  </si>
  <si>
    <t>GTDU2C-2"-IPS-4-2/0 - Intelli</t>
  </si>
  <si>
    <t>GTDU2C-2"-IPS-2/0-250 - Intelli</t>
  </si>
  <si>
    <t>GTDU2C-2.1/2"-IPS-2/0-250 - Intelli</t>
  </si>
  <si>
    <t>GTDU2C-3"-IPS-8-4 - Intelli</t>
  </si>
  <si>
    <t>GTDU2C-3"-IPS-2/0-250 - Intelli</t>
  </si>
  <si>
    <t>GTDU2C-4"-IPS-8-4 - Intelli</t>
  </si>
  <si>
    <t>Grampo Terra Duplo Com Parafuso em "U" (2 Condutores) - M10 Tubo Ips 1/4" - Condutor 16-70mm2 e 4-2/0 AWG/MCM</t>
  </si>
  <si>
    <t>Grampo Terra Duplo Com Parafuso em "U" (2 Condutores) - M10 Tubo Ips 3/8" - Condutor 10-25mm2 e 8-4 AWG/MCM</t>
  </si>
  <si>
    <t>Grampo Terra Duplo Com Parafuso em "U" (2 Condutores) - M10 Tubo Ips 3/8" - Condutor 150-240mm2 e 300-500 AWG/MCM</t>
  </si>
  <si>
    <t>Grampo Terra Duplo Com Parafuso em "U" (2 Condutores) - M10 Tubo Ips 1/2"-3/4" - Condutor 16-70mm2 e 4-2/0 AWG/MCM</t>
  </si>
  <si>
    <t>Grampo Terra Duplo Com Parafuso em "U" (2 Condutores) - M10 Tubo Ips 1/2"-3/4" - Condutor 70-120mm2 e 2/0-250 AWG/MCM</t>
  </si>
  <si>
    <t>Grampo Terra Duplo Com Parafuso em "U" (2 Condutores) - M10 Tubo Ips 1" - Condutor 16-70mm2 e 4-2/0 AWG/MCM</t>
  </si>
  <si>
    <t>Grampo Terra Duplo Com Parafuso em "U" (2 Condutores) - M10 Tubo Ips 1" - Condutor 70-120mm2 e 2/0-250 AWG/MCM</t>
  </si>
  <si>
    <t>Grampo Terra Duplo Com Parafuso em "U" (2 Condutores) - M10 Tubo Ips 1.1/2" - Condutor 16-70mm2 e 4-2/0 AWG/MCM</t>
  </si>
  <si>
    <t>Grampo Terra Duplo Com Parafuso em "U" (2 Condutores) - M10 Tubo Ips 2" - Condutor 16-70mm2 e 4-2/0 AWG/MCM</t>
  </si>
  <si>
    <t>Grampo Terra Duplo Com Parafuso em "U" (2 Condutores) - M10 Tubo Ips 2" - Condutor 70-120mm2 e 2/0-250 AWG/MCM</t>
  </si>
  <si>
    <t>Grampo Terra Duplo Com Parafuso em "U" (2 Condutores) - M10 Tubo Ips 2.1/2" - Condutor 70-120mm2 e 2/0-250 AWG/MCM</t>
  </si>
  <si>
    <t>Grampo Terra Duplo Com Parafuso em "U" (2 Condutores) - M10 Tubo Ips 3" - Condutor 10-25mm2 e 8-4 AWG/MCM</t>
  </si>
  <si>
    <t>Grampo Terra Duplo Com Parafuso em "U" (2 Condutores) - M10 Tubo Ips 3" - Condutor 70-120mm2 e 2/0-250 AWG/MCM</t>
  </si>
  <si>
    <t>Grampo Terra Duplo Com Parafuso em "U" (2 Condutores) - M10 Tubo Ips 4" - Condutor 10-25mm2 e 8-4 AWG/MCM</t>
  </si>
  <si>
    <t>Grampo Terra Duplo Com Parafuso em "U" (1 Condutor) - M10 Tubo Ips 1" - Condutor 10-25mm2 e 8-4 AWG/MCM</t>
  </si>
  <si>
    <t>Grampo Terra Duplo Com Parafuso em "U" (1 Condutor) - M10 Tubo Ips 1.1/2" - Condutor 10-25mm2 e 8-4 AWG/MCM</t>
  </si>
  <si>
    <t>Grampo Terra Duplo Com Parafuso em "U" (1 Condutor) - M10 Tubo Ips 1.1/2" - Condutor 70-120mm2 e 2/0-250 AWG/MCM</t>
  </si>
  <si>
    <t>Grampo Terra Duplo Com Parafuso em "U" (1 Condutor) - M10 Tubo Ips 1.1/4" - Condutor 70-120mm2 e 2/0-250 AWG/MCM</t>
  </si>
  <si>
    <t>Grampo Terra Duplo Com Parafuso em "U" (1 Condutor) - M10 Tubo Ips 1/2"-3/4" - Condutor 10-25mm2 e 8-4 AWG/MCM</t>
  </si>
  <si>
    <t>Grampo Terra Duplo Com Parafuso em "U" (1 Condutor) - M10 Tubo Ips 1/2"-3/4" - Condutor 150-240mm2 e 300-500 AWG/MCM</t>
  </si>
  <si>
    <t>Grampo Terra Duplo Com Parafuso em "U" (1 Condutor) - M10 Tubo Ips 1/4" - Condutor 10-25mm2 e 8-4 AWG/MCM</t>
  </si>
  <si>
    <t>Grampo Terra Duplo Com Parafuso em "U" (1 Condutor) - M10 Tubo Ips 1/4" - Condutor 16-70mm2 e 4-2/0 AWG/MCM</t>
  </si>
  <si>
    <t>Grampo Terra Duplo Com Parafuso em "U" (1 Condutor) - M10 Tubo Ips 2" - Condutor 10-25mm2 e 8-4 AWG/MCM</t>
  </si>
  <si>
    <t>Grampo Terra Duplo Com Parafuso em "U" (1 Condutor) - M10 Tubo Ips 2" - Condutor 16-70mm2 e 4-2/0 AWG/MCM</t>
  </si>
  <si>
    <t>Grampo Terra Duplo Com Parafuso em "U" (1 Condutor) - M10 Tubo Ips 2.1/2" - Condutor 10-25mm2 e 8-4 AWG/MCM</t>
  </si>
  <si>
    <t>Grampo Terra Duplo Com Parafuso em "U" (1 Condutor) - M10 Tubo Ips 2.1/2" - Condutor 16-70mm2 e 4-2/0 AWG/MCM</t>
  </si>
  <si>
    <t>Grampo Terra Duplo Com Parafuso em "U" (1 Condutor) - M10 Tubo Ips 3" - Condutor 10-25mm2 e 8-4 AWG/MCM</t>
  </si>
  <si>
    <t>Grampo Terra Duplo Com Parafuso em "U" (1 Condutor) - M10 Tubo Ips 3" - Condutor 16-70mm2 e 4-2/0 AWG/MCM</t>
  </si>
  <si>
    <t>Grampo Terra Duplo Com Parafuso em "U" (1 Condutor) - M10 Tubo Ips 3" - Condutor 70-120mm2 e 2/0-250 AWG/MCM</t>
  </si>
  <si>
    <t>Grampo Terra Duplo Com Parafuso em "U" (1 Condutor) - M10 Tubo Ips 3.1/2" - Condutor 16-70mm2 e 4-2/0 AWG/MCM</t>
  </si>
  <si>
    <t>Grampo Terra Duplo Com Parafuso em "U" (1 Condutor) - M10 Tubo Ips 3/8" - Condutor 150-240mm2 e 300-500 AWG/MCM</t>
  </si>
  <si>
    <t>Grampo Terra Duplo Com Parafuso em "U" (1 Condutor) - M10 Tubo Ips 4" - Condutor 10-25mm2 e 8-4 AWG/MCM</t>
  </si>
  <si>
    <t>Grampo Terra Duplo Com Parafuso em "U" (1 Condutor) - M10 Tubo Ips 4" - Condutor 16-70mm2 e 4-2/0 AWG/MCM</t>
  </si>
  <si>
    <t>Grampo Terra Duplo Com Parafuso em "U" (1 Condutor) - M12 Tubo Ips 1" - Condutor 150-240mm2 e 300-500 AWG/MCM</t>
  </si>
  <si>
    <t>Grampo Terra Duplo Com Parafuso em "U" (1 Condutor) - M12 Tubo Ips 2" - Condutor 150-240mm2 e 300-500 AWG/MCM</t>
  </si>
  <si>
    <t>Grampo Terra Duplo Com Parafuso em "U" (1 Condutor) - M12 Tubo Ips 2.1/2" - Condutor 150-240mm2 e 300-500 AWG/MCM</t>
  </si>
  <si>
    <t>Grampo Terra Duplo Com Parafuso em "U" (1 Condutor) - M12 Tubo Ips 4" - Condutor 70-120mm2 e 2/0-250 AWG/MCM</t>
  </si>
  <si>
    <t>Grampo Terra Duplo Com Parafuso em "U" (1 Condutor) de Aço Zincado - M10 Tubo Ips 3/8" - Condutor 10-25mm2 e 8-4 AWG/MCM</t>
  </si>
  <si>
    <t>Grampo Terra Duplo Com Parafuso em "U" (1 Condutor) de Aço Zincado - M10 Tubo Ips 3/8" - Condutor 16-70mm2 e 4-2/0 AWG/MCM</t>
  </si>
  <si>
    <t>Grampo Terra Duplo Com Parafuso em "U" (1 Condutor) de Aço Zincado - M10 Tubo Ips 3/8" - Condutor 70-120mm2 e 2/0-250 AWG/MCM</t>
  </si>
  <si>
    <t>Grampo Terra Duplo Com Parafuso em "U" (1 Condutor) de Liga de Cobre - M10 Tubo Ips 1" - Condutor 16-70mm2 e 4-2/0 AWG/MCM</t>
  </si>
  <si>
    <t>Grampo Terra Duplo Com Parafuso em "U" (1 Condutor) de Liga de Cobre - M10 Tubo Ips 1" - Condutor 70-120mm2 e 2/0-250 AWG/MCM</t>
  </si>
  <si>
    <t>Grampo Terra Duplo Com Parafuso em "U" (1 Condutor) de Liga de Cobre - M10 Tubo Ips 1.1/2" - Condutor 16-70mm2 e 4-2/0 AWG/MCM</t>
  </si>
  <si>
    <t>Grampo Terra Duplo Com Parafuso em "U" (1 Condutor) de Liga de Cobre - M10 Tubo Ips 1.1/2" - Condutor 70-120mm2 e 2/0-250 AWG/MCM</t>
  </si>
  <si>
    <t>Grampo Terra Duplo Com Parafuso em "U" (1 Condutor) de Liga de Cobre - M10 Tubo Ips 3/8" - Condutor 70-120mm2 e 2/0-250 AWG/MCM</t>
  </si>
  <si>
    <t>Grampo Terra Duplo Com Parafuso em "U" (1 Condutor) de Liga de Cobre - M10 Tubo Ips 1/2"-3/4" - Condutor 16-70mm2 e 4-2/0 AWG/MCM</t>
  </si>
  <si>
    <t>Grampo Terra Duplo Com Parafuso em "U" (1 Condutor) de Liga de Cobre - M10 Tubo Ips 1/2"-3/4" - Condutor 70-120mm2 e 2/0-250 AWG/MCM</t>
  </si>
  <si>
    <t>Grampo Terra Duplo Com Parafuso em "U" (1 Condutor) de Liga de Cobre - M10 Tubo Ips 2" - Condutor 16-70mm2 e 4-2/0 AWG/MCM</t>
  </si>
  <si>
    <t>Grampo Terra Duplo Com Parafuso em "U" (1 Condutor) de Liga de Cobre - M10 Tubo Ips 2" - Condutor 70-120mm2 e 2/0-250 AWG/MCM</t>
  </si>
  <si>
    <t>Grampo Terra Duplo Com Parafuso em "U" (1 Condutor) de Liga de Cobre - M10 Tubo Ips 2.1/2" - Condutor 70-120mm2 e 2/0-250 AWG/MCM</t>
  </si>
  <si>
    <t>Grampo Terra Duplo Com Parafuso em "U" (1 Condutor) de Liga de Cobre - M10 Tubo Ips 3/8" - Condutor 10-25mm2 e 8-4 AWG/MCM</t>
  </si>
  <si>
    <t>Grampo Terra Duplo Com Parafuso em "U" (1 Condutor) de Liga de Cobre - M10 Tubo Ips 3/8" - Condutor 16-70mm2 e 4-2/0 AWG/MCM</t>
  </si>
  <si>
    <t>Grampo Terra Duplo Com Parafuso em "U" (2 Condutores) de Liga de Cobre - M10 Tubo Ips 3/8" - Condutor 16-70mm2 e 4-2/0 AWG/MCM</t>
  </si>
  <si>
    <t>Grampo Terra Duplo Com Parafuso em "U" (2 Condutores) de Liga de Cobre - M10 Tubo Ips 3/8" - Condutor 70-120mm2 e 2/0-250 AWG/MCM</t>
  </si>
  <si>
    <t>Grampo Terra Duplo Com Parafuso em "U" (2 Condutores) de Aço Zincado - M10 Tubo Ips 3/8" - Condutor 16-70mm2 e 4-2/0 AWG/MCM</t>
  </si>
  <si>
    <t>Grampo Terra Duplo Com Parafuso em "U" (2 Condutores) de Aço Zincado - M10 Tubo Ips 3/8" - Condutor 70-120mm2 e 2/0-250 AWG/MCM</t>
  </si>
  <si>
    <t>GTDB-2C-8-4 - Intelli</t>
  </si>
  <si>
    <t>Grampo Terra Duplo em Bronze (2 Condutores) - M10 Condutor 10-25mm2 e 8-4 AWG/MCM</t>
  </si>
  <si>
    <t>Grampo Terra Duplo em Bronze (2 Condutores) - M10 Condutor 16-70mm2 e 4-2/0 AWG/MCM</t>
  </si>
  <si>
    <t>Grampo Terra Duplo em Bronze (2 Condutores) - M12 Condutor 70-120mm2 e 2/0-250 AWG/MCM</t>
  </si>
  <si>
    <t>Grampo Terra Duplo em Bronze (2 Condutores) - M12 Condutor 150-240mm2 e 300-500 AWG/MCM</t>
  </si>
  <si>
    <t>GTDB-2C-300-500 - Intelli</t>
  </si>
  <si>
    <t>GTDB-2C-2/0-250 - Intelli</t>
  </si>
  <si>
    <t>GTDB-2C-4-2/0 - Intelli</t>
  </si>
  <si>
    <t>Grampo Terra Duplo em Bronze (1 Condutor) - M10 Condutor 10-25mm2 e 8-4 AWG/MCM</t>
  </si>
  <si>
    <t>Grampo Terra Duplo em Bronze (1 Condutor) - M10 Condutor 16-70mm2 e 4-2/0 AWG/MCM</t>
  </si>
  <si>
    <t>Grampo Terra Duplo em Bronze (1 Condutor) - M12 Condutor 70-120mm2 e 2/0-250 AWG/MCM</t>
  </si>
  <si>
    <t>Grampo Terra Duplo em Bronze (1 Condutor) - M12 Condutor 150-240mm2 e 300-500 AWG/MCM</t>
  </si>
  <si>
    <t>GTDB-8-4 - Intelli</t>
  </si>
  <si>
    <t>GTDB-4-2/0 - Intelli</t>
  </si>
  <si>
    <t>GTDB-2/0-250 - Intelli</t>
  </si>
  <si>
    <t>GTDB-300-500 - Intelli</t>
  </si>
  <si>
    <t>GTSB-8-4 - Intelli</t>
  </si>
  <si>
    <t>GTSB-4-2/0 - Intelli</t>
  </si>
  <si>
    <t>GTSB-2/0-250 - Intelli</t>
  </si>
  <si>
    <t>GTSB-300-500 - Intelli</t>
  </si>
  <si>
    <t>Grampo Terra Simples em Bronze (1 Condutor) - M10 Condutor 10-25mm2 e 8-4 AWG/MCM</t>
  </si>
  <si>
    <t>Grampo Terra Simples em Bronze (1 Condutor) - M10 Condutor 16-70mm2 e 4-2/0 AWG/MCM</t>
  </si>
  <si>
    <t>Grampo Terra Simples em Bronze (1 Condutor) - M12 Condutor 70-120mm2 e 2/0-250 AWG/MCM</t>
  </si>
  <si>
    <t>Grampo Terra Simples em Bronze (1 Condutor) - M12 Condutor 150-240mm2 e 300-500 AWG/MCM</t>
  </si>
  <si>
    <t>GTSB2C-8-4 - Intelli</t>
  </si>
  <si>
    <t>GTSB2C-4-2/0 - Intelli</t>
  </si>
  <si>
    <t>GTSB2C-2/0-250 - Intelli</t>
  </si>
  <si>
    <t>Grampo Terra Simples em Bronze (2 Condutores) - M12 Condutor 70-120mm2 e 2/0-250 AWG/MCM</t>
  </si>
  <si>
    <t>Grampo Terra Simples em Bronze (2 Condutores) - M10 Condutor 16-70mm2 e 4-2/0 AWG/MCM</t>
  </si>
  <si>
    <t>Grampo Terra Simples em Bronze (2 Condutores) - M10 Condutor 10-25mm2 e 8-4 AWG/MCM</t>
  </si>
  <si>
    <t>Parafuso Dry Wall, em Aco Zincado, Cabeca Lentilha e Ponta Agulha (LA), Largura 4,2 mm, Comprimento 13 mm</t>
  </si>
  <si>
    <t>Parafuso Dry Wall, em Aco Zincado, Cabeca Lentilha e Ponta Broca (LB), Largura 4,2 mm, Comprimento 13 mm</t>
  </si>
  <si>
    <t>GPAE-15/16"-4 (SOB CONSULTA) - Intelli</t>
  </si>
  <si>
    <t>Grampo para Aterramento de Estai - M12 Cordoalha Ø12,7-23,1mm 1/2-15/16" Contrapeso 5,18mm e 4 AWG/MCM</t>
  </si>
  <si>
    <t>Grampo para Aterramento de Estai - M12 Cordoalha Ø25-38mm 1-1.1/2" Contrapeso 5,18mm e 4 AWG/MCM</t>
  </si>
  <si>
    <t>GPAE-1.1/2"-4 - Intelli</t>
  </si>
  <si>
    <t>CDP-70 - Intelli</t>
  </si>
  <si>
    <t>Conector Derivação Perfurante - Condutor Principal 10-95mm² 8-3/0AWG/MCM Derivação 1,5-10mm² 16-8AWG/MCM</t>
  </si>
  <si>
    <t>CDP-120-120 - Intelli</t>
  </si>
  <si>
    <t>Conector Derivação Perfurante - Condutor Principal 25-150mm² 4-300AWG/MCM Derivação 25-150mm² 4-300AWG/MCM</t>
  </si>
  <si>
    <t>CDP-150-35 - Intelli</t>
  </si>
  <si>
    <t>Conector Derivação Perfurante - Condutor Principal 10-150mm² 8-300AWG/MCM Derivação 4-35mm² 12-2AWG/MCM</t>
  </si>
  <si>
    <t>CDP-150-10 - Intelli</t>
  </si>
  <si>
    <t>Conector Derivação Perfurante - Condutor Principal 10-185mm² 8-336,4AWG/MCM Derivação 1,5-10mm² 16-8AWG/MCM</t>
  </si>
  <si>
    <t>CDP-240-240S - Intelli</t>
  </si>
  <si>
    <t>Conector Derivação Perfurante - Condutor Principal 50-240mm² 1/0-477AWG/MCM Derivação 50-240mm² 1/0-477AWG/MCM</t>
  </si>
  <si>
    <t>CDP-240-240 - Intelli</t>
  </si>
  <si>
    <t>Conector Derivação Perfurante - Condutor Principal 70-240mm² 2/0-477AWG/MCM Derivação 70-240mm² 2/0-477AWG/MCM</t>
  </si>
  <si>
    <t>CDP-6 - Intelli</t>
  </si>
  <si>
    <t>Conector Derivação Perfurante - Condutor Principal 10-120mm² 8-4/0AWG/MCM Derivação 1,5-6mm² 16-10AWG/MCM</t>
  </si>
  <si>
    <t>CDP-16-120 - Intelli</t>
  </si>
  <si>
    <t>Conector Derivação Perfurante - Condutor Principal 16-120mm² 6-4/0AWG/MCM Derivação 16-120mm² 6-4/0AWG/MCM</t>
  </si>
  <si>
    <t>GLV-68-R - Intelli</t>
  </si>
  <si>
    <t>Grampo de Linha-Viva em Bronze - Condutor Principal 16-120mm² 6-250AWG/MCM Derivação FIO 10-70mm² FIO 8-2/0AWG/MCM</t>
  </si>
  <si>
    <t>GLV-68A - Intelli</t>
  </si>
  <si>
    <t>Grampo de Linha-Viva em Liga de Alumínio - Condutor Principal 16-120mm² 6-250AWG/MCM Derivação FIO 10-70mm² FIO 8-2/0AWG/MCM</t>
  </si>
  <si>
    <t>GLV-68 - Intelli</t>
  </si>
  <si>
    <t>Grampo de Linha-Viva em Latão - Condutor Principal 16-120mm² 6-250AWG/MCM Derivação FIO 10-70mm² FIO 8-2/0AWG/MCM</t>
  </si>
  <si>
    <t>ACH-35 - Intelli</t>
  </si>
  <si>
    <t>ACB-35 - Intelli</t>
  </si>
  <si>
    <t>ACB-38-E - Intelli</t>
  </si>
  <si>
    <t>ACB-44 - Intelli</t>
  </si>
  <si>
    <t>ACB-60 (PADRÃO CEMIG/CPFL) - Intelli</t>
  </si>
  <si>
    <t>Estribos Tipo ACH para conectores - Seção 35mm² 2AWG/MCM</t>
  </si>
  <si>
    <t>Estribos Tipo ACB para conectores - Seção 120mm² 4/0AWG/MCM</t>
  </si>
  <si>
    <t>Estribos Tipo ACB para conectores - Seção 50mm² 1/0AWG/MCM</t>
  </si>
  <si>
    <t>Estribos Tipo ACB-E para conectores - Seção 35mm² 2AWG/MCM</t>
  </si>
  <si>
    <t>Estribos Tipo ACB para conectores - Seção 35mm² 2AWG/MCM</t>
  </si>
  <si>
    <t>CAEN-103 - Intelli</t>
  </si>
  <si>
    <t>19/01/2026</t>
  </si>
  <si>
    <t>PFR-16 - Intelli</t>
  </si>
  <si>
    <t>Conector Parafuso Fendido com Rabicho - Área Condutor 6mm² (mín) e 16mm² (máx)</t>
  </si>
  <si>
    <t>PFR-70 - Intelli</t>
  </si>
  <si>
    <t>Conector Parafuso Fendido com Rabicho - Área Condutor 10mm² (mín) e 70mm² (máx)</t>
  </si>
  <si>
    <t>Conector Parafuso Fendido com Rabicho - Área Condutor 6mm² (mín) e 35mm² (máx)</t>
  </si>
  <si>
    <t>Conector Parafuso Fendido com Sapata 90º - 1 Condutor 35mm² (mín) e 70mm² (máx) | 2 Condutores 16-16mm² (mín) e 70-70mm² (máx)</t>
  </si>
  <si>
    <t>PFS-70-90 - Intelli</t>
  </si>
  <si>
    <t>PFR-35 - Intelli</t>
  </si>
  <si>
    <t>PFRS-35 - Intelli</t>
  </si>
  <si>
    <t>Conector Parafuso Fendido com Rosca Soberba - Área Condutor 6mm² (mín) e 35mm² (máx)</t>
  </si>
  <si>
    <t>CAH-120-120 - Intelli</t>
  </si>
  <si>
    <t>Conector de Alumínio à Compressão (tipo "H") - Condutor Principal CA/CU 1/0-4/0 AWG | 50-120mm² Derivação CA/CU 1/0-4/0 AWG | 50-120mm²</t>
  </si>
  <si>
    <t>CAH-120-70 - Intelli</t>
  </si>
  <si>
    <t>Conector de Alumínio à Compressão (tipo "H") - Condutor Principal CA/CU 1/0-4/0 AWG | 50-120mm² Derivação CA/CU 1/0-3/0 AWG | 50-70mm²</t>
  </si>
  <si>
    <t>CAH-240-240 - Intelli</t>
  </si>
  <si>
    <t>Conector de Alumínio à Compressão (tipo "H") - Condutor Principal CA/CU 4/0-500 AWG | 120-240mm² Derivação CA/CU 4/0-500 AWG | 120-240mm²</t>
  </si>
  <si>
    <t>PFB-16 - Intelli</t>
  </si>
  <si>
    <t>Conector Parafuso Fendido Bimetálico - Condutor Principal 16mm² Derivação 2,5-16mm²</t>
  </si>
  <si>
    <t>PFB-95 - Intelli</t>
  </si>
  <si>
    <t>Conector Parafuso Fendido Bimetálico - Condutor Principal 95mm² Derivação 10-95mm²</t>
  </si>
  <si>
    <t>PFB-150 - Intelli</t>
  </si>
  <si>
    <t>Conector Parafuso Fendido Bimetálico - Condutor Principal 150mm² Derivação 16-150mm²</t>
  </si>
  <si>
    <t>PFB-70 - Intelli</t>
  </si>
  <si>
    <t>Conector Parafuso Fendido Bimetálico - Condutor Principal 70mm² Derivação 10-70mm²</t>
  </si>
  <si>
    <t>PFS-35R - Intelli</t>
  </si>
  <si>
    <t>Conector Parafuso Fendido com Sapata (Bronze) - 1 Condutor 16mm² (mín) e 35mm² (máx) | 2 Condutores 16-6mm² (mín) e 35-35mm² (máx)</t>
  </si>
  <si>
    <t>PFB-35 - Intelli</t>
  </si>
  <si>
    <t>Conector Parafuso Fendido Bimetálico - Condutor Principal 35mm² Derivação 4-35mm²</t>
  </si>
  <si>
    <t>Conector Parafuso Fendido com Rabicho (Bronze) - Área Condutor 10mm² (mín) e 70mm² (máx)</t>
  </si>
  <si>
    <t>PFR-70R - Intelli</t>
  </si>
  <si>
    <t>21/01/2026</t>
  </si>
  <si>
    <t>CAL-38-38 - Intelli</t>
  </si>
  <si>
    <t>Conector de Alumínio à Compressão - Condutor Principal CA 2 CAA 4-2 AWG | 50-120mm² Derivação CA 6-2 CAA 6-2 AWG | 50-120mm²</t>
  </si>
  <si>
    <t>CAH-70-35 - Intelli</t>
  </si>
  <si>
    <t>Conector de Alumínio à Compressão (tipo "H") - Condutor Principal CA/CU 3-2/0 AWG | 25-70mm² Derivação CA/CU 6-1 AWG | 16-35mm²</t>
  </si>
  <si>
    <t>GPAL-60-2 - Intelli</t>
  </si>
  <si>
    <t>Grampo Paralelo de Alumínio (2 Parafusos) - Condutor Principal 9,36-14,31mm² Derivação 3,26-10,11mm²</t>
  </si>
  <si>
    <t>GPAL-60-1 - Intelli</t>
  </si>
  <si>
    <t>Grampo Paralelo de Alumínio (1 Parafuso) - Condutor Principal 9,36-14,31mm² Derivação 3,26-10,11mm²</t>
  </si>
  <si>
    <t>GPAL-80-P3 - Intelli</t>
  </si>
  <si>
    <t>Grampo Paralelo de Alumínio (3 Parafusos) - Condutor Principal 9,36-20,44mm² Derivação 9,36-20,44mm²</t>
  </si>
  <si>
    <t>GPAL-80-P1 - Intelli</t>
  </si>
  <si>
    <t>Grampo Paralelo de Alumínio (1 Parafuso) - Condutor Principal 9,36-20,44mm² Derivação 9,36-20,44mm²</t>
  </si>
  <si>
    <t>CAH-35-35 - Intelli</t>
  </si>
  <si>
    <t>Conector de Alumínio à Compressão (tipo "H") - Condutor Principal CA/CU 6-1 AWG | 16-35mm² Derivação CA/CU 6-1 AWG | 16-35mm²</t>
  </si>
  <si>
    <t>GPAL-44-2 - Intelli</t>
  </si>
  <si>
    <t>Grampo Paralelo de Alumínio (2 Parafusos) - Condutor Principal 2,59-10,60mm² Derivação 2,59-10,60mm²</t>
  </si>
  <si>
    <t>CADC-104 - Intelli</t>
  </si>
  <si>
    <t>Conector Tipo Cunha de Alumínio - Soma dos Condutores 8,41mm (Mín) 11,81mm (Máx)</t>
  </si>
  <si>
    <t>CDCR-VII-VMB - Intelli</t>
  </si>
  <si>
    <t>Conector de Derivação tipo Cunha Simétrico Tipo VII - Soma dos Condutores 14,02mm (Mín) 16,78mm (Máx)</t>
  </si>
  <si>
    <t>CADC-105 - Intelli</t>
  </si>
  <si>
    <t>Conector Tipo Cunha de Alumínio - Soma dos Condutores 10,41mm (Mín) 13,46mm (Máx)</t>
  </si>
  <si>
    <t>CADC-103 - Intelli</t>
  </si>
  <si>
    <t>Conector Tipo Cunha de Alumínio - Soma dos Condutores 13,08mm (Mín) 16,66mm (Máx)</t>
  </si>
  <si>
    <t>22/01/2026</t>
  </si>
  <si>
    <t>GPAL-44-1 - Intelli</t>
  </si>
  <si>
    <t>Grampo Paralelo de Alumínio (1 Parafuso) - Condutor Principal 2,59-10,60mm² Derivação 2,59-10,60mm²</t>
  </si>
  <si>
    <t>Conector Tipo Cunha de Alumínio com Estribo (modelo normal) - Condutor CA/CAA 4-2AWG/MCM Estribo 2AWG</t>
  </si>
  <si>
    <t>CDC-D-BR - Intelli</t>
  </si>
  <si>
    <t>Conector Derivação Tipo Cunha Assimétrico Tipo D - Soma dos Condutores 14,75mm (Mín) 17,00mm (Máx)</t>
  </si>
  <si>
    <t>CADC-211 - Intelli</t>
  </si>
  <si>
    <t>Conector Tipo Cunha de Alumínio - Soma dos Condutores 24,86mm (Mín) 28,70mm (Máx)</t>
  </si>
  <si>
    <t>CADC-208 - Intelli</t>
  </si>
  <si>
    <t>Conector Tipo Cunha de Alumínio - Soma dos Condutores 20,67mm (Mín) 25,66mm (Máx)</t>
  </si>
  <si>
    <t>CDCR-I-CI - Intelli</t>
  </si>
  <si>
    <t>CDCR-III-VM - Intelli</t>
  </si>
  <si>
    <t>CDCR-VIII-VDB - Intelli</t>
  </si>
  <si>
    <t>Conector de Derivação tipo Cunha Simétrico Tipo I - Soma dos Condutores 11,19mm (Mín) 14,01mm (Máx)</t>
  </si>
  <si>
    <t>Conector de Derivação tipo Cunha Simétrico Tipo III - Soma dos Condutores 7,68mm (Mín) 9,50mm (Máx)</t>
  </si>
  <si>
    <t>Conector de Derivação tipo Cunha Simétrico Tipo VIII - Soma dos Condutores 18,73mm (Mín) 20,22mm (Máx)</t>
  </si>
  <si>
    <t>CAEN-105 - Intelli</t>
  </si>
  <si>
    <t>Conector Tipo Cunha de Alumínio com Estribo (modelo normal) - Condutor CA/CAA 8-6AWG/MCM Estribo 2AWG</t>
  </si>
  <si>
    <t>CDC-A-VI - Intelli</t>
  </si>
  <si>
    <t>CDC-C-MA - Intelli</t>
  </si>
  <si>
    <t>CDC-L-CIAZ - Intelli</t>
  </si>
  <si>
    <t>Conector Derivação Tipo Cunha Assimétrico Tipo A - Soma dos Condutores 9,10mm (Mín) 10,95mm (Máx)</t>
  </si>
  <si>
    <t>Conector Derivação Tipo Cunha Assimétrico Tipo C - Soma dos Condutores 13,11mm (Mín) 14,75mm (Máx)</t>
  </si>
  <si>
    <t>Conector Derivação Tipo Cunha Assimétrico Tipo L - Soma dos Condutores 16,43mm (Mín) 19,45mm (Máx)</t>
  </si>
  <si>
    <t>Revisão</t>
  </si>
  <si>
    <t>Data</t>
  </si>
  <si>
    <t>Descrição da Alteração</t>
  </si>
  <si>
    <t>Solicitante</t>
  </si>
  <si>
    <t>Responsável</t>
  </si>
  <si>
    <t>Impacto Técnico</t>
  </si>
  <si>
    <t>Status</t>
  </si>
  <si>
    <t>Aprovador</t>
  </si>
  <si>
    <t>Fabiano</t>
  </si>
  <si>
    <t>Anal Julia</t>
  </si>
  <si>
    <t>Pamela</t>
  </si>
  <si>
    <t>Lucas</t>
  </si>
  <si>
    <t>Baixo</t>
  </si>
  <si>
    <t>Lista de Responsável</t>
  </si>
  <si>
    <t>Versão</t>
  </si>
  <si>
    <t>Em análise</t>
  </si>
  <si>
    <t>Emissão inicial do Documento</t>
  </si>
  <si>
    <t>ID</t>
  </si>
  <si>
    <t>Aba/Planilha</t>
  </si>
  <si>
    <t>Descrição</t>
  </si>
  <si>
    <t>Tipo</t>
  </si>
  <si>
    <t>Prioridade</t>
  </si>
  <si>
    <t>Data Fechamento</t>
  </si>
  <si>
    <t>SM-001</t>
  </si>
  <si>
    <t>SM-002</t>
  </si>
  <si>
    <t>SM-003</t>
  </si>
  <si>
    <t>SM-004</t>
  </si>
  <si>
    <t>SM-005</t>
  </si>
  <si>
    <t>SM-006</t>
  </si>
  <si>
    <t>SM-007</t>
  </si>
  <si>
    <t>SM-008</t>
  </si>
  <si>
    <t>SM-009</t>
  </si>
  <si>
    <t>SM-010</t>
  </si>
  <si>
    <t>SM-011</t>
  </si>
  <si>
    <t>SM-012</t>
  </si>
  <si>
    <t>SM-013</t>
  </si>
  <si>
    <t>SM-014</t>
  </si>
  <si>
    <t>SM-015</t>
  </si>
  <si>
    <t>SM-016</t>
  </si>
  <si>
    <t>SM-017</t>
  </si>
  <si>
    <t>SM-018</t>
  </si>
  <si>
    <t>SM-019</t>
  </si>
  <si>
    <t>SM-020</t>
  </si>
  <si>
    <t>SM-021</t>
  </si>
  <si>
    <t>SM-022</t>
  </si>
  <si>
    <t>SM-023</t>
  </si>
  <si>
    <t>SM-024</t>
  </si>
  <si>
    <t>SM-025</t>
  </si>
  <si>
    <t>SM-026</t>
  </si>
  <si>
    <t>SM-027</t>
  </si>
  <si>
    <t>SM-028</t>
  </si>
  <si>
    <t>SM-029</t>
  </si>
  <si>
    <t>Junção "I" 38X76mm</t>
  </si>
  <si>
    <t>Junção "L" 38X76mm</t>
  </si>
  <si>
    <t>Junção "T" 38X76mm</t>
  </si>
  <si>
    <t>Cabo de Alumínio Multiplexado 0,6/1kV - XLPE 90°C Duplex - 16mm²</t>
  </si>
  <si>
    <t>06/02/2026</t>
  </si>
  <si>
    <t>https://www.dimensional.com.br/cabo-aluminio-mult-2x16-16mm1388034/p</t>
  </si>
  <si>
    <t>Cabo de Alumínio Multiplexado 0,6/1kV - XLPE 90°C Duplex - 25mm²</t>
  </si>
  <si>
    <t>https://www.dimensional.com.br/cabo-aluminio-mult-2x25-25mm1388035/p</t>
  </si>
  <si>
    <t>Cabo de Alumínio Multiplexado 0,6/1kV - XLPE 90°C Triplex - 16mm²</t>
  </si>
  <si>
    <t>https://www.dimensional.com.br/cabo-aluminio-mult-3x35-35mm1388038/p</t>
  </si>
  <si>
    <t>Cabo de Alumínio Multiplexado 0,6/1kV - XLPE 90°C Triplex - 35mm²</t>
  </si>
  <si>
    <t>m.</t>
  </si>
  <si>
    <t>tabela geral</t>
  </si>
  <si>
    <t>Usar a formatação condicional para pintar automaticamente as linhas impares</t>
  </si>
  <si>
    <t>Melhoria</t>
  </si>
  <si>
    <t>Proposta</t>
  </si>
  <si>
    <t>Melhorar a formula de numeração do item</t>
  </si>
  <si>
    <t>Usar a formatação condicional para pintar automaticamente itens repitidos</t>
  </si>
  <si>
    <t>Capa-LM</t>
  </si>
  <si>
    <t>Incluir status de "não aplicavel" nas listas que não há itens</t>
  </si>
  <si>
    <t>Todas as tabelas</t>
  </si>
  <si>
    <t>Aprovado</t>
  </si>
  <si>
    <t>Tabela Mãe</t>
  </si>
  <si>
    <t>Criar uma rotina para verificar itens novos</t>
  </si>
  <si>
    <t>Médio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</si>
</sst>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&quot;R$&quot;\ #,##0.00"/>
    <numFmt numFmtId="165" formatCode="0\ \k\W\p"/>
    <numFmt numFmtId="166" formatCode="0\ \k\W"/>
  </numFmts>
  <fonts count="1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20"/>
      <color theme="0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rgb="FF00B0F0"/>
      <name val="Aptos Narrow"/>
      <family val="2"/>
      <scheme val="minor"/>
    </font>
    <font>
      <sz val="11"/>
      <color rgb="FF000000"/>
      <name val="Aptos Narrow"/>
      <family val="2"/>
    </font>
    <font>
      <b/>
      <sz val="14"/>
      <color rgb="FFFFC000"/>
      <name val="Aptos Narrow"/>
      <family val="2"/>
      <scheme val="minor"/>
    </font>
    <font>
      <b/>
      <sz val="14"/>
      <color theme="6"/>
      <name val="Aptos Narrow"/>
      <family val="2"/>
      <scheme val="minor"/>
    </font>
    <font>
      <b/>
      <sz val="14"/>
      <color theme="5"/>
      <name val="Aptos Narrow"/>
      <family val="2"/>
      <scheme val="minor"/>
    </font>
    <font>
      <b/>
      <sz val="14"/>
      <color rgb="FFC00000"/>
      <name val="Aptos Narrow"/>
      <family val="2"/>
      <scheme val="minor"/>
    </font>
    <font>
      <b/>
      <sz val="14"/>
      <color rgb="FF7030A0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"/>
      <family val="2"/>
    </font>
  </fonts>
  <fills count="1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179">
    <xf numFmtId="0" fontId="0" fillId="0" borderId="0" xfId="0"/>
    <xf numFmtId="0" fontId="1" fillId="0" borderId="7" xfId="0" applyFont="1" applyBorder="1"/>
    <xf numFmtId="0" fontId="1" fillId="0" borderId="9" xfId="0" applyFont="1" applyBorder="1"/>
    <xf numFmtId="0" fontId="1" fillId="0" borderId="13" xfId="0" applyFont="1" applyBorder="1"/>
    <xf numFmtId="0" fontId="1" fillId="0" borderId="8" xfId="0" applyFont="1" applyBorder="1"/>
    <xf numFmtId="0" fontId="0" fillId="0" borderId="12" xfId="0" applyBorder="1" applyAlignment="1">
      <alignment horizontal="left"/>
    </xf>
    <xf numFmtId="0" fontId="1" fillId="0" borderId="1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/>
    </xf>
    <xf numFmtId="0" fontId="0" fillId="0" borderId="14" xfId="0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0" fillId="0" borderId="13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1" fillId="0" borderId="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2" xfId="0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0" fontId="0" fillId="4" borderId="0" xfId="0" applyFill="1"/>
    <xf numFmtId="0" fontId="0" fillId="5" borderId="0" xfId="0" applyFill="1"/>
    <xf numFmtId="0" fontId="4" fillId="4" borderId="0" xfId="0" applyFont="1" applyFill="1" applyAlignment="1">
      <alignment vertical="center"/>
    </xf>
    <xf numFmtId="0" fontId="0" fillId="6" borderId="0" xfId="0" applyFill="1"/>
    <xf numFmtId="0" fontId="3" fillId="2" borderId="1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4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164" fontId="0" fillId="10" borderId="16" xfId="0" applyNumberFormat="1" applyFill="1" applyBorder="1" applyAlignment="1">
      <alignment horizontal="center" vertical="center"/>
    </xf>
    <xf numFmtId="10" fontId="0" fillId="10" borderId="17" xfId="0" applyNumberForma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10" borderId="15" xfId="0" applyNumberFormat="1" applyFill="1" applyBorder="1" applyAlignment="1">
      <alignment horizontal="center" vertical="center"/>
    </xf>
    <xf numFmtId="165" fontId="0" fillId="10" borderId="15" xfId="0" applyNumberFormat="1" applyFill="1" applyBorder="1" applyAlignment="1">
      <alignment horizontal="center" vertical="center"/>
    </xf>
    <xf numFmtId="166" fontId="0" fillId="10" borderId="15" xfId="0" applyNumberFormat="1" applyFill="1" applyBorder="1" applyAlignment="1">
      <alignment horizontal="center" vertical="center"/>
    </xf>
    <xf numFmtId="164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0" borderId="0" xfId="0" applyAlignment="1">
      <alignment vertical="center" wrapText="1"/>
    </xf>
    <xf numFmtId="164" fontId="0" fillId="10" borderId="17" xfId="0" applyNumberForma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44" fontId="0" fillId="0" borderId="0" xfId="1" applyFont="1" applyAlignment="1">
      <alignment horizontal="center" vertical="center"/>
    </xf>
    <xf numFmtId="44" fontId="0" fillId="0" borderId="13" xfId="1" applyFont="1" applyBorder="1" applyAlignment="1">
      <alignment horizontal="center" vertical="center"/>
    </xf>
    <xf numFmtId="44" fontId="0" fillId="0" borderId="14" xfId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wrapText="1"/>
    </xf>
    <xf numFmtId="0" fontId="15" fillId="0" borderId="0" xfId="0" applyFont="1" applyAlignment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164" fontId="4" fillId="2" borderId="7" xfId="0" applyNumberFormat="1" applyFont="1" applyFill="1" applyBorder="1" applyAlignment="1">
      <alignment horizontal="center" vertical="center"/>
    </xf>
    <xf numFmtId="164" fontId="4" fillId="2" borderId="8" xfId="0" applyNumberFormat="1" applyFont="1" applyFill="1" applyBorder="1" applyAlignment="1">
      <alignment horizontal="center" vertical="center"/>
    </xf>
    <xf numFmtId="164" fontId="4" fillId="2" borderId="9" xfId="0" applyNumberFormat="1" applyFont="1" applyFill="1" applyBorder="1" applyAlignment="1">
      <alignment horizontal="center" vertical="center"/>
    </xf>
    <xf numFmtId="164" fontId="4" fillId="2" borderId="10" xfId="0" applyNumberFormat="1" applyFont="1" applyFill="1" applyBorder="1" applyAlignment="1">
      <alignment horizontal="center" vertical="center"/>
    </xf>
    <xf numFmtId="164" fontId="4" fillId="2" borderId="11" xfId="0" applyNumberFormat="1" applyFont="1" applyFill="1" applyBorder="1" applyAlignment="1">
      <alignment horizontal="center" vertical="center"/>
    </xf>
    <xf numFmtId="164" fontId="4" fillId="2" borderId="12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3" fillId="15" borderId="7" xfId="0" applyFont="1" applyFill="1" applyBorder="1" applyAlignment="1">
      <alignment horizontal="center" vertical="center"/>
    </xf>
    <xf numFmtId="0" fontId="3" fillId="15" borderId="8" xfId="0" applyFont="1" applyFill="1" applyBorder="1" applyAlignment="1">
      <alignment horizontal="center" vertical="center"/>
    </xf>
    <xf numFmtId="164" fontId="12" fillId="7" borderId="9" xfId="0" applyNumberFormat="1" applyFont="1" applyFill="1" applyBorder="1" applyAlignment="1">
      <alignment horizontal="center" vertical="center"/>
    </xf>
    <xf numFmtId="164" fontId="12" fillId="7" borderId="10" xfId="0" applyNumberFormat="1" applyFont="1" applyFill="1" applyBorder="1" applyAlignment="1">
      <alignment horizontal="center" vertical="center"/>
    </xf>
    <xf numFmtId="164" fontId="12" fillId="7" borderId="11" xfId="0" applyNumberFormat="1" applyFont="1" applyFill="1" applyBorder="1" applyAlignment="1">
      <alignment horizontal="center" vertical="center"/>
    </xf>
    <xf numFmtId="164" fontId="12" fillId="7" borderId="12" xfId="0" applyNumberFormat="1" applyFont="1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164" fontId="5" fillId="7" borderId="9" xfId="0" applyNumberFormat="1" applyFont="1" applyFill="1" applyBorder="1" applyAlignment="1">
      <alignment horizontal="center" vertical="center"/>
    </xf>
    <xf numFmtId="164" fontId="5" fillId="7" borderId="10" xfId="0" applyNumberFormat="1" applyFont="1" applyFill="1" applyBorder="1" applyAlignment="1">
      <alignment horizontal="center" vertical="center"/>
    </xf>
    <xf numFmtId="164" fontId="5" fillId="7" borderId="11" xfId="0" applyNumberFormat="1" applyFont="1" applyFill="1" applyBorder="1" applyAlignment="1">
      <alignment horizontal="center" vertical="center"/>
    </xf>
    <xf numFmtId="164" fontId="5" fillId="7" borderId="12" xfId="0" applyNumberFormat="1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164" fontId="13" fillId="7" borderId="9" xfId="0" applyNumberFormat="1" applyFont="1" applyFill="1" applyBorder="1" applyAlignment="1">
      <alignment horizontal="center" vertical="center"/>
    </xf>
    <xf numFmtId="164" fontId="13" fillId="7" borderId="10" xfId="0" applyNumberFormat="1" applyFont="1" applyFill="1" applyBorder="1" applyAlignment="1">
      <alignment horizontal="center" vertical="center"/>
    </xf>
    <xf numFmtId="164" fontId="13" fillId="7" borderId="11" xfId="0" applyNumberFormat="1" applyFont="1" applyFill="1" applyBorder="1" applyAlignment="1">
      <alignment horizontal="center" vertical="center"/>
    </xf>
    <xf numFmtId="164" fontId="13" fillId="7" borderId="12" xfId="0" applyNumberFormat="1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/>
    </xf>
    <xf numFmtId="166" fontId="9" fillId="7" borderId="9" xfId="0" applyNumberFormat="1" applyFont="1" applyFill="1" applyBorder="1" applyAlignment="1">
      <alignment horizontal="center" vertical="center"/>
    </xf>
    <xf numFmtId="166" fontId="9" fillId="7" borderId="10" xfId="0" applyNumberFormat="1" applyFont="1" applyFill="1" applyBorder="1" applyAlignment="1">
      <alignment horizontal="center" vertical="center"/>
    </xf>
    <xf numFmtId="166" fontId="9" fillId="7" borderId="11" xfId="0" applyNumberFormat="1" applyFont="1" applyFill="1" applyBorder="1" applyAlignment="1">
      <alignment horizontal="center" vertical="center"/>
    </xf>
    <xf numFmtId="166" fontId="9" fillId="7" borderId="12" xfId="0" applyNumberFormat="1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3" fillId="9" borderId="8" xfId="0" applyFont="1" applyFill="1" applyBorder="1" applyAlignment="1">
      <alignment horizontal="center" vertical="center"/>
    </xf>
    <xf numFmtId="165" fontId="6" fillId="7" borderId="9" xfId="0" applyNumberFormat="1" applyFont="1" applyFill="1" applyBorder="1" applyAlignment="1">
      <alignment horizontal="center" vertical="center"/>
    </xf>
    <xf numFmtId="165" fontId="6" fillId="7" borderId="10" xfId="0" applyNumberFormat="1" applyFont="1" applyFill="1" applyBorder="1" applyAlignment="1">
      <alignment horizontal="center" vertical="center"/>
    </xf>
    <xf numFmtId="165" fontId="6" fillId="7" borderId="11" xfId="0" applyNumberFormat="1" applyFont="1" applyFill="1" applyBorder="1" applyAlignment="1">
      <alignment horizontal="center" vertical="center"/>
    </xf>
    <xf numFmtId="165" fontId="6" fillId="7" borderId="12" xfId="0" applyNumberFormat="1" applyFont="1" applyFill="1" applyBorder="1" applyAlignment="1">
      <alignment horizontal="center" vertical="center"/>
    </xf>
    <xf numFmtId="0" fontId="3" fillId="16" borderId="7" xfId="0" applyFont="1" applyFill="1" applyBorder="1" applyAlignment="1">
      <alignment horizontal="center" vertical="center"/>
    </xf>
    <xf numFmtId="0" fontId="3" fillId="16" borderId="8" xfId="0" applyFont="1" applyFill="1" applyBorder="1" applyAlignment="1">
      <alignment horizontal="center" vertical="center"/>
    </xf>
    <xf numFmtId="164" fontId="10" fillId="7" borderId="9" xfId="0" applyNumberFormat="1" applyFont="1" applyFill="1" applyBorder="1" applyAlignment="1">
      <alignment horizontal="center" vertical="center"/>
    </xf>
    <xf numFmtId="164" fontId="10" fillId="7" borderId="10" xfId="0" applyNumberFormat="1" applyFont="1" applyFill="1" applyBorder="1" applyAlignment="1">
      <alignment horizontal="center" vertical="center"/>
    </xf>
    <xf numFmtId="164" fontId="10" fillId="7" borderId="11" xfId="0" applyNumberFormat="1" applyFont="1" applyFill="1" applyBorder="1" applyAlignment="1">
      <alignment horizontal="center" vertical="center"/>
    </xf>
    <xf numFmtId="164" fontId="10" fillId="7" borderId="12" xfId="0" applyNumberFormat="1" applyFont="1" applyFill="1" applyBorder="1" applyAlignment="1">
      <alignment horizontal="center" vertical="center"/>
    </xf>
    <xf numFmtId="164" fontId="11" fillId="7" borderId="9" xfId="0" applyNumberFormat="1" applyFont="1" applyFill="1" applyBorder="1" applyAlignment="1">
      <alignment horizontal="center" vertical="center"/>
    </xf>
    <xf numFmtId="164" fontId="11" fillId="7" borderId="10" xfId="0" applyNumberFormat="1" applyFont="1" applyFill="1" applyBorder="1" applyAlignment="1">
      <alignment horizontal="center" vertical="center"/>
    </xf>
    <xf numFmtId="164" fontId="11" fillId="7" borderId="11" xfId="0" applyNumberFormat="1" applyFont="1" applyFill="1" applyBorder="1" applyAlignment="1">
      <alignment horizontal="center" vertical="center"/>
    </xf>
    <xf numFmtId="164" fontId="11" fillId="7" borderId="12" xfId="0" applyNumberFormat="1" applyFont="1" applyFill="1" applyBorder="1" applyAlignment="1">
      <alignment horizontal="center" vertical="center"/>
    </xf>
    <xf numFmtId="164" fontId="8" fillId="7" borderId="9" xfId="0" applyNumberFormat="1" applyFont="1" applyFill="1" applyBorder="1" applyAlignment="1">
      <alignment horizontal="center" vertical="center"/>
    </xf>
    <xf numFmtId="164" fontId="8" fillId="7" borderId="10" xfId="0" applyNumberFormat="1" applyFont="1" applyFill="1" applyBorder="1" applyAlignment="1">
      <alignment horizontal="center" vertical="center"/>
    </xf>
    <xf numFmtId="164" fontId="8" fillId="7" borderId="11" xfId="0" applyNumberFormat="1" applyFont="1" applyFill="1" applyBorder="1" applyAlignment="1">
      <alignment horizontal="center" vertical="center"/>
    </xf>
    <xf numFmtId="164" fontId="8" fillId="7" borderId="12" xfId="0" applyNumberFormat="1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3" fillId="13" borderId="8" xfId="0" applyFont="1" applyFill="1" applyBorder="1" applyAlignment="1">
      <alignment horizontal="center" vertical="center"/>
    </xf>
    <xf numFmtId="0" fontId="3" fillId="14" borderId="7" xfId="0" applyFont="1" applyFill="1" applyBorder="1" applyAlignment="1">
      <alignment horizontal="center" vertical="center"/>
    </xf>
    <xf numFmtId="0" fontId="3" fillId="14" borderId="8" xfId="0" applyFont="1" applyFill="1" applyBorder="1" applyAlignment="1">
      <alignment horizontal="center" vertical="center"/>
    </xf>
    <xf numFmtId="164" fontId="3" fillId="2" borderId="7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164" fontId="3" fillId="2" borderId="10" xfId="0" applyNumberFormat="1" applyFont="1" applyFill="1" applyBorder="1" applyAlignment="1">
      <alignment horizontal="center" vertical="center"/>
    </xf>
    <xf numFmtId="164" fontId="3" fillId="2" borderId="11" xfId="0" applyNumberFormat="1" applyFont="1" applyFill="1" applyBorder="1" applyAlignment="1">
      <alignment horizontal="center" vertical="center"/>
    </xf>
    <xf numFmtId="164" fontId="3" fillId="2" borderId="12" xfId="0" applyNumberFormat="1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20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4" formatCode="&quot;R$&quot;\ 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vertical="center" textRotation="0" indent="0" justifyLastLine="0" shrinkToFit="0" readingOrder="0"/>
    </dxf>
    <dxf>
      <border>
        <bottom style="medium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center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Types" Target="richData/rdRichValueTypes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17/06/relationships/rdRichValue" Target="richData/rdrichvalue.xml"/><Relationship Id="rId40" Type="http://schemas.microsoft.com/office/2022/11/relationships/FeaturePropertyBag" Target="featurePropertyBag/featurePropertyBag.xml"/><Relationship Id="rId45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7/relationships/slicerCache" Target="slicerCaches/slicerCache1.xml"/><Relationship Id="rId36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microsoft.com/office/2007/relationships/slicerCache" Target="slicerCaches/slicerCache3.xml"/><Relationship Id="rId35" Type="http://schemas.openxmlformats.org/officeDocument/2006/relationships/sheetMetadata" Target="metadata.xml"/><Relationship Id="rId43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Structure" Target="richData/rdrichvaluestructure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AUXILIAR_DASHBOARD!$D$203</c:f>
              <c:strCache>
                <c:ptCount val="1"/>
                <c:pt idx="0">
                  <c:v>ANÁLISE DE GASTOS POR FAMÍLIA (%)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B98-488C-98F1-FF1358B1880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B98-488C-98F1-FF1358B1880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B98-488C-98F1-FF1358B1880B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B98-488C-98F1-FF1358B1880B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B98-488C-98F1-FF1358B1880B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B98-488C-98F1-FF1358B1880B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B98-488C-98F1-FF1358B1880B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B98-488C-98F1-FF1358B1880B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B98-488C-98F1-FF1358B1880B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2B98-488C-98F1-FF1358B1880B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2B98-488C-98F1-FF1358B188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AUXILIAR_DASHBOARD!$B$204:$B$213</c:f>
              <c:strCache>
                <c:ptCount val="10"/>
                <c:pt idx="0">
                  <c:v>ATERRAMENTO</c:v>
                </c:pt>
                <c:pt idx="1">
                  <c:v>CA BT</c:v>
                </c:pt>
                <c:pt idx="2">
                  <c:v>CA MT</c:v>
                </c:pt>
                <c:pt idx="3">
                  <c:v>CERCAMENTO</c:v>
                </c:pt>
                <c:pt idx="4">
                  <c:v>CFTV</c:v>
                </c:pt>
                <c:pt idx="5">
                  <c:v>CIVIL</c:v>
                </c:pt>
                <c:pt idx="6">
                  <c:v>DRENAGEM</c:v>
                </c:pt>
                <c:pt idx="7">
                  <c:v>KIT FOTOVOLTAICO E ESTRUTURA DE FIXAÇÃO</c:v>
                </c:pt>
                <c:pt idx="8">
                  <c:v>MISCELÂNEA</c:v>
                </c:pt>
                <c:pt idx="9">
                  <c:v>PPCI</c:v>
                </c:pt>
              </c:strCache>
            </c:strRef>
          </c:cat>
          <c:val>
            <c:numRef>
              <c:f>AUXILIAR_DASHBOARD!$D$204:$D$213</c:f>
              <c:numCache>
                <c:formatCode>0.00%</c:formatCode>
                <c:ptCount val="10"/>
                <c:pt idx="0">
                  <c:v>0.8429876061540672</c:v>
                </c:pt>
                <c:pt idx="1">
                  <c:v>0.1490235660272638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7.9888278186690653E-3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B98-488C-98F1-FF1358B1880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ysClr val="windowText" lastClr="000000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AUXILIAR_DASHBOARD!$C$203</c:f>
              <c:strCache>
                <c:ptCount val="1"/>
                <c:pt idx="0">
                  <c:v>ANÁLISE DE GASTOS POR FAMÍLIA (R$)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AUXILIAR_DASHBOARD!$B$204:$B$213</c:f>
              <c:strCache>
                <c:ptCount val="10"/>
                <c:pt idx="0">
                  <c:v>ATERRAMENTO</c:v>
                </c:pt>
                <c:pt idx="1">
                  <c:v>CA BT</c:v>
                </c:pt>
                <c:pt idx="2">
                  <c:v>CA MT</c:v>
                </c:pt>
                <c:pt idx="3">
                  <c:v>CERCAMENTO</c:v>
                </c:pt>
                <c:pt idx="4">
                  <c:v>CFTV</c:v>
                </c:pt>
                <c:pt idx="5">
                  <c:v>CIVIL</c:v>
                </c:pt>
                <c:pt idx="6">
                  <c:v>DRENAGEM</c:v>
                </c:pt>
                <c:pt idx="7">
                  <c:v>KIT FOTOVOLTAICO E ESTRUTURA DE FIXAÇÃO</c:v>
                </c:pt>
                <c:pt idx="8">
                  <c:v>MISCELÂNEA</c:v>
                </c:pt>
                <c:pt idx="9">
                  <c:v>PPCI</c:v>
                </c:pt>
              </c:strCache>
            </c:strRef>
          </c:cat>
          <c:val>
            <c:numRef>
              <c:f>AUXILIAR_DASHBOARD!$C$204:$C$213</c:f>
              <c:numCache>
                <c:formatCode>"R$"\ #,##0.00</c:formatCode>
                <c:ptCount val="10"/>
                <c:pt idx="0">
                  <c:v>10799</c:v>
                </c:pt>
                <c:pt idx="1">
                  <c:v>1909.05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102.34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6-498D-8B0A-0DE966C18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089188735"/>
        <c:axId val="1089191135"/>
      </c:barChart>
      <c:catAx>
        <c:axId val="10891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9191135"/>
        <c:crosses val="autoZero"/>
        <c:auto val="1"/>
        <c:lblAlgn val="ctr"/>
        <c:lblOffset val="100"/>
        <c:noMultiLvlLbl val="0"/>
      </c:catAx>
      <c:valAx>
        <c:axId val="108919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9188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ysClr val="windowText" lastClr="000000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ofPieChart>
        <c:ofPieType val="pie"/>
        <c:varyColors val="1"/>
        <c:ser>
          <c:idx val="0"/>
          <c:order val="0"/>
          <c:tx>
            <c:strRef>
              <c:f>AUXILIAR_DASHBOARD!$D$203</c:f>
              <c:strCache>
                <c:ptCount val="1"/>
                <c:pt idx="0">
                  <c:v>ANÁLISE DE GASTOS POR FAMÍLIA (%)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5D2-488F-8980-84BBDE4480C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5D2-488F-8980-84BBDE4480C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5D2-488F-8980-84BBDE4480C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5D2-488F-8980-84BBDE4480C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5D2-488F-8980-84BBDE4480CE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5D2-488F-8980-84BBDE4480CE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5D2-488F-8980-84BBDE4480CE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5D2-488F-8980-84BBDE4480CE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5D2-488F-8980-84BBDE4480CE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85D2-488F-8980-84BBDE4480CE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solidFill>
                  <a:schemeClr val="tx1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85D2-488F-8980-84BBDE4480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AUXILIAR_DASHBOARD!$B$204:$B$213</c:f>
              <c:strCache>
                <c:ptCount val="10"/>
                <c:pt idx="0">
                  <c:v>ATERRAMENTO</c:v>
                </c:pt>
                <c:pt idx="1">
                  <c:v>CA BT</c:v>
                </c:pt>
                <c:pt idx="2">
                  <c:v>CA MT</c:v>
                </c:pt>
                <c:pt idx="3">
                  <c:v>CERCAMENTO</c:v>
                </c:pt>
                <c:pt idx="4">
                  <c:v>CFTV</c:v>
                </c:pt>
                <c:pt idx="5">
                  <c:v>CIVIL</c:v>
                </c:pt>
                <c:pt idx="6">
                  <c:v>DRENAGEM</c:v>
                </c:pt>
                <c:pt idx="7">
                  <c:v>KIT FOTOVOLTAICO E ESTRUTURA DE FIXAÇÃO</c:v>
                </c:pt>
                <c:pt idx="8">
                  <c:v>MISCELÂNEA</c:v>
                </c:pt>
                <c:pt idx="9">
                  <c:v>PPCI</c:v>
                </c:pt>
              </c:strCache>
            </c:strRef>
          </c:cat>
          <c:val>
            <c:numRef>
              <c:f>AUXILIAR_DASHBOARD!$D$204:$D$213</c:f>
              <c:numCache>
                <c:formatCode>0.00%</c:formatCode>
                <c:ptCount val="10"/>
                <c:pt idx="0">
                  <c:v>0.8429876061540672</c:v>
                </c:pt>
                <c:pt idx="1">
                  <c:v>0.1490235660272638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7.9888278186690653E-3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D2-488F-8980-84BBDE4480C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50"/>
        <c:splitType val="percent"/>
        <c:splitPos val="7"/>
        <c:secondPieSize val="75"/>
        <c:serLines>
          <c:spPr>
            <a:ln w="9525" cap="flat" cmpd="sng" algn="ctr">
              <a:solidFill>
                <a:schemeClr val="lt1">
                  <a:lumMod val="95000"/>
                  <a:alpha val="54000"/>
                </a:schemeClr>
              </a:solidFill>
              <a:round/>
            </a:ln>
            <a:effectLst/>
          </c:spPr>
        </c:serLines>
      </c:of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ysClr val="windowText" lastClr="000000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AUXILIAR_DASHBOARD!$C$203</c:f>
              <c:strCache>
                <c:ptCount val="1"/>
                <c:pt idx="0">
                  <c:v>ANÁLISE DE GASTOS POR FAMÍLIA (R$)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AUXILIAR_DASHBOARD!$B$204:$B$213</c:f>
              <c:strCache>
                <c:ptCount val="10"/>
                <c:pt idx="0">
                  <c:v>ATERRAMENTO</c:v>
                </c:pt>
                <c:pt idx="1">
                  <c:v>CA BT</c:v>
                </c:pt>
                <c:pt idx="2">
                  <c:v>CA MT</c:v>
                </c:pt>
                <c:pt idx="3">
                  <c:v>CERCAMENTO</c:v>
                </c:pt>
                <c:pt idx="4">
                  <c:v>CFTV</c:v>
                </c:pt>
                <c:pt idx="5">
                  <c:v>CIVIL</c:v>
                </c:pt>
                <c:pt idx="6">
                  <c:v>DRENAGEM</c:v>
                </c:pt>
                <c:pt idx="7">
                  <c:v>KIT FOTOVOLTAICO E ESTRUTURA DE FIXAÇÃO</c:v>
                </c:pt>
                <c:pt idx="8">
                  <c:v>MISCELÂNEA</c:v>
                </c:pt>
                <c:pt idx="9">
                  <c:v>PPCI</c:v>
                </c:pt>
              </c:strCache>
            </c:strRef>
          </c:cat>
          <c:val>
            <c:numRef>
              <c:f>AUXILIAR_DASHBOARD!$C$204:$C$213</c:f>
              <c:numCache>
                <c:formatCode>"R$"\ #,##0.00</c:formatCode>
                <c:ptCount val="10"/>
                <c:pt idx="0">
                  <c:v>10799</c:v>
                </c:pt>
                <c:pt idx="1">
                  <c:v>1909.05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102.34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6B-4CF7-A3C8-76D41F3914B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9188735"/>
        <c:axId val="1089191135"/>
      </c:barChart>
      <c:catAx>
        <c:axId val="1089188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9191135"/>
        <c:crosses val="autoZero"/>
        <c:auto val="1"/>
        <c:lblAlgn val="ctr"/>
        <c:lblOffset val="100"/>
        <c:noMultiLvlLbl val="0"/>
      </c:catAx>
      <c:valAx>
        <c:axId val="1089191135"/>
        <c:scaling>
          <c:logBase val="10"/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1089188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solidFill>
        <a:sysClr val="windowText" lastClr="000000"/>
      </a:solidFill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ACOMPANHAMENTO ORÇAMENTÁRIO DE GANHOS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AUXILIAR_DASHBOARD!$B$232</c:f>
              <c:strCache>
                <c:ptCount val="1"/>
                <c:pt idx="0">
                  <c:v>RUIM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AUXILIAR_DASHBOARD!$C$231:$D$231</c:f>
              <c:strCache>
                <c:ptCount val="2"/>
                <c:pt idx="0">
                  <c:v>RECEITA BRUTA</c:v>
                </c:pt>
                <c:pt idx="1">
                  <c:v>GANHOS LÍQUIDOS</c:v>
                </c:pt>
              </c:strCache>
            </c:strRef>
          </c:cat>
          <c:val>
            <c:numRef>
              <c:f>AUXILIAR_DASHBOARD!$C$232:$D$232</c:f>
              <c:numCache>
                <c:formatCode>General</c:formatCode>
                <c:ptCount val="2"/>
                <c:pt idx="0">
                  <c:v>8250000</c:v>
                </c:pt>
                <c:pt idx="1">
                  <c:v>3300000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E5-48E6-8295-DE3EE80C89F4}"/>
            </c:ext>
          </c:extLst>
        </c:ser>
        <c:ser>
          <c:idx val="1"/>
          <c:order val="1"/>
          <c:tx>
            <c:strRef>
              <c:f>AUXILIAR_DASHBOARD!$B$233</c:f>
              <c:strCache>
                <c:ptCount val="1"/>
                <c:pt idx="0">
                  <c:v>REGULAR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AUXILIAR_DASHBOARD!$C$231:$D$231</c:f>
              <c:strCache>
                <c:ptCount val="2"/>
                <c:pt idx="0">
                  <c:v>RECEITA BRUTA</c:v>
                </c:pt>
                <c:pt idx="1">
                  <c:v>GANHOS LÍQUIDOS</c:v>
                </c:pt>
              </c:strCache>
            </c:strRef>
          </c:cat>
          <c:val>
            <c:numRef>
              <c:f>AUXILIAR_DASHBOARD!$C$233:$D$233</c:f>
              <c:numCache>
                <c:formatCode>General</c:formatCode>
                <c:ptCount val="2"/>
                <c:pt idx="0">
                  <c:v>8250000</c:v>
                </c:pt>
                <c:pt idx="1">
                  <c:v>3300000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E5-48E6-8295-DE3EE80C89F4}"/>
            </c:ext>
          </c:extLst>
        </c:ser>
        <c:ser>
          <c:idx val="2"/>
          <c:order val="2"/>
          <c:tx>
            <c:strRef>
              <c:f>AUXILIAR_DASHBOARD!$B$234</c:f>
              <c:strCache>
                <c:ptCount val="1"/>
                <c:pt idx="0">
                  <c:v>BOM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AUXILIAR_DASHBOARD!$C$231:$D$231</c:f>
              <c:strCache>
                <c:ptCount val="2"/>
                <c:pt idx="0">
                  <c:v>RECEITA BRUTA</c:v>
                </c:pt>
                <c:pt idx="1">
                  <c:v>GANHOS LÍQUIDOS</c:v>
                </c:pt>
              </c:strCache>
            </c:strRef>
          </c:cat>
          <c:val>
            <c:numRef>
              <c:f>AUXILIAR_DASHBOARD!$C$234:$D$234</c:f>
              <c:numCache>
                <c:formatCode>General</c:formatCode>
                <c:ptCount val="2"/>
                <c:pt idx="0">
                  <c:v>8250000</c:v>
                </c:pt>
                <c:pt idx="1">
                  <c:v>3300000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E5-48E6-8295-DE3EE80C89F4}"/>
            </c:ext>
          </c:extLst>
        </c:ser>
        <c:ser>
          <c:idx val="3"/>
          <c:order val="3"/>
          <c:tx>
            <c:strRef>
              <c:f>AUXILIAR_DASHBOARD!$B$235</c:f>
              <c:strCache>
                <c:ptCount val="1"/>
                <c:pt idx="0">
                  <c:v>EXCELENTE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  <a:effectLst/>
          </c:spPr>
          <c:invertIfNegative val="0"/>
          <c:cat>
            <c:strRef>
              <c:f>AUXILIAR_DASHBOARD!$C$231:$D$231</c:f>
              <c:strCache>
                <c:ptCount val="2"/>
                <c:pt idx="0">
                  <c:v>RECEITA BRUTA</c:v>
                </c:pt>
                <c:pt idx="1">
                  <c:v>GANHOS LÍQUIDOS</c:v>
                </c:pt>
              </c:strCache>
            </c:strRef>
          </c:cat>
          <c:val>
            <c:numRef>
              <c:f>AUXILIAR_DASHBOARD!$C$235:$D$235</c:f>
              <c:numCache>
                <c:formatCode>General</c:formatCode>
                <c:ptCount val="2"/>
                <c:pt idx="0">
                  <c:v>8250000</c:v>
                </c:pt>
                <c:pt idx="1">
                  <c:v>3300000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E5-48E6-8295-DE3EE80C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781199296"/>
        <c:axId val="781208896"/>
      </c:barChart>
      <c:barChart>
        <c:barDir val="col"/>
        <c:grouping val="clustered"/>
        <c:varyColors val="0"/>
        <c:ser>
          <c:idx val="4"/>
          <c:order val="4"/>
          <c:tx>
            <c:strRef>
              <c:f>AUXILIAR_DASHBOARD!$B$236</c:f>
              <c:strCache>
                <c:ptCount val="1"/>
                <c:pt idx="0">
                  <c:v>VALOR REAL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AUXILIAR_DASHBOARD!$C$231:$D$231</c:f>
              <c:strCache>
                <c:ptCount val="2"/>
                <c:pt idx="0">
                  <c:v>RECEITA BRUTA</c:v>
                </c:pt>
                <c:pt idx="1">
                  <c:v>GANHOS LÍQUIDOS</c:v>
                </c:pt>
              </c:strCache>
            </c:strRef>
          </c:cat>
          <c:val>
            <c:numRef>
              <c:f>AUXILIAR_DASHBOARD!$C$236:$D$236</c:f>
              <c:numCache>
                <c:formatCode>General</c:formatCode>
                <c:ptCount val="2"/>
                <c:pt idx="0">
                  <c:v>350000</c:v>
                </c:pt>
                <c:pt idx="1">
                  <c:v>337189.61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E5-48E6-8295-DE3EE80C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16705968"/>
        <c:axId val="416715568"/>
      </c:barChart>
      <c:lineChart>
        <c:grouping val="stacked"/>
        <c:varyColors val="0"/>
        <c:ser>
          <c:idx val="5"/>
          <c:order val="5"/>
          <c:tx>
            <c:strRef>
              <c:f>AUXILIAR_DASHBOARD!$B$237</c:f>
              <c:strCache>
                <c:ptCount val="1"/>
                <c:pt idx="0">
                  <c:v>VALOR ALVO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ash"/>
            <c:size val="3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f>AUXILIAR_DASHBOARD!$C$231:$D$231</c:f>
              <c:strCache>
                <c:ptCount val="2"/>
                <c:pt idx="0">
                  <c:v>RECEITA BRUTA</c:v>
                </c:pt>
                <c:pt idx="1">
                  <c:v>GANHOS LÍQUIDOS</c:v>
                </c:pt>
              </c:strCache>
            </c:strRef>
          </c:cat>
          <c:val>
            <c:numRef>
              <c:f>AUXILIAR_DASHBOARD!$C$237:$D$237</c:f>
              <c:numCache>
                <c:formatCode>General</c:formatCode>
                <c:ptCount val="2"/>
                <c:pt idx="0">
                  <c:v>16500000</c:v>
                </c:pt>
                <c:pt idx="1">
                  <c:v>6600000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6E5-48E6-8295-DE3EE80C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705968"/>
        <c:axId val="416715568"/>
      </c:lineChart>
      <c:catAx>
        <c:axId val="78119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1208896"/>
        <c:crosses val="autoZero"/>
        <c:auto val="1"/>
        <c:lblAlgn val="ctr"/>
        <c:lblOffset val="100"/>
        <c:noMultiLvlLbl val="0"/>
      </c:catAx>
      <c:valAx>
        <c:axId val="78120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81199296"/>
        <c:crosses val="autoZero"/>
        <c:crossBetween val="between"/>
      </c:valAx>
      <c:valAx>
        <c:axId val="416715568"/>
        <c:scaling>
          <c:orientation val="minMax"/>
          <c:max val="1.2"/>
          <c:min val="0"/>
        </c:scaling>
        <c:delete val="1"/>
        <c:axPos val="r"/>
        <c:numFmt formatCode="General" sourceLinked="1"/>
        <c:majorTickMark val="out"/>
        <c:minorTickMark val="none"/>
        <c:tickLblPos val="nextTo"/>
        <c:crossAx val="416705968"/>
        <c:crosses val="max"/>
        <c:crossBetween val="between"/>
      </c:valAx>
      <c:catAx>
        <c:axId val="41670596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16715568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2">
        <a:lumMod val="2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0" i="0" u="none" strike="noStrike" kern="1200" spc="0" baseline="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r>
              <a:rPr lang="pt-BR" sz="1600" b="0" i="0" u="none" strike="noStrike" kern="1200" spc="0" baseline="0">
                <a:solidFill>
                  <a:sysClr val="window" lastClr="FFFFFF"/>
                </a:solidFill>
              </a:rPr>
              <a:t>ACOMPANHAMENTO ORÇAMENTÁRIO DE 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0" i="0" u="none" strike="noStrike" kern="1200" spc="0" baseline="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AUXILIAR_DASHBOARD!$C$216</c:f>
              <c:strCache>
                <c:ptCount val="1"/>
                <c:pt idx="0">
                  <c:v>GASTOS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2F-45FC-97DF-2E89D8188CEB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2F-45FC-97DF-2E89D8188CEB}"/>
              </c:ext>
            </c:extLst>
          </c:dPt>
          <c:dPt>
            <c:idx val="2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2F-45FC-97DF-2E89D8188CEB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2F-45FC-97DF-2E89D8188CEB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2F-45FC-97DF-2E89D8188CEB}"/>
              </c:ext>
            </c:extLst>
          </c:dPt>
          <c:dPt>
            <c:idx val="5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2F-45FC-97DF-2E89D8188CEB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2F-45FC-97DF-2E89D8188CEB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4FB00EC2-B845-432A-91A4-1EEB7802ECB6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02F-45FC-97DF-2E89D8188C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6DFF60-0873-4B4C-A16D-905F3CDFC63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2F-45FC-97DF-2E89D8188C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1D4500-44DB-4AAD-ABAC-83D65135EDC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2F-45FC-97DF-2E89D8188C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E70CE8-1D6F-406B-9E1D-C4F66B3144E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2F-45FC-97DF-2E89D8188C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ADA867-310E-4A1B-A812-321FE0C6FCB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2F-45FC-97DF-2E89D8188C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376737-FE76-49B3-9F99-D19C45A301D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2F-45FC-97DF-2E89D8188CE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02F-45FC-97DF-2E89D8188C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AUXILIAR_DASHBOARD!$B$217:$B$223</c:f>
              <c:strCache>
                <c:ptCount val="7"/>
                <c:pt idx="0">
                  <c:v>EXCELENTE</c:v>
                </c:pt>
                <c:pt idx="1">
                  <c:v>MUITO BOM</c:v>
                </c:pt>
                <c:pt idx="2">
                  <c:v>BOM</c:v>
                </c:pt>
                <c:pt idx="3">
                  <c:v>REGULAR</c:v>
                </c:pt>
                <c:pt idx="4">
                  <c:v>RUIM</c:v>
                </c:pt>
                <c:pt idx="5">
                  <c:v>MUITO RUIM</c:v>
                </c:pt>
                <c:pt idx="6">
                  <c:v>VALOR ALVO</c:v>
                </c:pt>
              </c:strCache>
            </c:strRef>
          </c:cat>
          <c:val>
            <c:numRef>
              <c:f>AUXILIAR_DASHBOARD!$C$217:$C$223</c:f>
              <c:numCache>
                <c:formatCode>General</c:formatCode>
                <c:ptCount val="7"/>
                <c:pt idx="0">
                  <c:v>1980000</c:v>
                </c:pt>
                <c:pt idx="1">
                  <c:v>1485000</c:v>
                </c:pt>
                <c:pt idx="2">
                  <c:v>1485000</c:v>
                </c:pt>
                <c:pt idx="3">
                  <c:v>1485000</c:v>
                </c:pt>
                <c:pt idx="4">
                  <c:v>1485000</c:v>
                </c:pt>
                <c:pt idx="5">
                  <c:v>1980000</c:v>
                </c:pt>
                <c:pt idx="6" formatCode="&quot;R$&quot;\ #,##0.00">
                  <c:v>9900000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AUXILIAR_DASHBOARD!$B$217:$B$223</c15:f>
                <c15:dlblRangeCache>
                  <c:ptCount val="7"/>
                  <c:pt idx="0">
                    <c:v>EXCELENTE</c:v>
                  </c:pt>
                  <c:pt idx="1">
                    <c:v>MUITO BOM</c:v>
                  </c:pt>
                  <c:pt idx="2">
                    <c:v>BOM</c:v>
                  </c:pt>
                  <c:pt idx="3">
                    <c:v>REGULAR</c:v>
                  </c:pt>
                  <c:pt idx="4">
                    <c:v>RUIM</c:v>
                  </c:pt>
                  <c:pt idx="5">
                    <c:v>MUITO RUIM</c:v>
                  </c:pt>
                  <c:pt idx="6">
                    <c:v>VALOR ALVO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402F-45FC-97DF-2E89D8188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PONTEIRO</c:v>
          </c:tx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402F-45FC-97DF-2E89D8188CE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402F-45FC-97DF-2E89D8188CE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402F-45FC-97DF-2E89D8188CEB}"/>
              </c:ext>
            </c:extLst>
          </c:dPt>
          <c:dLbls>
            <c:dLbl>
              <c:idx val="1"/>
              <c:tx>
                <c:strRef>
                  <c:f>AUXILIAR_DASHBOARD!$D$228</c:f>
                  <c:strCache>
                    <c:ptCount val="1"/>
                    <c:pt idx="0">
                      <c:v>R$ 12.810,39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{6B4576FD-439A-416D-BD14-DFB940345F3F}</c15:txfldGUID>
                      <c15:f>AUXILIAR_DASHBOARD!$D$228</c15:f>
                      <c15:dlblFieldTableCache>
                        <c:ptCount val="1"/>
                        <c:pt idx="0">
                          <c:v>R$ 12.810,39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402F-45FC-97DF-2E89D8188C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AUXILIAR_DASHBOARD!$C$226:$C$228</c:f>
              <c:numCache>
                <c:formatCode>General</c:formatCode>
                <c:ptCount val="3"/>
                <c:pt idx="0" formatCode="&quot;R$&quot;\ #,##0.00">
                  <c:v>6405.1949999999997</c:v>
                </c:pt>
                <c:pt idx="1">
                  <c:v>2000</c:v>
                </c:pt>
                <c:pt idx="2">
                  <c:v>19791594.805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02F-45FC-97DF-2E89D8188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tx1">
        <a:lumMod val="75000"/>
        <a:lumOff val="2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chemeClr val="bg1"/>
                </a:solidFill>
              </a:defRPr>
            </a:pPr>
            <a:r>
              <a:rPr lang="pt-BR" sz="1600" b="1" i="0" u="none" strike="noStrike" baseline="0">
                <a:solidFill>
                  <a:schemeClr val="bg1"/>
                </a:solidFill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  <a:latin typeface="Aptos Narrow" panose="02110004020202020204"/>
                <a:ea typeface="Calibri" panose="020F0502020204030204" pitchFamily="34" charset="0"/>
                <a:cs typeface="Calibri" panose="020F0502020204030204" pitchFamily="34" charset="0"/>
              </a:rPr>
              <a:t>ANÁLISE DE GASTOS POR PRODUTO (%)</a:t>
            </a:r>
            <a:endParaRPr lang="pt-BR" sz="1600">
              <a:solidFill>
                <a:schemeClr val="bg1"/>
              </a:solidFill>
              <a:effectLst/>
            </a:endParaRPr>
          </a:p>
        </cx:rich>
      </cx:tx>
    </cx:title>
    <cx:plotArea>
      <cx:plotAreaRegion>
        <cx:series layoutId="sunburst" uniqueId="{6BBF2CDD-5DF6-493A-8489-0DCB6133B133}">
          <cx:tx>
            <cx:txData>
              <cx:f>_xlchart.v1.4</cx:f>
              <cx:v>ANÁLISE DE GASTOS POR PRODUTO (%)</cx:v>
            </cx:txData>
          </cx:tx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900">
                    <a:solidFill>
                      <a:schemeClr val="bg1"/>
                    </a:solidFill>
                  </a:defRPr>
                </a:pPr>
                <a:endParaRPr lang="pt-BR" sz="900" b="0" i="0" u="none" strike="noStrike" baseline="0">
                  <a:solidFill>
                    <a:schemeClr val="bg1"/>
                  </a:solidFill>
                  <a:latin typeface="Aptos Narrow" panose="0211000402020202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  <cx:legend pos="b" align="ctr" overlay="0">
      <cx:txPr>
        <a:bodyPr vertOverflow="overflow" horzOverflow="overflow" wrap="square" lIns="0" tIns="0" rIns="0" bIns="0"/>
        <a:lstStyle/>
        <a:p>
          <a:pPr algn="ctr" rtl="0">
            <a:defRPr sz="1200" b="0" i="0">
              <a:solidFill>
                <a:schemeClr val="bg1"/>
              </a:solidFill>
              <a:latin typeface="Aptos Narrow" panose="020B0004020202020204" pitchFamily="34" charset="0"/>
              <a:ea typeface="Aptos Narrow" panose="020B0004020202020204" pitchFamily="34" charset="0"/>
              <a:cs typeface="Aptos Narrow" panose="020B0004020202020204" pitchFamily="34" charset="0"/>
            </a:defRPr>
          </a:pPr>
          <a:endParaRPr lang="pt-BR" sz="1200">
            <a:solidFill>
              <a:schemeClr val="bg1"/>
            </a:solidFill>
          </a:endParaRPr>
        </a:p>
      </cx:txPr>
    </cx:legend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ANÁLISE DE GASTOS POR PRODUTO (R$)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solidFill>
                <a:schemeClr val="bg1"/>
              </a:solidFill>
            </a:defRPr>
          </a:pPr>
          <a:r>
            <a:rPr lang="pt-BR" sz="1600" b="1" i="0" u="none" strike="noStrike" baseline="0">
              <a:solidFill>
                <a:schemeClr val="bg1"/>
              </a:solidFill>
              <a:latin typeface="Aptos Narrow" panose="02110004020202020204"/>
            </a:rPr>
            <a:t>ANÁLISE DE GASTOS POR PRODUTO (R$)</a:t>
          </a:r>
        </a:p>
      </cx:txPr>
    </cx:title>
    <cx:plotArea>
      <cx:plotAreaRegion>
        <cx:series layoutId="sunburst" uniqueId="{C19452C5-5E20-4F3D-92E0-0A1640EEC09F}">
          <cx:tx>
            <cx:txData>
              <cx:f>_xlchart.v1.1</cx:f>
              <cx:v>ANÁLISE DE GASTOS POR PRODUTO (R$)</cx:v>
            </cx:txData>
          </cx:tx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>
                    <a:solidFill>
                      <a:schemeClr val="bg1"/>
                    </a:solidFill>
                  </a:defRPr>
                </a:pPr>
                <a:endParaRPr lang="pt-BR" sz="1200" b="0" i="0" u="none" strike="noStrike" baseline="0">
                  <a:solidFill>
                    <a:schemeClr val="bg1"/>
                  </a:solidFill>
                  <a:latin typeface="Aptos Narrow" panose="02110004020202020204"/>
                </a:endParaRPr>
              </a:p>
            </cx:txPr>
            <cx:visibility seriesName="0" categoryName="1" value="1"/>
            <cx:separator>
</cx:separator>
          </cx:dataLabels>
          <cx:dataId val="0"/>
        </cx:series>
      </cx:plotAreaRegion>
    </cx:plotArea>
    <cx:legend pos="b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200"/>
          </a:pPr>
          <a:endParaRPr lang="pt-BR" sz="1200" b="0" i="0" u="none" strike="noStrike" baseline="0">
            <a:solidFill>
              <a:sysClr val="window" lastClr="FFFFFF">
                <a:lumMod val="95000"/>
              </a:sysClr>
            </a:solidFill>
            <a:latin typeface="Aptos Narrow" panose="02110004020202020204"/>
          </a:endParaRPr>
        </a:p>
      </cx:txPr>
    </cx:legend>
  </cx:chart>
  <cx:spPr>
    <a:ln>
      <a:solidFill>
        <a:sysClr val="windowText" lastClr="000000">
          <a:alpha val="96000"/>
        </a:sysClr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87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  <a:ln>
        <a:solidFill>
          <a:schemeClr val="tx1"/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spc="10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40822</xdr:colOff>
      <xdr:row>16</xdr:row>
      <xdr:rowOff>0</xdr:rowOff>
    </xdr:from>
    <xdr:to>
      <xdr:col>18</xdr:col>
      <xdr:colOff>328715</xdr:colOff>
      <xdr:row>67</xdr:row>
      <xdr:rowOff>4500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7" name="Gráfico 46">
              <a:extLst>
                <a:ext uri="{FF2B5EF4-FFF2-40B4-BE49-F238E27FC236}">
                  <a16:creationId xmlns:a16="http://schemas.microsoft.com/office/drawing/2014/main" id="{5AFFD6E6-A170-41CD-936A-0ABE631F1F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1847" y="3152775"/>
              <a:ext cx="11155918" cy="97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40822</xdr:colOff>
      <xdr:row>16</xdr:row>
      <xdr:rowOff>-1</xdr:rowOff>
    </xdr:from>
    <xdr:to>
      <xdr:col>18</xdr:col>
      <xdr:colOff>328715</xdr:colOff>
      <xdr:row>67</xdr:row>
      <xdr:rowOff>4499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8" name="Gráfico 37">
              <a:extLst>
                <a:ext uri="{FF2B5EF4-FFF2-40B4-BE49-F238E27FC236}">
                  <a16:creationId xmlns:a16="http://schemas.microsoft.com/office/drawing/2014/main" id="{A706DDAC-E409-4233-851C-C9B44796C12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1847" y="3152774"/>
              <a:ext cx="11155918" cy="97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37</xdr:row>
      <xdr:rowOff>0</xdr:rowOff>
    </xdr:from>
    <xdr:to>
      <xdr:col>9</xdr:col>
      <xdr:colOff>20893</xdr:colOff>
      <xdr:row>66</xdr:row>
      <xdr:rowOff>185100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CDE0E506-5F79-436B-A9DA-449F102484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16</xdr:row>
      <xdr:rowOff>2722</xdr:rowOff>
    </xdr:from>
    <xdr:to>
      <xdr:col>9</xdr:col>
      <xdr:colOff>20893</xdr:colOff>
      <xdr:row>36</xdr:row>
      <xdr:rowOff>167122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15376CE5-66FF-44F9-8487-A38815D9268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0</xdr:col>
      <xdr:colOff>0</xdr:colOff>
      <xdr:row>37</xdr:row>
      <xdr:rowOff>0</xdr:rowOff>
    </xdr:from>
    <xdr:to>
      <xdr:col>9</xdr:col>
      <xdr:colOff>20893</xdr:colOff>
      <xdr:row>66</xdr:row>
      <xdr:rowOff>185100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F1B79141-5A72-4905-B6C6-0932B39CAF9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16</xdr:row>
      <xdr:rowOff>0</xdr:rowOff>
    </xdr:from>
    <xdr:to>
      <xdr:col>9</xdr:col>
      <xdr:colOff>20893</xdr:colOff>
      <xdr:row>36</xdr:row>
      <xdr:rowOff>164400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558D057A-0C75-46D4-B717-DC7DD6D40E7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14</xdr:row>
          <xdr:rowOff>171450</xdr:rowOff>
        </xdr:from>
        <xdr:to>
          <xdr:col>15</xdr:col>
          <xdr:colOff>104775</xdr:colOff>
          <xdr:row>15</xdr:row>
          <xdr:rowOff>171450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ANÁLISE DE GASTOS POR PRODUTO (R$)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8</xdr:row>
      <xdr:rowOff>0</xdr:rowOff>
    </xdr:from>
    <xdr:to>
      <xdr:col>6</xdr:col>
      <xdr:colOff>721929</xdr:colOff>
      <xdr:row>14</xdr:row>
      <xdr:rowOff>153000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FAMÍLIA">
              <a:extLst>
                <a:ext uri="{FF2B5EF4-FFF2-40B4-BE49-F238E27FC236}">
                  <a16:creationId xmlns:a16="http://schemas.microsoft.com/office/drawing/2014/main" id="{300D7623-1B03-41D9-ADCA-161B5BEEE7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MÍL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632857"/>
              <a:ext cx="6192000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748394</xdr:colOff>
      <xdr:row>8</xdr:row>
      <xdr:rowOff>0</xdr:rowOff>
    </xdr:from>
    <xdr:to>
      <xdr:col>12</xdr:col>
      <xdr:colOff>1470322</xdr:colOff>
      <xdr:row>14</xdr:row>
      <xdr:rowOff>153000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6" name="FAMÍLIA 1">
              <a:extLst>
                <a:ext uri="{FF2B5EF4-FFF2-40B4-BE49-F238E27FC236}">
                  <a16:creationId xmlns:a16="http://schemas.microsoft.com/office/drawing/2014/main" id="{7B8C458D-7018-41B2-983C-CE1689399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MÍL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18465" y="1632857"/>
              <a:ext cx="6192000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1496787</xdr:colOff>
      <xdr:row>8</xdr:row>
      <xdr:rowOff>0</xdr:rowOff>
    </xdr:from>
    <xdr:to>
      <xdr:col>23</xdr:col>
      <xdr:colOff>387001</xdr:colOff>
      <xdr:row>14</xdr:row>
      <xdr:rowOff>153000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7" name="SUB-FAMÍLIA">
              <a:extLst>
                <a:ext uri="{FF2B5EF4-FFF2-40B4-BE49-F238E27FC236}">
                  <a16:creationId xmlns:a16="http://schemas.microsoft.com/office/drawing/2014/main" id="{F6AF2658-F8F9-43D8-AAFE-5CC1036DD5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-FAMÍL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36930" y="1632857"/>
              <a:ext cx="12960000" cy="129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340179</xdr:colOff>
      <xdr:row>16</xdr:row>
      <xdr:rowOff>0</xdr:rowOff>
    </xdr:from>
    <xdr:to>
      <xdr:col>25</xdr:col>
      <xdr:colOff>382822</xdr:colOff>
      <xdr:row>40</xdr:row>
      <xdr:rowOff>169200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B2EE5ED3-2AFB-46F4-A142-D21F54BE02F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18</xdr:col>
      <xdr:colOff>340179</xdr:colOff>
      <xdr:row>41</xdr:row>
      <xdr:rowOff>0</xdr:rowOff>
    </xdr:from>
    <xdr:to>
      <xdr:col>25</xdr:col>
      <xdr:colOff>382822</xdr:colOff>
      <xdr:row>66</xdr:row>
      <xdr:rowOff>183900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7034B9AF-77CC-498A-BCAB-9DA0D179BC5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14</xdr:row>
          <xdr:rowOff>171450</xdr:rowOff>
        </xdr:from>
        <xdr:to>
          <xdr:col>3</xdr:col>
          <xdr:colOff>1447800</xdr:colOff>
          <xdr:row>15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4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AJUSTE DE ESCALAS (LINEAR/PIZZA)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1466850</xdr:colOff>
          <xdr:row>14</xdr:row>
          <xdr:rowOff>171450</xdr:rowOff>
        </xdr:from>
        <xdr:to>
          <xdr:col>7</xdr:col>
          <xdr:colOff>457200</xdr:colOff>
          <xdr:row>15</xdr:row>
          <xdr:rowOff>171450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4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AJUSTE DE ESCALAS (LOGARÍTMICA/PIZZA DE PIZZA)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142875</xdr:colOff>
          <xdr:row>14</xdr:row>
          <xdr:rowOff>171450</xdr:rowOff>
        </xdr:from>
        <xdr:to>
          <xdr:col>15</xdr:col>
          <xdr:colOff>3381375</xdr:colOff>
          <xdr:row>15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4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ANÁLISE DE GASTOS POR PRODUTO (%)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0.18223</cdr:x>
      <cdr:y>0.46603</cdr:y>
    </cdr:from>
    <cdr:to>
      <cdr:x>0.26097</cdr:x>
      <cdr:y>0.59727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0F0C8FA6-9B21-01AF-340A-C3105133F131}"/>
            </a:ext>
          </a:extLst>
        </cdr:cNvPr>
        <cdr:cNvSpPr txBox="1"/>
      </cdr:nvSpPr>
      <cdr:spPr>
        <a:xfrm xmlns:a="http://schemas.openxmlformats.org/drawingml/2006/main">
          <a:off x="1312083" y="2305167"/>
          <a:ext cx="566928" cy="6491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pt-BR" sz="1200" b="1" kern="1200">
              <a:solidFill>
                <a:sysClr val="windowText" lastClr="000000"/>
              </a:solidFill>
              <a:latin typeface="+mn-lt"/>
            </a:rPr>
            <a:t>0</a:t>
          </a:r>
        </a:p>
      </cdr:txBody>
    </cdr:sp>
  </cdr:relSizeAnchor>
  <cdr:relSizeAnchor xmlns:cdr="http://schemas.openxmlformats.org/drawingml/2006/chartDrawing">
    <cdr:from>
      <cdr:x>0.74965</cdr:x>
      <cdr:y>0.46747</cdr:y>
    </cdr:from>
    <cdr:to>
      <cdr:x>0.90713</cdr:x>
      <cdr:y>0.59871</cdr:y>
    </cdr:to>
    <cdr:sp macro="" textlink="AUXILIAR_DASHBOARD!$D$223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3DE38E33-F853-6E6B-71C2-041808FFA7E4}"/>
            </a:ext>
          </a:extLst>
        </cdr:cNvPr>
        <cdr:cNvSpPr txBox="1"/>
      </cdr:nvSpPr>
      <cdr:spPr>
        <a:xfrm xmlns:a="http://schemas.openxmlformats.org/drawingml/2006/main">
          <a:off x="5397515" y="2312303"/>
          <a:ext cx="1133856" cy="6491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C11D2EC-854A-447F-BE2D-FB1BD5BD80A5}" type="TxLink">
            <a:rPr lang="en-US" sz="1200" b="1" i="0" u="none" strike="noStrike" kern="1200">
              <a:solidFill>
                <a:sysClr val="windowText" lastClr="000000"/>
              </a:solidFill>
              <a:latin typeface="+mn-lt"/>
            </a:rPr>
            <a:pPr algn="ctr"/>
            <a:t>R$ 19.800.000,00</a:t>
          </a:fld>
          <a:endParaRPr lang="pt-BR" sz="1200" b="1" kern="1200">
            <a:solidFill>
              <a:sysClr val="windowText" lastClr="000000"/>
            </a:solidFill>
            <a:latin typeface="+mn-lt"/>
          </a:endParaRPr>
        </a:p>
      </cdr:txBody>
    </cdr:sp>
  </cdr:relSizeAnchor>
  <cdr:relSizeAnchor xmlns:cdr="http://schemas.openxmlformats.org/drawingml/2006/chartDrawing">
    <cdr:from>
      <cdr:x>0.36852</cdr:x>
      <cdr:y>0.34043</cdr:y>
    </cdr:from>
    <cdr:to>
      <cdr:x>0.62852</cdr:x>
      <cdr:y>0.71889</cdr:y>
    </cdr:to>
    <cdr:sp macro="" textlink="">
      <cdr:nvSpPr>
        <cdr:cNvPr id="4" name="Elipse 3">
          <a:extLst xmlns:a="http://schemas.openxmlformats.org/drawingml/2006/main">
            <a:ext uri="{FF2B5EF4-FFF2-40B4-BE49-F238E27FC236}">
              <a16:creationId xmlns:a16="http://schemas.microsoft.com/office/drawing/2014/main" id="{E0B7E81B-FBD0-8384-CD6D-93515DB9E7B4}"/>
            </a:ext>
          </a:extLst>
        </cdr:cNvPr>
        <cdr:cNvSpPr>
          <a:spLocks xmlns:a="http://schemas.openxmlformats.org/drawingml/2006/main" noChangeAspect="1"/>
        </cdr:cNvSpPr>
      </cdr:nvSpPr>
      <cdr:spPr>
        <a:xfrm xmlns:a="http://schemas.openxmlformats.org/drawingml/2006/main">
          <a:off x="2653363" y="1683912"/>
          <a:ext cx="1872000" cy="1872000"/>
        </a:xfrm>
        <a:prstGeom xmlns:a="http://schemas.openxmlformats.org/drawingml/2006/main" prst="ellipse">
          <a:avLst/>
        </a:prstGeom>
        <a:solidFill xmlns:a="http://schemas.openxmlformats.org/drawingml/2006/main">
          <a:schemeClr val="bg1">
            <a:lumMod val="85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 kern="1200"/>
        </a:p>
      </cdr:txBody>
    </cdr:sp>
  </cdr:relSizeAnchor>
  <cdr:relSizeAnchor xmlns:cdr="http://schemas.openxmlformats.org/drawingml/2006/chartDrawing">
    <cdr:from>
      <cdr:x>0.42365</cdr:x>
      <cdr:y>0.35997</cdr:y>
    </cdr:from>
    <cdr:to>
      <cdr:x>0.58113</cdr:x>
      <cdr:y>0.4912</cdr:y>
    </cdr:to>
    <cdr:sp macro="" textlink="AUXILIAR_DASHBOARD!$D$226">
      <cdr:nvSpPr>
        <cdr:cNvPr id="5" name="CaixaDeTexto 1">
          <a:extLst xmlns:a="http://schemas.openxmlformats.org/drawingml/2006/main">
            <a:ext uri="{FF2B5EF4-FFF2-40B4-BE49-F238E27FC236}">
              <a16:creationId xmlns:a16="http://schemas.microsoft.com/office/drawing/2014/main" id="{A58D0906-1302-D3AC-AAF3-C4DDC34F846B}"/>
            </a:ext>
          </a:extLst>
        </cdr:cNvPr>
        <cdr:cNvSpPr txBox="1"/>
      </cdr:nvSpPr>
      <cdr:spPr>
        <a:xfrm xmlns:a="http://schemas.openxmlformats.org/drawingml/2006/main">
          <a:off x="3050280" y="1780556"/>
          <a:ext cx="1133856" cy="64911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487E937-C9EC-4752-B7A4-27E1B50C4A5B}" type="TxLink">
            <a:rPr lang="en-US" sz="1200" b="1" i="0" u="none" strike="noStrike" kern="1200">
              <a:solidFill>
                <a:srgbClr val="000000"/>
              </a:solidFill>
              <a:latin typeface="Aptos Narrow"/>
            </a:rPr>
            <a:pPr algn="ctr"/>
            <a:t>0,13%</a:t>
          </a:fld>
          <a:endParaRPr lang="pt-BR" sz="1200" b="1" kern="1200"/>
        </a:p>
      </cdr:txBody>
    </cdr:sp>
  </cdr:relSizeAnchor>
  <cdr:relSizeAnchor xmlns:cdr="http://schemas.openxmlformats.org/drawingml/2006/chartDrawing">
    <cdr:from>
      <cdr:x>0.4219</cdr:x>
      <cdr:y>0.40862</cdr:y>
    </cdr:from>
    <cdr:to>
      <cdr:x>0.57938</cdr:x>
      <cdr:y>0.53985</cdr:y>
    </cdr:to>
    <cdr:sp macro="" textlink="AUXILIAR_DASHBOARD!$B$226">
      <cdr:nvSpPr>
        <cdr:cNvPr id="6" name="CaixaDeTexto 1">
          <a:extLst xmlns:a="http://schemas.openxmlformats.org/drawingml/2006/main">
            <a:ext uri="{FF2B5EF4-FFF2-40B4-BE49-F238E27FC236}">
              <a16:creationId xmlns:a16="http://schemas.microsoft.com/office/drawing/2014/main" id="{5DC06856-DF41-50E4-DAA5-F3D342BC0275}"/>
            </a:ext>
          </a:extLst>
        </cdr:cNvPr>
        <cdr:cNvSpPr txBox="1"/>
      </cdr:nvSpPr>
      <cdr:spPr>
        <a:xfrm xmlns:a="http://schemas.openxmlformats.org/drawingml/2006/main">
          <a:off x="3037679" y="2021212"/>
          <a:ext cx="1133856" cy="64911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34CA0E0-F6AB-42AA-8F7C-CBEAC73CADF7}" type="TxLink">
            <a:rPr lang="en-US" sz="1200" b="1" i="0" u="none" strike="noStrike" kern="1200">
              <a:solidFill>
                <a:srgbClr val="000000"/>
              </a:solidFill>
              <a:latin typeface="Aptos Narrow"/>
            </a:rPr>
            <a:pPr algn="ctr"/>
            <a:t>VALOR REAL</a:t>
          </a:fld>
          <a:endParaRPr lang="pt-BR" sz="1200" b="1" kern="1200"/>
        </a:p>
      </cdr:txBody>
    </cdr:sp>
  </cdr:relSizeAnchor>
  <cdr:relSizeAnchor xmlns:cdr="http://schemas.openxmlformats.org/drawingml/2006/chartDrawing">
    <cdr:from>
      <cdr:x>0.31683</cdr:x>
      <cdr:y>0.53519</cdr:y>
    </cdr:from>
    <cdr:to>
      <cdr:x>0.67683</cdr:x>
      <cdr:y>0.75829</cdr:y>
    </cdr:to>
    <cdr:sp macro="" textlink="">
      <cdr:nvSpPr>
        <cdr:cNvPr id="7" name="Retângulo 6">
          <a:extLst xmlns:a="http://schemas.openxmlformats.org/drawingml/2006/main">
            <a:ext uri="{FF2B5EF4-FFF2-40B4-BE49-F238E27FC236}">
              <a16:creationId xmlns:a16="http://schemas.microsoft.com/office/drawing/2014/main" id="{48069695-A712-4D74-AC8D-F18BE964CAA0}"/>
            </a:ext>
          </a:extLst>
        </cdr:cNvPr>
        <cdr:cNvSpPr/>
      </cdr:nvSpPr>
      <cdr:spPr>
        <a:xfrm xmlns:a="http://schemas.openxmlformats.org/drawingml/2006/main">
          <a:off x="2281178" y="2647251"/>
          <a:ext cx="2592000" cy="1103541"/>
        </a:xfrm>
        <a:prstGeom xmlns:a="http://schemas.openxmlformats.org/drawingml/2006/main" prst="rect">
          <a:avLst/>
        </a:prstGeom>
        <a:solidFill xmlns:a="http://schemas.openxmlformats.org/drawingml/2006/main">
          <a:schemeClr val="tx1">
            <a:lumMod val="75000"/>
            <a:lumOff val="25000"/>
          </a:schemeClr>
        </a:solidFill>
        <a:ln xmlns:a="http://schemas.openxmlformats.org/drawingml/2006/main">
          <a:solidFill>
            <a:schemeClr val="tx1">
              <a:lumMod val="75000"/>
              <a:lumOff val="25000"/>
            </a:schemeClr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 kern="1200"/>
        </a:p>
      </cdr:txBody>
    </cdr:sp>
  </cdr:relSizeAnchor>
  <cdr:relSizeAnchor xmlns:cdr="http://schemas.openxmlformats.org/drawingml/2006/chartDrawing">
    <cdr:from>
      <cdr:x>0.41905</cdr:x>
      <cdr:y>0.03131</cdr:y>
    </cdr:from>
    <cdr:to>
      <cdr:x>0.57653</cdr:x>
      <cdr:y>0.16255</cdr:y>
    </cdr:to>
    <cdr:sp macro="" textlink="AUXILIAR_DASHBOARD!$C$223">
      <cdr:nvSpPr>
        <cdr:cNvPr id="8" name="CaixaDeTexto 1">
          <a:extLst xmlns:a="http://schemas.openxmlformats.org/drawingml/2006/main">
            <a:ext uri="{FF2B5EF4-FFF2-40B4-BE49-F238E27FC236}">
              <a16:creationId xmlns:a16="http://schemas.microsoft.com/office/drawing/2014/main" id="{72655211-3A1A-B109-D474-355C898E2614}"/>
            </a:ext>
          </a:extLst>
        </cdr:cNvPr>
        <cdr:cNvSpPr txBox="1"/>
      </cdr:nvSpPr>
      <cdr:spPr>
        <a:xfrm xmlns:a="http://schemas.openxmlformats.org/drawingml/2006/main">
          <a:off x="3004415" y="154862"/>
          <a:ext cx="1129066" cy="6491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155B428-17F9-4350-8E07-2B8FA5405D8C}" type="TxLink">
            <a:rPr lang="en-US" sz="1200" b="1" i="0" u="none" strike="noStrike" kern="1200">
              <a:solidFill>
                <a:srgbClr val="000000"/>
              </a:solidFill>
              <a:latin typeface="Aptos Narrow"/>
            </a:rPr>
            <a:pPr algn="ctr"/>
            <a:t>R$ 9.900.000,00</a:t>
          </a:fld>
          <a:endParaRPr lang="pt-BR" sz="1200" b="1" kern="1200">
            <a:solidFill>
              <a:sysClr val="windowText" lastClr="000000"/>
            </a:solidFill>
            <a:latin typeface="+mn-lt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19050</xdr:rowOff>
        </xdr:from>
        <xdr:to>
          <xdr:col>12</xdr:col>
          <xdr:colOff>228600</xdr:colOff>
          <xdr:row>3</xdr:row>
          <xdr:rowOff>66675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OCULTAR PLANILHAS AUXILIARES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</xdr:row>
          <xdr:rowOff>9525</xdr:rowOff>
        </xdr:from>
        <xdr:to>
          <xdr:col>12</xdr:col>
          <xdr:colOff>228600</xdr:colOff>
          <xdr:row>6</xdr:row>
          <xdr:rowOff>38100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EXIBIR PLANILHAS AUXILIARES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8" xr16:uid="{D42331BE-E8C6-4E21-9368-9AE22E08012A}" autoFormatId="16" applyNumberFormats="0" applyBorderFormats="0" applyFontFormats="0" applyPatternFormats="0" applyAlignmentFormats="0" applyWidthHeightFormats="0">
  <queryTableRefresh nextId="9">
    <queryTableFields count="7">
      <queryTableField id="1" name="DESCRIÇÃO" tableColumnId="1"/>
      <queryTableField id="2" name="FABRICANTE DE REFERÊNCIA" tableColumnId="2"/>
      <queryTableField id="3" name="UN." tableColumnId="3"/>
      <queryTableField id="4" name="QUANTIDADE" tableColumnId="4"/>
      <queryTableField id="5" name="PREÇO MÉDIO R$" tableColumnId="5"/>
      <queryTableField id="7" name="VALOR TOTAL R$" tableColumnId="7"/>
      <queryTableField id="6" name="DATA DE ATUALIZAÇÃO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6CCC482E-9807-48B5-8803-CBA1478BDFDC}" autoFormatId="16" applyNumberFormats="0" applyBorderFormats="0" applyFontFormats="0" applyPatternFormats="0" applyAlignmentFormats="0" applyWidthHeightFormats="0">
  <queryTableRefresh nextId="12" unboundColumnsRight="1">
    <queryTableFields count="10">
      <queryTableField id="1" name="ITEM" tableColumnId="1"/>
      <queryTableField id="2" name="DESCRIÇÃO" tableColumnId="2"/>
      <queryTableField id="3" name="FABRICANTE DE REFERÊNCIA" tableColumnId="3"/>
      <queryTableField id="4" name="UN." tableColumnId="4"/>
      <queryTableField id="5" name="QTD." tableColumnId="5"/>
      <queryTableField id="6" name="OBS." tableColumnId="6"/>
      <queryTableField id="7" name="PREÇO MÉDIO R$" tableColumnId="7"/>
      <queryTableField id="9" name="VALOR TOTAL R$" tableColumnId="9"/>
      <queryTableField id="8" name="DATA DE ATUALIZAÇÃO" tableColumnId="8"/>
      <queryTableField id="11" dataBound="0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A81DD21B-E9FC-4F51-8135-2D499D57D6AA}" autoFormatId="16" applyNumberFormats="0" applyBorderFormats="0" applyFontFormats="0" applyPatternFormats="0" applyAlignmentFormats="0" applyWidthHeightFormats="0">
  <queryTableRefresh nextId="12" unboundColumnsRight="1">
    <queryTableFields count="10">
      <queryTableField id="1" name="ITEM" tableColumnId="1"/>
      <queryTableField id="2" name="DESCRIÇÃO" tableColumnId="2"/>
      <queryTableField id="3" name="FABRICANTE DE REFERÊNCIA" tableColumnId="3"/>
      <queryTableField id="4" name="UN." tableColumnId="4"/>
      <queryTableField id="5" name="QTD." tableColumnId="5"/>
      <queryTableField id="6" name="OBS." tableColumnId="6"/>
      <queryTableField id="7" name="PREÇO MÉDIO R$" tableColumnId="7"/>
      <queryTableField id="9" name="VALOR TOTAL R$" tableColumnId="9"/>
      <queryTableField id="8" name="DATA DE ATUALIZAÇÃO" tableColumnId="8"/>
      <queryTableField id="11" dataBound="0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EB3E7B78-5A91-4C17-8E0E-E39ED92DDDEE}" autoFormatId="16" applyNumberFormats="0" applyBorderFormats="0" applyFontFormats="0" applyPatternFormats="0" applyAlignmentFormats="0" applyWidthHeightFormats="0">
  <queryTableRefresh nextId="12" unboundColumnsRight="1">
    <queryTableFields count="10">
      <queryTableField id="1" name="ITEM" tableColumnId="1"/>
      <queryTableField id="2" name="DESCRIÇÃO" tableColumnId="2"/>
      <queryTableField id="3" name="FABRICANTE DE REFERÊNCIA" tableColumnId="3"/>
      <queryTableField id="4" name="UN." tableColumnId="4"/>
      <queryTableField id="5" name="QTD." tableColumnId="5"/>
      <queryTableField id="6" name="OBS." tableColumnId="6"/>
      <queryTableField id="7" name="PREÇO MÉDIO R$" tableColumnId="7"/>
      <queryTableField id="9" name="VALOR TOTAL R$" tableColumnId="9"/>
      <queryTableField id="8" name="DATA DE ATUALIZAÇÃO" tableColumnId="8"/>
      <queryTableField id="11" dataBound="0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4" xr16:uid="{5A338192-C3CE-43B2-836D-47FF5DBAB1D5}" autoFormatId="16" applyNumberFormats="0" applyBorderFormats="0" applyFontFormats="0" applyPatternFormats="0" applyAlignmentFormats="0" applyWidthHeightFormats="0">
  <queryTableRefresh nextId="12" unboundColumnsRight="1">
    <queryTableFields count="10">
      <queryTableField id="1" name="ITEM" tableColumnId="1"/>
      <queryTableField id="2" name="DESCRIÇÃO" tableColumnId="2"/>
      <queryTableField id="3" name="FABRICANTE DE REFERÊNCIA" tableColumnId="3"/>
      <queryTableField id="4" name="UN." tableColumnId="4"/>
      <queryTableField id="5" name="QTD." tableColumnId="5"/>
      <queryTableField id="6" name="OBS." tableColumnId="6"/>
      <queryTableField id="7" name="PREÇO MÉDIO R$" tableColumnId="7"/>
      <queryTableField id="9" name="VALOR TOTAL R$" tableColumnId="9"/>
      <queryTableField id="8" name="DATA DE ATUALIZAÇÃO" tableColumnId="8"/>
      <queryTableField id="11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5" xr16:uid="{89A82717-5162-42A1-844F-46630F574FE5}" autoFormatId="16" applyNumberFormats="0" applyBorderFormats="0" applyFontFormats="0" applyPatternFormats="0" applyAlignmentFormats="0" applyWidthHeightFormats="0">
  <queryTableRefresh nextId="12" unboundColumnsRight="1">
    <queryTableFields count="10">
      <queryTableField id="1" name="ITEM" tableColumnId="1"/>
      <queryTableField id="2" name="DESCRIÇÃO" tableColumnId="2"/>
      <queryTableField id="3" name="FABRICANTE DE REFERÊNCIA" tableColumnId="3"/>
      <queryTableField id="4" name="UN." tableColumnId="4"/>
      <queryTableField id="5" name="QTD." tableColumnId="5"/>
      <queryTableField id="6" name="OBS." tableColumnId="6"/>
      <queryTableField id="7" name="PREÇO MÉDIO R$" tableColumnId="7"/>
      <queryTableField id="9" name="VALOR TOTAL R$" tableColumnId="9"/>
      <queryTableField id="8" name="DATA DE ATUALIZAÇÃO" tableColumnId="8"/>
      <queryTableField id="11" dataBound="0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EE67E0BB-1B60-4700-A304-B61D0BBE46F3}" autoFormatId="16" applyNumberFormats="0" applyBorderFormats="0" applyFontFormats="0" applyPatternFormats="0" applyAlignmentFormats="0" applyWidthHeightFormats="0">
  <queryTableRefresh nextId="12" unboundColumnsRight="1">
    <queryTableFields count="10">
      <queryTableField id="1" name="ITEM" tableColumnId="1"/>
      <queryTableField id="2" name="DESCRIÇÃO" tableColumnId="2"/>
      <queryTableField id="3" name="FABRICANTE DE REFERÊNCIA" tableColumnId="3"/>
      <queryTableField id="4" name="UN." tableColumnId="4"/>
      <queryTableField id="5" name="QTD." tableColumnId="5"/>
      <queryTableField id="6" name="OBS." tableColumnId="6"/>
      <queryTableField id="7" name="PREÇO MÉDIO R$" tableColumnId="7"/>
      <queryTableField id="9" name="VALOR TOTAL R$" tableColumnId="9"/>
      <queryTableField id="8" name="DATA DE ATUALIZAÇÃO" tableColumnId="8"/>
      <queryTableField id="11" dataBound="0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0" xr16:uid="{A41CC071-26E3-43D6-A504-C76E2EA3F204}" autoFormatId="16" applyNumberFormats="0" applyBorderFormats="0" applyFontFormats="0" applyPatternFormats="0" applyAlignmentFormats="0" applyWidthHeightFormats="0">
  <queryTableRefresh nextId="12" unboundColumnsRight="1">
    <queryTableFields count="10">
      <queryTableField id="1" name="ITEM" tableColumnId="1"/>
      <queryTableField id="2" name="DESCRIÇÃO" tableColumnId="2"/>
      <queryTableField id="3" name="FABRICANTE DE REFERÊNCIA" tableColumnId="3"/>
      <queryTableField id="4" name="UN." tableColumnId="4"/>
      <queryTableField id="5" name="QTD." tableColumnId="5"/>
      <queryTableField id="6" name="OBS." tableColumnId="6"/>
      <queryTableField id="7" name="PREÇO MÉDIO R$" tableColumnId="7"/>
      <queryTableField id="9" name="VALOR TOTAL R$" tableColumnId="9"/>
      <queryTableField id="8" name="DATA DE ATUALIZAÇÃO" tableColumnId="8"/>
      <queryTableField id="11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73EDAF1C-FA5D-4A16-972B-D7377AE45A5D}" autoFormatId="16" applyNumberFormats="0" applyBorderFormats="0" applyFontFormats="0" applyPatternFormats="0" applyAlignmentFormats="0" applyWidthHeightFormats="0">
  <queryTableRefresh nextId="12" unboundColumnsRight="1">
    <queryTableFields count="10">
      <queryTableField id="1" name="ITEM" tableColumnId="1"/>
      <queryTableField id="2" name="DESCRIÇÃO" tableColumnId="2"/>
      <queryTableField id="3" name="FABRICANTE DE REFERÊNCIA" tableColumnId="3"/>
      <queryTableField id="4" name="UN." tableColumnId="4"/>
      <queryTableField id="5" name="QTD." tableColumnId="5"/>
      <queryTableField id="6" name="OBS." tableColumnId="6"/>
      <queryTableField id="7" name="PREÇO MÉDIO R$" tableColumnId="7"/>
      <queryTableField id="9" name="VALOR TOTAL R$" tableColumnId="9"/>
      <queryTableField id="8" name="DATA DE ATUALIZAÇÃO" tableColumnId="8"/>
      <queryTableField id="11" dataBound="0" tableColumnId="10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529C68F3-6A0C-463E-A1F9-1321ADD797E5}" autoFormatId="16" applyNumberFormats="0" applyBorderFormats="0" applyFontFormats="0" applyPatternFormats="0" applyAlignmentFormats="0" applyWidthHeightFormats="0">
  <queryTableRefresh nextId="12" unboundColumnsRight="1">
    <queryTableFields count="10">
      <queryTableField id="1" name="ITEM" tableColumnId="1"/>
      <queryTableField id="2" name="DESCRIÇÃO" tableColumnId="2"/>
      <queryTableField id="3" name="FABRICANTE DE REFERÊNCIA" tableColumnId="3"/>
      <queryTableField id="4" name="UN." tableColumnId="4"/>
      <queryTableField id="5" name="QTD." tableColumnId="5"/>
      <queryTableField id="6" name="OBS." tableColumnId="6"/>
      <queryTableField id="7" name="PREÇO MÉDIO R$" tableColumnId="7"/>
      <queryTableField id="9" name="VALOR TOTAL R$" tableColumnId="9"/>
      <queryTableField id="8" name="DATA DE ATUALIZAÇÃO" tableColumnId="8"/>
      <queryTableField id="11" dataBound="0" tableColumnId="10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324E10FE-0256-434B-8E26-F57ACC433FB0}" autoFormatId="16" applyNumberFormats="0" applyBorderFormats="0" applyFontFormats="0" applyPatternFormats="0" applyAlignmentFormats="0" applyWidthHeightFormats="0">
  <queryTableRefresh nextId="12" unboundColumnsRight="1">
    <queryTableFields count="10">
      <queryTableField id="1" name="ITEM" tableColumnId="1"/>
      <queryTableField id="2" name="DESCRIÇÃO" tableColumnId="2"/>
      <queryTableField id="3" name="FABRICANTE DE REFERÊNCIA" tableColumnId="3"/>
      <queryTableField id="4" name="UN." tableColumnId="4"/>
      <queryTableField id="5" name="QTD." tableColumnId="5"/>
      <queryTableField id="6" name="OBS." tableColumnId="6"/>
      <queryTableField id="7" name="PREÇO MÉDIO R$" tableColumnId="7"/>
      <queryTableField id="9" name="VALOR TOTAL R$" tableColumnId="9"/>
      <queryTableField id="8" name="DATA DE ATUALIZAÇÃO" tableColumnId="8"/>
      <queryTableField id="11" dataBound="0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MÍLIA" xr10:uid="{63A25F39-0319-4A4A-953A-467DC02737CC}" sourceName="FAMÍLIA">
  <extLst>
    <x:ext xmlns:x15="http://schemas.microsoft.com/office/spreadsheetml/2010/11/main" uri="{2F2917AC-EB37-4324-AD4E-5DD8C200BD13}">
      <x15:tableSlicerCache tableId="26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MÍLIA1" xr10:uid="{25764AE7-60CC-4E7E-8D08-010E227DB264}" sourceName="FAMÍLIA">
  <extLst>
    <x:ext xmlns:x15="http://schemas.microsoft.com/office/spreadsheetml/2010/11/main" uri="{2F2917AC-EB37-4324-AD4E-5DD8C200BD13}">
      <x15:tableSlicerCache tableId="30" column="1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B_FAMÍLIA" xr10:uid="{2EC95124-12BA-4AAA-916A-1A4476686F42}" sourceName="SUB-FAMÍLIA">
  <extLst>
    <x:ext xmlns:x15="http://schemas.microsoft.com/office/spreadsheetml/2010/11/main" uri="{2F2917AC-EB37-4324-AD4E-5DD8C200BD13}">
      <x15:tableSlicerCache tableId="30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MÍLIA" xr10:uid="{E9DFC53A-9CC1-4215-A16F-C9515C4F7A92}" cache="SegmentaçãodeDados_FAMÍLIA" caption="ANÁLISE DE GASTOS POR FAMÍLIA" columnCount="4" style="SlicerStyleDark1" rowHeight="257175"/>
  <slicer name="FAMÍLIA 1" xr10:uid="{19A1D737-B721-4776-BB64-46CA17105FB5}" cache="SegmentaçãodeDados_FAMÍLIA1" caption="ANÁLISE DE GASTOS POR PRODUTO (FAMÍLIA)" columnCount="4" style="SlicerStyleDark1" rowHeight="257175"/>
  <slicer name="SUB-FAMÍLIA" xr10:uid="{499C7006-95DC-4DDC-9EA2-823240AD90BA}" cache="SegmentaçãodeDados_SUB_FAMÍLIA" caption="ANÁLISE DE GASTOS POR PRODUTO (SUB-FAMÍLIA)" columnCount="10" style="SlicerStyleDark1" rowHeight="257175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D85DEA-A73F-4D69-BD56-EC84D75EBE16}" name="TABELA_MÃE" displayName="TABELA_MÃE" ref="A1:I2778" totalsRowShown="0" headerRowDxfId="184" dataDxfId="183">
  <autoFilter ref="A1:I2778" xr:uid="{5AD85DEA-A73F-4D69-BD56-EC84D75EBE16}"/>
  <tableColumns count="9">
    <tableColumn id="1" xr3:uid="{36F1E5AC-162E-455C-8A11-C1E574B35753}" name="FAMÍLIA" dataDxfId="182"/>
    <tableColumn id="2" xr3:uid="{0080DCBD-ED56-43BB-AA19-26DE17CEC112}" name="SUB-FAMÍLIA" dataDxfId="181"/>
    <tableColumn id="3" xr3:uid="{C68EF6E8-B33E-45AC-838A-0AD2C82E9CC5}" name="CODIGO SINAPI" dataDxfId="180"/>
    <tableColumn id="4" xr3:uid="{8127D77E-94F3-4ADC-AEF0-8BA002A0C125}" name="DESCRIÇÃO" dataDxfId="179"/>
    <tableColumn id="5" xr3:uid="{2A631C97-5AD1-45AD-8D29-A1CA148BEB44}" name="FABRICANTE DE REFERÊNCIA" dataDxfId="178"/>
    <tableColumn id="6" xr3:uid="{64CCDF7C-4043-4FD3-9AF1-C2E57827FB09}" name="UN." dataDxfId="177"/>
    <tableColumn id="9" xr3:uid="{6F2A1442-83B7-4736-879B-156BEAFA41E3}" name="PREÇO MÉDIO R$" dataDxfId="176"/>
    <tableColumn id="10" xr3:uid="{823EF21C-0F54-4955-8D6F-CD97234C7B46}" name="DATA DE ATUALIZAÇÃO" dataDxfId="175"/>
    <tableColumn id="8" xr3:uid="{EF311467-C5FF-4CE7-9067-7B65E0ED5DBE}" name="FONTE DO PREÇO MÉDIO" dataDxfId="1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A1A3AAB-86A1-4B6A-9896-F29DD4DC5672}" name="TABELA_GERAL" displayName="TABELA_GERAL" ref="C7:I8" tableType="queryTable" insertRow="1" totalsRowShown="0" headerRowDxfId="173" dataDxfId="171" headerRowBorderDxfId="172">
  <autoFilter ref="C7:I8" xr:uid="{DA1A3AAB-86A1-4B6A-9896-F29DD4DC5672}"/>
  <tableColumns count="7">
    <tableColumn id="1" xr3:uid="{54D2B4E1-F90E-4158-94CD-C4EBF4D050AE}" uniqueName="1" name="DESCRIÇÃO" queryTableFieldId="1" dataDxfId="170"/>
    <tableColumn id="2" xr3:uid="{810C2382-48B5-4BBF-9AAA-39BB50243716}" uniqueName="2" name="FABRICANTE DE REFERÊNCIA" queryTableFieldId="2" dataDxfId="169"/>
    <tableColumn id="3" xr3:uid="{313DFC53-9CEF-4193-A045-C58A99E7509F}" uniqueName="3" name="UN." queryTableFieldId="3" dataDxfId="168"/>
    <tableColumn id="4" xr3:uid="{0B0FE84D-673C-44F1-87A2-13ADF3DED57C}" uniqueName="4" name="QUANTIDADE" queryTableFieldId="4" dataDxfId="167"/>
    <tableColumn id="5" xr3:uid="{EA296157-B15C-420F-93B0-F55C93B41354}" uniqueName="5" name="PREÇO MÉDIO R$" queryTableFieldId="5" dataDxfId="166"/>
    <tableColumn id="7" xr3:uid="{D47F7039-56C9-4C9C-B1D2-505D767B2643}" uniqueName="7" name="VALOR TOTAL R$" queryTableFieldId="7" dataDxfId="165"/>
    <tableColumn id="6" xr3:uid="{B7A81A07-BD8F-4BEE-8CED-5FEC50843F9E}" uniqueName="6" name="DATA DE ATUALIZAÇÃO" queryTableFieldId="6" dataDxfId="164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0237E17-325E-4369-A735-CD55CE2B9772}" name="TABELA_ATERRAMENTO" displayName="TABELA_ATERRAMENTO" ref="B7:J31" totalsRowShown="0" headerRowDxfId="163" dataDxfId="161" headerRowBorderDxfId="162" tableBorderDxfId="160">
  <autoFilter ref="B7:J31" xr:uid="{F0237E17-325E-4369-A735-CD55CE2B9772}"/>
  <tableColumns count="9">
    <tableColumn id="2" xr3:uid="{B81B4031-16CB-40F6-AA34-26088AB03BBF}" name="ITEM" dataDxfId="159"/>
    <tableColumn id="3" xr3:uid="{CDC4527B-8F4A-4941-8955-ADC4D9113429}" name="DESCRIÇÃO" dataDxfId="158"/>
    <tableColumn id="4" xr3:uid="{077B3071-B39E-4EFB-81F1-C754BA6E0248}" name="FABRICANTE DE REFERÊNCIA" dataDxfId="157">
      <calculatedColumnFormula>IFERROR(VLOOKUP(TABELA_ATERRAMENTO[[#This Row],[DESCRIÇÃO]],'TABELA MÃE'!D:E,2,FALSE),"")</calculatedColumnFormula>
    </tableColumn>
    <tableColumn id="5" xr3:uid="{E791CD05-A685-4EA7-B258-20C7EA446E20}" name="UN." dataDxfId="156">
      <calculatedColumnFormula>IFERROR(VLOOKUP(TABELA_ATERRAMENTO[[#This Row],[DESCRIÇÃO]],'TABELA MÃE'!D:F,3,FALSE),"")</calculatedColumnFormula>
    </tableColumn>
    <tableColumn id="6" xr3:uid="{A4805FDE-11F2-4547-8E1B-BEF32394CA8D}" name="QTD." dataDxfId="155"/>
    <tableColumn id="7" xr3:uid="{46681321-1873-4556-8759-B05292F80F8B}" name="OBS." dataDxfId="154"/>
    <tableColumn id="8" xr3:uid="{E568E643-BD03-46E3-B653-2D05ECFD8C33}" name="PREÇO MÉDIO R$" dataDxfId="153">
      <calculatedColumnFormula>IFERROR(IF(VLOOKUP(TABELA_ATERRAMENTO[[#This Row],[DESCRIÇÃO]],'TABELA MÃE'!D:H,4,FALSE)&lt;&gt;0,VLOOKUP(TABELA_ATERRAMENTO[[#This Row],[DESCRIÇÃO]],'TABELA MÃE'!D:H,4,FALSE),"SEM VALOR DE REFERÊNCIA"),"")</calculatedColumnFormula>
    </tableColumn>
    <tableColumn id="1" xr3:uid="{97A984DE-787D-43B5-A6F4-E1F2DE070955}" name="VALOR TOTAL R$" dataDxfId="152">
      <calculatedColumnFormula>IFERROR(TABELA_ATERRAMENTO[[#This Row],[QTD.]]*IF(TABELA_ATERRAMENTO[[#This Row],[PREÇO MÉDIO R$]]="SEM VALOR DE REFERÊNCIA","0",TABELA_ATERRAMENTO[[#This Row],[PREÇO MÉDIO R$]]),"0")</calculatedColumnFormula>
    </tableColumn>
    <tableColumn id="9" xr3:uid="{917BA3EE-62BC-48EC-924E-EEB6B3C49D51}" name="DATA DE ATUALIZAÇÃO" dataDxfId="151">
      <calculatedColumnFormula>IFERROR(IF(VLOOKUP(TABELA_ATERRAMENTO[[#This Row],[DESCRIÇÃO]],'TABELA MÃE'!D:H,5,FALSE)&lt;&gt;0,VLOOKUP(TABELA_ATERRAMENTO[[#This Row],[DESCRIÇÃO]],'TABELA MÃE'!D:H,5,FALSE),"SEM VALOR DE REFERÊNCIA"),"")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CD1C79F-C7C5-45C9-8D5D-893EF94945BE}" name="TABELA_CA_BT" displayName="TABELA_CA_BT" ref="B7:J32" totalsRowShown="0" headerRowDxfId="202" dataDxfId="200" headerRowBorderDxfId="201" tableBorderDxfId="199">
  <autoFilter ref="B7:J32" xr:uid="{F0237E17-325E-4369-A735-CD55CE2B9772}"/>
  <tableColumns count="9">
    <tableColumn id="2" xr3:uid="{E405D232-AB0C-4DE1-BBF6-BF46EC48C506}" name="ITEM" dataDxfId="198"/>
    <tableColumn id="3" xr3:uid="{3EF17853-458E-4442-9C85-D592401B3289}" name="DESCRIÇÃO" dataDxfId="197"/>
    <tableColumn id="4" xr3:uid="{E6E3AA51-8B77-44F0-BDEF-7D3ABAA9821F}" name="FABRICANTE DE REFERÊNCIA" dataDxfId="196">
      <calculatedColumnFormula>IFERROR(VLOOKUP(TABELA_CA_BT[[#This Row],[DESCRIÇÃO]],'TABELA MÃE'!D:E,2,FALSE),"")</calculatedColumnFormula>
    </tableColumn>
    <tableColumn id="5" xr3:uid="{9EB14328-8A7F-45D6-A269-957FED6B7A25}" name="UN." dataDxfId="195">
      <calculatedColumnFormula>IFERROR(VLOOKUP(TABELA_CA_BT[[#This Row],[DESCRIÇÃO]],'TABELA MÃE'!D:F,3,FALSE),"")</calculatedColumnFormula>
    </tableColumn>
    <tableColumn id="6" xr3:uid="{59D6F500-6B7E-4283-B84B-B045AAB45A92}" name="QTD." dataDxfId="194"/>
    <tableColumn id="7" xr3:uid="{9A9448C3-F503-4FCD-BA50-9DE2586451A9}" name="OBS." dataDxfId="193"/>
    <tableColumn id="8" xr3:uid="{61D6016F-38CB-4652-95AC-B0D6A07CDA6B}" name="PREÇO MÉDIO R$" dataDxfId="192">
      <calculatedColumnFormula>IFERROR(IF(VLOOKUP(TABELA_CA_BT[[#This Row],[DESCRIÇÃO]],'TABELA MÃE'!D:H,4,FALSE)&lt;&gt;0,VLOOKUP(TABELA_CA_BT[[#This Row],[DESCRIÇÃO]],'TABELA MÃE'!D:H,4,FALSE),"SEM VALOR DE REFERÊNCIA"),"")</calculatedColumnFormula>
    </tableColumn>
    <tableColumn id="1" xr3:uid="{51716DCD-5C55-4F0F-BE76-0DEF21624DEF}" name="VALOR TOTAL R$" dataDxfId="191" dataCellStyle="Moeda">
      <calculatedColumnFormula>IFERROR(TABELA_CA_BT[[#This Row],[QTD.]]*IF(TABELA_CA_BT[[#This Row],[PREÇO MÉDIO R$]]="SEM VALOR DE REFERÊNCIA","0",TABELA_CA_BT[[#This Row],[PREÇO MÉDIO R$]]),"0")</calculatedColumnFormula>
    </tableColumn>
    <tableColumn id="9" xr3:uid="{8769A77D-42D0-4FAA-9326-72EA3638FF6B}" name="DATA DE ATUALIZAÇÃO" dataDxfId="190">
      <calculatedColumnFormula>IFERROR(IF(VLOOKUP(TABELA_CA_BT[[#This Row],[DESCRIÇÃO]],'TABELA MÃE'!D:H,5,FALSE)&lt;&gt;0,VLOOKUP(TABELA_CA_BT[[#This Row],[DESCRIÇÃO]],'TABELA MÃE'!D:H,5,FALSE),"SEM VALOR DE REFERÊNCIA"),"")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3779D3D-04B9-431C-B201-ADFBC5850FDD}" name="TABELA_CA_MT" displayName="TABELA_CA_MT" ref="B7:J31" totalsRowShown="0" headerRowDxfId="150" dataDxfId="148" headerRowBorderDxfId="149" tableBorderDxfId="147">
  <autoFilter ref="B7:J31" xr:uid="{F0237E17-325E-4369-A735-CD55CE2B9772}"/>
  <tableColumns count="9">
    <tableColumn id="2" xr3:uid="{22003C69-F109-48C4-8B90-153273FE710C}" name="ITEM" dataDxfId="146"/>
    <tableColumn id="3" xr3:uid="{4D626EAC-E8E7-4FA4-B7B2-7268BBF57D95}" name="DESCRIÇÃO" dataDxfId="145"/>
    <tableColumn id="4" xr3:uid="{8FBF9D1D-427A-4FB5-AF50-A46D01CAF530}" name="FABRICANTE DE REFERÊNCIA" dataDxfId="144">
      <calculatedColumnFormula>IFERROR(VLOOKUP(TABELA_CA_MT[[#This Row],[DESCRIÇÃO]],'TABELA MÃE'!D:E,2,FALSE),"")</calculatedColumnFormula>
    </tableColumn>
    <tableColumn id="5" xr3:uid="{0C9756E9-F0C4-44B8-8CF2-4A25084D0DD7}" name="UN." dataDxfId="143">
      <calculatedColumnFormula>IFERROR(VLOOKUP(TABELA_CA_MT[[#This Row],[DESCRIÇÃO]],'TABELA MÃE'!D:F,3,FALSE),"")</calculatedColumnFormula>
    </tableColumn>
    <tableColumn id="6" xr3:uid="{6DC84FCB-DBFF-4A1C-9E14-BF5B95134529}" name="QTD." dataDxfId="142"/>
    <tableColumn id="7" xr3:uid="{3281CCC6-0905-4BBF-A20C-0FD819236430}" name="OBS." dataDxfId="141"/>
    <tableColumn id="8" xr3:uid="{76E77547-DFCB-43C9-B018-0713BFC6675B}" name="PREÇO MÉDIO R$" dataDxfId="140">
      <calculatedColumnFormula>IFERROR(IF(VLOOKUP(TABELA_CA_MT[[#This Row],[DESCRIÇÃO]],'TABELA MÃE'!D:H,4,FALSE)&lt;&gt;0,VLOOKUP(TABELA_CA_MT[[#This Row],[DESCRIÇÃO]],'TABELA MÃE'!D:H,4,FALSE),"SEM VALOR DE REFERÊNCIA"),"")</calculatedColumnFormula>
    </tableColumn>
    <tableColumn id="1" xr3:uid="{A64C0DDA-0CC9-499C-82C1-1B9284E2B052}" name="VALOR TOTAL R$" dataDxfId="139">
      <calculatedColumnFormula>IFERROR(TABELA_CA_MT[[#This Row],[QTD.]]*IF(TABELA_CA_MT[[#This Row],[PREÇO MÉDIO R$]]="SEM VALOR DE REFERÊNCIA","0",TABELA_CA_MT[[#This Row],[PREÇO MÉDIO R$]]),"0")</calculatedColumnFormula>
    </tableColumn>
    <tableColumn id="9" xr3:uid="{3D5895C8-219A-4224-BA4E-8F0D478A9A9A}" name="DATA DE ATUALIZAÇÃO" dataDxfId="138">
      <calculatedColumnFormula>IFERROR(IF(VLOOKUP(TABELA_CA_MT[[#This Row],[DESCRIÇÃO]],'TABELA MÃE'!D:H,5,FALSE)&lt;&gt;0,VLOOKUP(TABELA_CA_MT[[#This Row],[DESCRIÇÃO]],'TABELA MÃE'!D:H,5,FALSE),"SEM VALOR DE REFERÊNCIA"),"")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3177CB9-6B56-46DC-9BC8-F2611C518DF7}" name="TABELA_CERCAMENTO" displayName="TABELA_CERCAMENTO" ref="B7:J31" totalsRowShown="0" headerRowDxfId="137" dataDxfId="135" headerRowBorderDxfId="136" tableBorderDxfId="134">
  <autoFilter ref="B7:J31" xr:uid="{F0237E17-325E-4369-A735-CD55CE2B9772}"/>
  <tableColumns count="9">
    <tableColumn id="2" xr3:uid="{F3AD6816-6DC9-4E29-A9FF-749AEDD27921}" name="ITEM" dataDxfId="133"/>
    <tableColumn id="3" xr3:uid="{D7F6DECF-57C9-42EA-A21C-9B63AD724AE6}" name="DESCRIÇÃO" dataDxfId="132"/>
    <tableColumn id="4" xr3:uid="{B42AFE2D-2281-4A9C-A370-13EC6A6DE615}" name="FABRICANTE DE REFERÊNCIA" dataDxfId="131">
      <calculatedColumnFormula>IFERROR(VLOOKUP(TABELA_CERCAMENTO[[#This Row],[DESCRIÇÃO]],'TABELA MÃE'!D:E,2,FALSE),"")</calculatedColumnFormula>
    </tableColumn>
    <tableColumn id="5" xr3:uid="{95DD1AF1-D572-4421-B039-7AC38B3CDA1A}" name="UN." dataDxfId="130">
      <calculatedColumnFormula>IFERROR(VLOOKUP(TABELA_CERCAMENTO[[#This Row],[DESCRIÇÃO]],'TABELA MÃE'!D:F,3,FALSE),"")</calculatedColumnFormula>
    </tableColumn>
    <tableColumn id="6" xr3:uid="{FAA20099-80B2-452B-8992-B0BA27250235}" name="QTD." dataDxfId="129"/>
    <tableColumn id="7" xr3:uid="{87CCEF47-CE50-4B2B-83EE-366880C74A97}" name="OBS." dataDxfId="128"/>
    <tableColumn id="8" xr3:uid="{34AAF287-285A-472E-A53E-5DC74910CDD5}" name="PREÇO MÉDIO R$" dataDxfId="127">
      <calculatedColumnFormula>IFERROR(IF(VLOOKUP(TABELA_CERCAMENTO[[#This Row],[DESCRIÇÃO]],'TABELA MÃE'!D:H,4,FALSE)&lt;&gt;0,VLOOKUP(TABELA_CERCAMENTO[[#This Row],[DESCRIÇÃO]],'TABELA MÃE'!D:H,4,FALSE),"SEM VALOR DE REFERÊNCIA"),"")</calculatedColumnFormula>
    </tableColumn>
    <tableColumn id="1" xr3:uid="{46AE8089-5C79-4809-AABF-CE879A84B1DA}" name="VALOR TOTAL R$" dataDxfId="126">
      <calculatedColumnFormula>IFERROR(TABELA_CERCAMENTO[[#This Row],[QTD.]]*IF(TABELA_CERCAMENTO[[#This Row],[PREÇO MÉDIO R$]]="SEM VALOR DE REFERÊNCIA","0",TABELA_CERCAMENTO[[#This Row],[PREÇO MÉDIO R$]]),"0")</calculatedColumnFormula>
    </tableColumn>
    <tableColumn id="9" xr3:uid="{B55AC026-9401-40F0-B549-524D15F63AE4}" name="DATA DE ATUALIZAÇÃO" dataDxfId="125">
      <calculatedColumnFormula>IFERROR(IF(VLOOKUP(TABELA_CERCAMENTO[[#This Row],[DESCRIÇÃO]],'TABELA MÃE'!D:H,5,FALSE)&lt;&gt;0,VLOOKUP(TABELA_CERCAMENTO[[#This Row],[DESCRIÇÃO]],'TABELA MÃE'!D:H,5,FALSE),"SEM VALOR DE REFERÊNCIA"),"")</calculatedColumnFormula>
    </tableColumn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F1E454E-1B0A-488F-8DB0-E454CFD702F6}" name="TABELA_CFTV" displayName="TABELA_CFTV" ref="B7:J31" totalsRowShown="0" headerRowDxfId="124" dataDxfId="122" headerRowBorderDxfId="123" tableBorderDxfId="121">
  <autoFilter ref="B7:J31" xr:uid="{F0237E17-325E-4369-A735-CD55CE2B9772}"/>
  <tableColumns count="9">
    <tableColumn id="2" xr3:uid="{EDF1B160-051F-44E3-9101-75CC16C7B620}" name="ITEM" dataDxfId="120"/>
    <tableColumn id="3" xr3:uid="{F823D074-3055-4D44-B867-EE833BAC4DF0}" name="DESCRIÇÃO" dataDxfId="119"/>
    <tableColumn id="4" xr3:uid="{6D93431E-A5D1-469C-AAAF-535C5DBB04B8}" name="FABRICANTE DE REFERÊNCIA" dataDxfId="118">
      <calculatedColumnFormula>IFERROR(VLOOKUP(TABELA_CFTV[[#This Row],[DESCRIÇÃO]],'TABELA MÃE'!D:E,2,FALSE),"")</calculatedColumnFormula>
    </tableColumn>
    <tableColumn id="5" xr3:uid="{17E0C6D1-A546-4C5F-911F-26BDB46ED3BC}" name="UN." dataDxfId="117">
      <calculatedColumnFormula>IFERROR(VLOOKUP(TABELA_CFTV[[#This Row],[DESCRIÇÃO]],'TABELA MÃE'!D:F,3,FALSE),"")</calculatedColumnFormula>
    </tableColumn>
    <tableColumn id="6" xr3:uid="{277B840A-91BF-41F6-85BD-6C2E2EC3B148}" name="QTD." dataDxfId="116"/>
    <tableColumn id="7" xr3:uid="{4BD64CA4-A156-459F-B459-18373937F271}" name="OBS." dataDxfId="115"/>
    <tableColumn id="8" xr3:uid="{18AC7AFE-22D5-49B7-B1A5-6D8CBB1B43EE}" name="PREÇO MÉDIO R$" dataDxfId="114">
      <calculatedColumnFormula>IFERROR(IF(VLOOKUP(TABELA_CFTV[[#This Row],[DESCRIÇÃO]],'TABELA MÃE'!D:H,4,FALSE)&lt;&gt;0,VLOOKUP(TABELA_CFTV[[#This Row],[DESCRIÇÃO]],'TABELA MÃE'!D:H,4,FALSE),"SEM VALOR DE REFERÊNCIA"),"")</calculatedColumnFormula>
    </tableColumn>
    <tableColumn id="1" xr3:uid="{D5B7F4F2-04A7-45F1-974C-9990DC2042BE}" name="VALOR TOTAL R$" dataDxfId="113">
      <calculatedColumnFormula>IFERROR(TABELA_CFTV[[#This Row],[QTD.]]*IF(TABELA_CFTV[[#This Row],[PREÇO MÉDIO R$]]="SEM VALOR DE REFERÊNCIA","0",TABELA_CFTV[[#This Row],[PREÇO MÉDIO R$]]),"0")</calculatedColumnFormula>
    </tableColumn>
    <tableColumn id="9" xr3:uid="{84A4A02C-4872-4FD3-8630-19540E308941}" name="DATA DE ATUALIZAÇÃO" dataDxfId="112">
      <calculatedColumnFormula>IFERROR(IF(VLOOKUP(TABELA_CFTV[[#This Row],[DESCRIÇÃO]],'TABELA MÃE'!D:H,5,FALSE)&lt;&gt;0,VLOOKUP(TABELA_CFTV[[#This Row],[DESCRIÇÃO]],'TABELA MÃE'!D:H,5,FALSE),"SEM VALOR DE REFERÊNCIA"),"")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1F9BF6E-AE34-4DEC-91AE-8641F990859C}" name="TABELA_CIVIL" displayName="TABELA_CIVIL" ref="B7:J31" totalsRowShown="0" headerRowDxfId="111" dataDxfId="109" headerRowBorderDxfId="110" tableBorderDxfId="108">
  <autoFilter ref="B7:J31" xr:uid="{F0237E17-325E-4369-A735-CD55CE2B9772}"/>
  <tableColumns count="9">
    <tableColumn id="2" xr3:uid="{CA6B5D3C-E28B-4F63-A6DE-22B8D0FBB0FA}" name="ITEM" dataDxfId="107"/>
    <tableColumn id="3" xr3:uid="{0F59BE65-F5A6-4D33-9AD9-052543BD7FB8}" name="DESCRIÇÃO" dataDxfId="106"/>
    <tableColumn id="4" xr3:uid="{269FD341-839B-4C78-B7B5-4C75F7BBC6FF}" name="FABRICANTE DE REFERÊNCIA" dataDxfId="105">
      <calculatedColumnFormula>IFERROR(VLOOKUP(TABELA_CIVIL[[#This Row],[DESCRIÇÃO]],'TABELA MÃE'!D:E,2,FALSE),"")</calculatedColumnFormula>
    </tableColumn>
    <tableColumn id="5" xr3:uid="{C0C6D5EE-7BDC-4229-A742-CADAFB20AA00}" name="UN." dataDxfId="104">
      <calculatedColumnFormula>IFERROR(VLOOKUP(TABELA_CIVIL[[#This Row],[DESCRIÇÃO]],'TABELA MÃE'!D:F,3,FALSE),"")</calculatedColumnFormula>
    </tableColumn>
    <tableColumn id="6" xr3:uid="{EA1BC140-CBEB-4623-BB61-06672D5C9887}" name="QTD." dataDxfId="103"/>
    <tableColumn id="7" xr3:uid="{2910CC7D-D6F7-421B-B6D7-2FA1D10E92B6}" name="OBS." dataDxfId="102"/>
    <tableColumn id="8" xr3:uid="{9CDD0101-746E-46F7-AA1E-66224670198E}" name="PREÇO MÉDIO R$" dataDxfId="101">
      <calculatedColumnFormula>IFERROR(IF(VLOOKUP(TABELA_CIVIL[[#This Row],[DESCRIÇÃO]],'TABELA MÃE'!D:H,4,FALSE)&lt;&gt;0,VLOOKUP(TABELA_CIVIL[[#This Row],[DESCRIÇÃO]],'TABELA MÃE'!D:H,4,FALSE),"SEM VALOR DE REFERÊNCIA"),"")</calculatedColumnFormula>
    </tableColumn>
    <tableColumn id="1" xr3:uid="{A411FA26-999B-4BCE-82A9-51498EBA0E32}" name="VALOR TOTAL R$" dataDxfId="100">
      <calculatedColumnFormula>IFERROR(TABELA_CIVIL[[#This Row],[QTD.]]*IF(TABELA_CIVIL[[#This Row],[PREÇO MÉDIO R$]]="SEM VALOR DE REFERÊNCIA","0",TABELA_CIVIL[[#This Row],[PREÇO MÉDIO R$]]),"0")</calculatedColumnFormula>
    </tableColumn>
    <tableColumn id="9" xr3:uid="{56DAC81E-1AF8-40D1-9DAC-F636CDD5C3E4}" name="DATA DE ATUALIZAÇÃO" dataDxfId="99">
      <calculatedColumnFormula>IFERROR(IF(VLOOKUP(TABELA_CIVIL[[#This Row],[DESCRIÇÃO]],'TABELA MÃE'!D:H,5,FALSE)&lt;&gt;0,VLOOKUP(TABELA_CIVIL[[#This Row],[DESCRIÇÃO]],'TABELA MÃE'!D:H,5,FALSE),"SEM VALOR DE REFERÊNCIA"),"")</calculatedColumnFormula>
    </tableColumn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69D3A56-978F-443E-9933-2CB1CFD7746D}" name="TABELA_MISCELÂNEA" displayName="TABELA_MISCELÂNEA" ref="B7:J31" totalsRowShown="0" headerRowDxfId="98" dataDxfId="96" headerRowBorderDxfId="97" tableBorderDxfId="95">
  <autoFilter ref="B7:J31" xr:uid="{F0237E17-325E-4369-A735-CD55CE2B9772}"/>
  <tableColumns count="9">
    <tableColumn id="2" xr3:uid="{0419540F-A9CE-483E-9B72-81CE6BDB3B37}" name="ITEM" dataDxfId="94"/>
    <tableColumn id="3" xr3:uid="{3A7B0022-C0B0-4FA0-A827-9D32EA1AF7E5}" name="DESCRIÇÃO" dataDxfId="93"/>
    <tableColumn id="4" xr3:uid="{7DBB5BBC-CEA6-46BD-997E-2E6AF46C4933}" name="FABRICANTE DE REFERÊNCIA" dataDxfId="92">
      <calculatedColumnFormula>IFERROR(VLOOKUP(TABELA_MISCELÂNEA[[#This Row],[DESCRIÇÃO]],'TABELA MÃE'!D:E,2,FALSE),"")</calculatedColumnFormula>
    </tableColumn>
    <tableColumn id="5" xr3:uid="{BF75E0D8-7C9D-42CA-97A7-9AD80888C040}" name="UN." dataDxfId="91">
      <calculatedColumnFormula>IFERROR(VLOOKUP(TABELA_MISCELÂNEA[[#This Row],[DESCRIÇÃO]],'TABELA MÃE'!D:F,3,FALSE),"")</calculatedColumnFormula>
    </tableColumn>
    <tableColumn id="6" xr3:uid="{FA1BDCD2-8111-493A-9A62-11473072D376}" name="QTD." dataDxfId="90"/>
    <tableColumn id="7" xr3:uid="{532EB0B7-F8B7-4B8A-AB79-7FFEB91DEFBE}" name="OBS." dataDxfId="89"/>
    <tableColumn id="8" xr3:uid="{DA5D2FD6-858B-4215-9E08-250D2D205C4B}" name="PREÇO MÉDIO R$" dataDxfId="88">
      <calculatedColumnFormula>IFERROR(IF(VLOOKUP(TABELA_MISCELÂNEA[[#This Row],[DESCRIÇÃO]],'TABELA MÃE'!D:H,4,FALSE)&lt;&gt;0,VLOOKUP(TABELA_MISCELÂNEA[[#This Row],[DESCRIÇÃO]],'TABELA MÃE'!D:H,4,FALSE),"SEM VALOR DE REFERÊNCIA"),"")</calculatedColumnFormula>
    </tableColumn>
    <tableColumn id="1" xr3:uid="{65DF6EF0-656F-406F-A654-3FA6726CB7D6}" name="VALOR TOTAL R$" dataDxfId="87">
      <calculatedColumnFormula>IFERROR(TABELA_MISCELÂNEA[[#This Row],[QTD.]]*IF(TABELA_MISCELÂNEA[[#This Row],[PREÇO MÉDIO R$]]="SEM VALOR DE REFERÊNCIA","0",TABELA_MISCELÂNEA[[#This Row],[PREÇO MÉDIO R$]]),"0")</calculatedColumnFormula>
    </tableColumn>
    <tableColumn id="9" xr3:uid="{3DB4C04F-ABE9-4D26-9402-B0E2C10300C0}" name="DATA DE ATUALIZAÇÃO" dataDxfId="86">
      <calculatedColumnFormula>IFERROR(IF(VLOOKUP(TABELA_MISCELÂNEA[[#This Row],[DESCRIÇÃO]],'TABELA MÃE'!D:H,5,FALSE)&lt;&gt;0,VLOOKUP(TABELA_MISCELÂNEA[[#This Row],[DESCRIÇÃO]],'TABELA MÃE'!D:H,5,FALSE),"SEM VALOR DE REFERÊNCIA"),"")</calculatedColumnFormula>
    </tableColumn>
  </tableColumns>
  <tableStyleInfo name="TableStyleMedium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AEA0483-B470-4F0B-A636-EC337D9B945A}" name="AUXILIAR_1_MISCELÂNEA" displayName="AUXILIAR_1_MISCELÂNEA" ref="L2:M6" totalsRowShown="0" headerRowDxfId="85" tableBorderDxfId="84">
  <autoFilter ref="L2:M6" xr:uid="{8AEA0483-B470-4F0B-A636-EC337D9B945A}"/>
  <tableColumns count="2">
    <tableColumn id="1" xr3:uid="{408BB3E0-ABAC-4D26-9CD1-052AE71121AF}" name="TIPOS DE MISCELÂNEAS"/>
    <tableColumn id="2" xr3:uid="{9D4BFDBD-D097-4E91-827E-95FACCE7FED4}" name="CHECKBOX" dataDxfId="83"/>
  </tableColumns>
  <tableStyleInfo name="TableStyleMedium1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ACD52A6-3359-48A3-998B-ACC79AE87AF2}" name="AUXILIAR_2_MISCELÂNEA" displayName="AUXILIAR_2_MISCELÂNEA" ref="O2:S6" totalsRowShown="0" tableBorderDxfId="82">
  <autoFilter ref="O2:S6" xr:uid="{DACD52A6-3359-48A3-998B-ACC79AE87AF2}"/>
  <tableColumns count="5">
    <tableColumn id="1" xr3:uid="{F10D06C3-3679-48C2-A950-63C1C37A9657}" name="MISCELÂNEA"/>
    <tableColumn id="2" xr3:uid="{8DE03508-4240-4C6A-80C1-CC06091F02D3}" name="AÇO INOX - M6"/>
    <tableColumn id="3" xr3:uid="{73C46B79-4F7F-432B-BBD3-4C56ABA8C88C}" name="AÇO INOX - M8"/>
    <tableColumn id="4" xr3:uid="{F0ACF5FE-DDB0-4075-B5A8-1D50A1E5FB3B}" name="AÇO INOX - M10"/>
    <tableColumn id="5" xr3:uid="{66B1E3AB-469C-4FA5-A81D-C7C8B169C6F4}" name="AÇO INOX - M12"/>
  </tableColumns>
  <tableStyleInfo name="TableStyleMedium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8D1DF8E-A2C4-4C1F-9011-ECA58F9706B3}" name="TABELA_PPCI" displayName="TABELA_PPCI" ref="B7:J31" totalsRowShown="0" headerRowDxfId="81" dataDxfId="79" headerRowBorderDxfId="80" tableBorderDxfId="78">
  <autoFilter ref="B7:J31" xr:uid="{F0237E17-325E-4369-A735-CD55CE2B9772}"/>
  <tableColumns count="9">
    <tableColumn id="2" xr3:uid="{B563F568-C168-4E86-9CC0-690D20525F78}" name="ITEM" dataDxfId="77"/>
    <tableColumn id="3" xr3:uid="{39134715-2AAE-4D47-9875-46AED4550A80}" name="DESCRIÇÃO" dataDxfId="76"/>
    <tableColumn id="4" xr3:uid="{77661009-8329-46C1-B174-65E441D059E8}" name="FABRICANTE DE REFERÊNCIA" dataDxfId="75">
      <calculatedColumnFormula>IFERROR(VLOOKUP(TABELA_PPCI[[#This Row],[DESCRIÇÃO]],'TABELA MÃE'!D:E,2,FALSE),"")</calculatedColumnFormula>
    </tableColumn>
    <tableColumn id="5" xr3:uid="{AAB0CF8A-17D3-48D0-86C1-97E2E14C612F}" name="UN." dataDxfId="74">
      <calculatedColumnFormula>IFERROR(VLOOKUP(TABELA_PPCI[[#This Row],[DESCRIÇÃO]],'TABELA MÃE'!D:F,3,FALSE),"")</calculatedColumnFormula>
    </tableColumn>
    <tableColumn id="6" xr3:uid="{54DB6EAD-8CB0-4459-9FDA-EAECDD23245D}" name="QTD." dataDxfId="73"/>
    <tableColumn id="7" xr3:uid="{0D08F087-E39C-4C57-9481-7DD284077008}" name="OBS." dataDxfId="72"/>
    <tableColumn id="8" xr3:uid="{EAD4EEC9-B46A-4545-9947-56361F76BD01}" name="PREÇO MÉDIO R$" dataDxfId="71">
      <calculatedColumnFormula>IFERROR(IF(VLOOKUP(TABELA_PPCI[[#This Row],[DESCRIÇÃO]],'TABELA MÃE'!D:H,4,FALSE)&lt;&gt;0,VLOOKUP(TABELA_PPCI[[#This Row],[DESCRIÇÃO]],'TABELA MÃE'!D:H,4,FALSE),"SEM VALOR DE REFERÊNCIA"),"")</calculatedColumnFormula>
    </tableColumn>
    <tableColumn id="1" xr3:uid="{10F8CD77-6DB4-4540-BB5D-65F0B842DCD0}" name="VALOR TOTAL R$" dataDxfId="70">
      <calculatedColumnFormula>IFERROR(TABELA_PPCI[[#This Row],[QTD.]]*IF(TABELA_PPCI[[#This Row],[PREÇO MÉDIO R$]]="SEM VALOR DE REFERÊNCIA","0",TABELA_PPCI[[#This Row],[PREÇO MÉDIO R$]]),"0")</calculatedColumnFormula>
    </tableColumn>
    <tableColumn id="9" xr3:uid="{95AE4843-DBA4-431F-B20F-816C515CEC52}" name="DATA DE ATUALIZAÇÃO" dataDxfId="69">
      <calculatedColumnFormula>IFERROR(IF(VLOOKUP(TABELA_PPCI[[#This Row],[DESCRIÇÃO]],'TABELA MÃE'!D:H,5,FALSE)&lt;&gt;0,VLOOKUP(TABELA_PPCI[[#This Row],[DESCRIÇÃO]],'TABELA MÃE'!D:H,5,FALSE),"SEM VALOR DE REFERÊNCIA"),"")</calculatedColumnFormula>
    </tableColumn>
  </tableColumns>
  <tableStyleInfo name="TableStyleMedium16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06A019-67CB-4005-A1CB-BFDDD674E765}" name="TABELA_DRENAGEM" displayName="TABELA_DRENAGEM" ref="B7:J31" totalsRowShown="0" headerRowDxfId="68" dataDxfId="66" headerRowBorderDxfId="67" tableBorderDxfId="65">
  <autoFilter ref="B7:J31" xr:uid="{F0237E17-325E-4369-A735-CD55CE2B9772}"/>
  <tableColumns count="9">
    <tableColumn id="2" xr3:uid="{A9A0A8B6-1C47-413E-AE2F-30143EA408A3}" name="ITEM" dataDxfId="64"/>
    <tableColumn id="3" xr3:uid="{5E7A00AA-1085-4A50-B041-823791E00A00}" name="DESCRIÇÃO" dataDxfId="63"/>
    <tableColumn id="4" xr3:uid="{814B98FC-CC48-40D6-A598-6CD4E0FE3C7B}" name="FABRICANTE DE REFERÊNCIA" dataDxfId="62">
      <calculatedColumnFormula>IFERROR(VLOOKUP(TABELA_DRENAGEM[[#This Row],[DESCRIÇÃO]],'TABELA MÃE'!D:E,2,FALSE),"")</calculatedColumnFormula>
    </tableColumn>
    <tableColumn id="5" xr3:uid="{2CE33E7E-1955-4C40-94C1-474BB2720B7A}" name="UN." dataDxfId="61">
      <calculatedColumnFormula>IFERROR(VLOOKUP(TABELA_DRENAGEM[[#This Row],[DESCRIÇÃO]],'TABELA MÃE'!D:F,3,FALSE),"")</calculatedColumnFormula>
    </tableColumn>
    <tableColumn id="6" xr3:uid="{3EDF9761-FA51-4000-A119-29EC058BB30E}" name="QTD." dataDxfId="60"/>
    <tableColumn id="7" xr3:uid="{1959AD8A-3375-41EA-B71A-275ED29496A4}" name="OBS." dataDxfId="59"/>
    <tableColumn id="8" xr3:uid="{C95EAF1C-2261-4DBC-BDFE-BD9ED5AC2A97}" name="PREÇO MÉDIO R$" dataDxfId="58">
      <calculatedColumnFormula>IFERROR(IF(VLOOKUP(TABELA_DRENAGEM[[#This Row],[DESCRIÇÃO]],'TABELA MÃE'!D:H,4,FALSE)&lt;&gt;0,VLOOKUP(TABELA_DRENAGEM[[#This Row],[DESCRIÇÃO]],'TABELA MÃE'!D:H,4,FALSE),"SEM VALOR DE REFERÊNCIA"),"")</calculatedColumnFormula>
    </tableColumn>
    <tableColumn id="1" xr3:uid="{234B6F9B-AC4F-4AE7-913A-26771FC38DCD}" name="VALOR TOTAL R$" dataDxfId="57">
      <calculatedColumnFormula>IFERROR(TABELA_DRENAGEM[[#This Row],[QTD.]]*IF(TABELA_DRENAGEM[[#This Row],[PREÇO MÉDIO R$]]="SEM VALOR DE REFERÊNCIA","0",TABELA_DRENAGEM[[#This Row],[PREÇO MÉDIO R$]]),"0")</calculatedColumnFormula>
    </tableColumn>
    <tableColumn id="9" xr3:uid="{D664832D-504E-412D-9A60-0F957CEE548F}" name="DATA DE ATUALIZAÇÃO" dataDxfId="56">
      <calculatedColumnFormula>IFERROR(IF(VLOOKUP(TABELA_DRENAGEM[[#This Row],[DESCRIÇÃO]],'TABELA MÃE'!D:H,5,FALSE)&lt;&gt;0,VLOOKUP(TABELA_DRENAGEM[[#This Row],[DESCRIÇÃO]],'TABELA MÃE'!D:H,5,FALSE),"SEM VALOR DE REFERÊNCIA"),"")</calculatedColumnFormula>
    </tableColumn>
  </tableColumns>
  <tableStyleInfo name="TableStyleMedium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1061B7-A174-4EA2-ADBB-891998A7143B}" name="TABELA_KIT_F" displayName="TABELA_KIT_F" ref="B7:J31" totalsRowShown="0" headerRowDxfId="55" dataDxfId="53" headerRowBorderDxfId="54" tableBorderDxfId="52">
  <autoFilter ref="B7:J31" xr:uid="{F0237E17-325E-4369-A735-CD55CE2B9772}"/>
  <tableColumns count="9">
    <tableColumn id="2" xr3:uid="{ACFD2BF0-71FF-47D3-934D-12FB7BF5B740}" name="ITEM" dataDxfId="51"/>
    <tableColumn id="3" xr3:uid="{621889EC-8699-4B8D-A343-9B9867ECA40F}" name="DESCRIÇÃO" dataDxfId="50"/>
    <tableColumn id="4" xr3:uid="{5CC7DA26-DCC7-4489-9E6F-EE21B3B30F71}" name="FABRICANTE DE REFERÊNCIA" dataDxfId="49">
      <calculatedColumnFormula>IFERROR(VLOOKUP(TABELA_KIT_F[[#This Row],[DESCRIÇÃO]],'TABELA MÃE'!D:E,2,FALSE),"")</calculatedColumnFormula>
    </tableColumn>
    <tableColumn id="5" xr3:uid="{D0AF2E96-4A9E-4D0E-9E94-F4087BE8CA8D}" name="UN." dataDxfId="48"/>
    <tableColumn id="6" xr3:uid="{8A310E33-AC60-4589-B715-DA2D27482F11}" name="QTD." dataDxfId="47"/>
    <tableColumn id="7" xr3:uid="{F9402337-8355-49E3-AF3B-32FD6B327C4E}" name="OBS." dataDxfId="46"/>
    <tableColumn id="8" xr3:uid="{D50F49EF-35C3-4F73-B4FB-0B316D7D83C9}" name="PREÇO MÉDIO R$" dataDxfId="45"/>
    <tableColumn id="1" xr3:uid="{55FC632F-7EB3-4416-B4D3-A6BB2BAF9078}" name="VALOR TOTAL R$" dataDxfId="44">
      <calculatedColumnFormula>IFERROR(TABELA_KIT_F[[#This Row],[QTD.]]*IF(TABELA_KIT_F[[#This Row],[PREÇO MÉDIO R$]]="SEM VALOR DE REFERÊNCIA","0",TABELA_KIT_F[[#This Row],[PREÇO MÉDIO R$]]),"0")</calculatedColumnFormula>
    </tableColumn>
    <tableColumn id="9" xr3:uid="{8E8ED8FD-807B-4CE7-8F8D-FC6EFFF14788}" name="DATA DE ATUALIZAÇÃO" dataDxfId="43"/>
  </tableColumns>
  <tableStyleInfo name="TableStyleMedium16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818CB52-2897-4E61-B416-5EF15277B146}" name="ACOMPANHAMENTO_ORÇAMENTÁRIO" displayName="ACOMPANHAMENTO_ORÇAMENTÁRIO" ref="B231:D237" totalsRowShown="0" headerRowDxfId="42" dataDxfId="41">
  <autoFilter ref="B231:D237" xr:uid="{1818CB52-2897-4E61-B416-5EF15277B146}"/>
  <tableColumns count="3">
    <tableColumn id="1" xr3:uid="{517C2B89-29B0-44FC-8CE2-714F04B5D75C}" name="NÍVEIS" dataDxfId="40"/>
    <tableColumn id="2" xr3:uid="{82CE060C-8F46-49AF-A4EA-CF351197FBF6}" name="RECEITA BRUTA" dataDxfId="39"/>
    <tableColumn id="3" xr3:uid="{5DAA7FBF-318D-42C6-9A28-160C5ACB1249}" name="GANHOS LÍQUIDOS" dataDxfId="3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531C6F44-F87E-45D0-AF2B-C35CD5EA4625}" name="ANÁLISE_DE_GASTOS_POR_FAMÍLIA" displayName="ANÁLISE_DE_GASTOS_POR_FAMÍLIA" ref="B203:D213" totalsRowShown="0" headerRowDxfId="37" dataDxfId="36">
  <autoFilter ref="B203:D213" xr:uid="{531C6F44-F87E-45D0-AF2B-C35CD5EA4625}"/>
  <tableColumns count="3">
    <tableColumn id="1" xr3:uid="{553392EA-7A77-4E82-B7C4-789FC32EF7F0}" name="FAMÍLIA" dataDxfId="35"/>
    <tableColumn id="2" xr3:uid="{89BEF7E1-0896-4E54-BBDE-0ACE3E6FF57F}" name="ANÁLISE DE GASTOS POR FAMÍLIA (R$)" dataDxfId="34"/>
    <tableColumn id="3" xr3:uid="{115D338A-236C-41AD-83B7-414BC16A5041}" name="ANÁLISE DE GASTOS POR FAMÍLIA (%)" dataDxfId="33">
      <calculatedColumnFormula>C204/SUM($C$204:$C$213)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4B5EEDB-95D5-40E7-B224-2B1249CBD2C3}" name="Tabela27" displayName="Tabela27" ref="B7:F200" totalsRowShown="0" headerRowDxfId="32" dataDxfId="31">
  <autoFilter ref="B7:F200" xr:uid="{04B5EEDB-95D5-40E7-B224-2B1249CBD2C3}"/>
  <tableColumns count="5">
    <tableColumn id="1" xr3:uid="{20C91832-6F07-42B7-96BA-F61771760A03}" name="FAMÍLIA" dataDxfId="30">
      <calculatedColumnFormula>_xlfn.XLOOKUP(TABELA_GERAL[[#This Row],[DESCRIÇÃO]],'TABELA MÃE'!D:D,'TABELA MÃE'!A:A)</calculatedColumnFormula>
    </tableColumn>
    <tableColumn id="2" xr3:uid="{F62B3A34-6E97-4449-8D4E-3D05C27097BA}" name="SUB-FAMÍLIA" dataDxfId="29">
      <calculatedColumnFormula>_xlfn.XLOOKUP(TABELA_GERAL[[#This Row],[DESCRIÇÃO]],'TABELA MÃE'!D:D,'TABELA MÃE'!B:B)</calculatedColumnFormula>
    </tableColumn>
    <tableColumn id="3" xr3:uid="{A6DB5230-E6A8-4671-AE65-CCC7E90BEED1}" name="FAMÍLIA E SUB-FAMÍLIA" dataDxfId="28">
      <calculatedColumnFormula>CONCATENATE(B8,"-",C8)</calculatedColumnFormula>
    </tableColumn>
    <tableColumn id="4" xr3:uid="{657D2A3C-277F-4AAB-99F1-37F2DAF48133}" name="VALOR TOTAL (R$)" dataDxfId="27">
      <calculatedColumnFormula>TABELA_GERAL[[#This Row],[VALOR TOTAL R$]]</calculatedColumnFormula>
    </tableColumn>
    <tableColumn id="5" xr3:uid="{85BFA12A-F215-4BF1-8C2B-56010C77BE93}" name="GASTOS POR PRODUTO (R$)" dataDxfId="26">
      <calculatedColumnFormula>SUMIF($D$8:$D$200,D8,$E$8:$E$200)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93BC659-FE99-4371-91BC-AEC0EC96830A}" name="Tabela30" displayName="Tabela30" ref="I7:L100" totalsRowShown="0" headerRowDxfId="25" dataDxfId="24">
  <autoFilter ref="I7:L100" xr:uid="{993BC659-FE99-4371-91BC-AEC0EC96830A}"/>
  <tableColumns count="4">
    <tableColumn id="1" xr3:uid="{8D50B230-F819-4108-853A-BB6BF00E3872}" name="FAMÍLIA" dataDxfId="23">
      <calculatedColumnFormula>IF(IFERROR(_xlfn.XLOOKUP($H8,$D:$D,B:B),"")=0,"",IFERROR(_xlfn.XLOOKUP($H8,$D:$D,B:B),""))</calculatedColumnFormula>
    </tableColumn>
    <tableColumn id="2" xr3:uid="{95B7948F-ABAA-4816-B0AD-70E183BE6C11}" name="SUB-FAMÍLIA" dataDxfId="22">
      <calculatedColumnFormula>IF(IFERROR(_xlfn.XLOOKUP($H8,$D:$D,C:C),"")=0,"",IFERROR(_xlfn.XLOOKUP($H8,$D:$D,C:C),""))</calculatedColumnFormula>
    </tableColumn>
    <tableColumn id="3" xr3:uid="{9C357E20-FA26-4287-B5B4-58A4D681349D}" name="ANÁLISE DE GASTOS POR PRODUTO (R$)" dataDxfId="21">
      <calculatedColumnFormula>IFERROR(VLOOKUP(H8,$D$8:$F$200,3,FALSE),"")</calculatedColumnFormula>
    </tableColumn>
    <tableColumn id="4" xr3:uid="{4483E9EA-B0DC-4771-ACC6-6D870C351A22}" name="ANÁLISE DE GASTOS POR PRODUTO (%)" dataDxfId="20">
      <calculatedColumnFormula>IFERROR(K8/SUM($C$204:$C$213),"")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6BFFEAC-62AB-4CBE-B264-A68F44B26117}" name="TABELA_ATERRAMENTO_1" displayName="TABELA_ATERRAMENTO_1" ref="A1:J25" tableType="queryTable" totalsRowShown="0">
  <autoFilter ref="A1:J25" xr:uid="{A6BFFEAC-62AB-4CBE-B264-A68F44B26117}"/>
  <tableColumns count="10">
    <tableColumn id="1" xr3:uid="{421EE56F-B8E3-411E-809B-AAF2C7E36E6D}" uniqueName="1" name="ITEM" queryTableFieldId="1"/>
    <tableColumn id="2" xr3:uid="{DEE45167-5EF6-4F4A-81F9-C0756F886E68}" uniqueName="2" name="DESCRIÇÃO" queryTableFieldId="2" dataDxfId="19"/>
    <tableColumn id="3" xr3:uid="{37A674AC-5CD6-4653-89DF-F9F4331E0429}" uniqueName="3" name="FABRICANTE DE REFERÊNCIA" queryTableFieldId="3"/>
    <tableColumn id="4" xr3:uid="{4D4A073D-084B-47D0-A034-3437ABC01CA2}" uniqueName="4" name="UN." queryTableFieldId="4"/>
    <tableColumn id="5" xr3:uid="{5893C347-479E-4CB0-9BE7-6CEC95388E48}" uniqueName="5" name="QTD." queryTableFieldId="5"/>
    <tableColumn id="6" xr3:uid="{0A4AAF71-27FC-4A70-A966-C1B084AFD7BF}" uniqueName="6" name="OBS." queryTableFieldId="6"/>
    <tableColumn id="7" xr3:uid="{70F6297E-7513-4069-A46D-E511A9F10CDB}" uniqueName="7" name="PREÇO MÉDIO R$" queryTableFieldId="7"/>
    <tableColumn id="9" xr3:uid="{A3E6E0F3-E6DE-4BA8-BB4C-8E00F17D1C3B}" uniqueName="9" name="VALOR TOTAL R$" queryTableFieldId="9"/>
    <tableColumn id="8" xr3:uid="{216B037A-0313-4161-A365-F5D0B25E7DB8}" uniqueName="8" name="DATA DE ATUALIZAÇÃO" queryTableFieldId="8"/>
    <tableColumn id="10" xr3:uid="{9ED5632D-C6C9-4C4E-BE70-6630FF46CE23}" uniqueName="10" name="SUB-FAMÍLIA" queryTableFieldId="11" dataDxfId="18">
      <calculatedColumnFormula>_xlfn.XLOOKUP(TABELA_ATERRAMENTO_1[[#This Row],[DESCRIÇÃO]],'TABELA MÃE'!D:D,'TABELA MÃE'!B:B)</calculatedColumnFormula>
    </tableColumn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E5AC1BC-528F-41B7-A78E-FCF2F6C7C6AB}" name="TABELA_CA_BT_1" displayName="TABELA_CA_BT_1" ref="A1:J25" tableType="queryTable" totalsRowShown="0">
  <autoFilter ref="A1:J25" xr:uid="{1E5AC1BC-528F-41B7-A78E-FCF2F6C7C6AB}"/>
  <tableColumns count="10">
    <tableColumn id="1" xr3:uid="{F38B7860-434E-40A1-8502-5F1B4D3FBAE2}" uniqueName="1" name="ITEM" queryTableFieldId="1"/>
    <tableColumn id="2" xr3:uid="{346D7977-A019-4119-89FD-31CC5CFC2239}" uniqueName="2" name="DESCRIÇÃO" queryTableFieldId="2" dataDxfId="17"/>
    <tableColumn id="3" xr3:uid="{584C7FC7-4A53-44E6-8595-990B819D3280}" uniqueName="3" name="FABRICANTE DE REFERÊNCIA" queryTableFieldId="3"/>
    <tableColumn id="4" xr3:uid="{FDE081C8-7D4B-4C71-BC9B-D59E23F8D660}" uniqueName="4" name="UN." queryTableFieldId="4"/>
    <tableColumn id="5" xr3:uid="{74B4445E-F649-4BC1-8F23-9EEB3B1DC00E}" uniqueName="5" name="QTD." queryTableFieldId="5"/>
    <tableColumn id="6" xr3:uid="{2CB08275-BB63-42FB-B141-15D57ADE56CE}" uniqueName="6" name="OBS." queryTableFieldId="6"/>
    <tableColumn id="7" xr3:uid="{F093FC0A-1947-4449-BD6F-974F76850EE0}" uniqueName="7" name="PREÇO MÉDIO R$" queryTableFieldId="7"/>
    <tableColumn id="9" xr3:uid="{0BCDAADB-106B-492E-966D-8725D7B7C3EB}" uniqueName="9" name="VALOR TOTAL R$" queryTableFieldId="9"/>
    <tableColumn id="8" xr3:uid="{21CEA3D7-FE99-4608-894E-6FD0D8215001}" uniqueName="8" name="DATA DE ATUALIZAÇÃO" queryTableFieldId="8"/>
    <tableColumn id="10" xr3:uid="{96FA7D5C-CAAE-4972-90E3-196774C9271C}" uniqueName="10" name="SUB-FAMÍLIA" queryTableFieldId="11" dataDxfId="16">
      <calculatedColumnFormula>_xlfn.XLOOKUP(TABELA_CA_BT_1[[#This Row],[DESCRIÇÃO]],'TABELA MÃE'!D:D,'TABELA MÃE'!B:B)</calculatedColumnFormula>
    </tableColumn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C9D2F25-7FFE-4B3A-B1AF-227948C4D175}" name="TABELA_CA_MT_1" displayName="TABELA_CA_MT_1" ref="A1:J25" tableType="queryTable" totalsRowShown="0">
  <autoFilter ref="A1:J25" xr:uid="{8C9D2F25-7FFE-4B3A-B1AF-227948C4D175}"/>
  <tableColumns count="10">
    <tableColumn id="1" xr3:uid="{66C44976-AE23-4301-A4A7-DDF17066D73E}" uniqueName="1" name="ITEM" queryTableFieldId="1"/>
    <tableColumn id="2" xr3:uid="{D22550C1-EADC-4483-ACEF-B46D19DF34D7}" uniqueName="2" name="DESCRIÇÃO" queryTableFieldId="2" dataDxfId="15"/>
    <tableColumn id="3" xr3:uid="{C5C93809-D36B-43CC-990F-A87E711E2210}" uniqueName="3" name="FABRICANTE DE REFERÊNCIA" queryTableFieldId="3"/>
    <tableColumn id="4" xr3:uid="{C7A851F6-EB69-48D6-A430-55F5F2B7F929}" uniqueName="4" name="UN." queryTableFieldId="4"/>
    <tableColumn id="5" xr3:uid="{BFB790EB-F73F-4780-8B06-0B06D906EDD5}" uniqueName="5" name="QTD." queryTableFieldId="5"/>
    <tableColumn id="6" xr3:uid="{322673D9-DF64-4BEC-ABBD-57C040F57814}" uniqueName="6" name="OBS." queryTableFieldId="6"/>
    <tableColumn id="7" xr3:uid="{05D6C99F-0CA1-4304-B055-6DB7B9149609}" uniqueName="7" name="PREÇO MÉDIO R$" queryTableFieldId="7"/>
    <tableColumn id="9" xr3:uid="{A60AA874-4CF7-42F9-A379-FAC5C82BE5E3}" uniqueName="9" name="VALOR TOTAL R$" queryTableFieldId="9"/>
    <tableColumn id="8" xr3:uid="{2AE984B3-EA75-4ADB-B86C-DAF6DFACDBB8}" uniqueName="8" name="DATA DE ATUALIZAÇÃO" queryTableFieldId="8"/>
    <tableColumn id="10" xr3:uid="{7925896C-A103-4FAE-9CEC-DEAF4A59D2D6}" uniqueName="10" name="SUB-FAMÍLIA" queryTableFieldId="11" dataDxfId="14">
      <calculatedColumnFormula>_xlfn.XLOOKUP(TABELA_CA_MT_1[[#This Row],[DESCRIÇÃO]],'TABELA MÃE'!D:D,'TABELA MÃE'!B:B)</calculatedColumnFormula>
    </tableColumn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074DA3-2D5B-4F01-BC77-AAEF404680E8}" name="TABELA_CERCAMENTO_1" displayName="TABELA_CERCAMENTO_1" ref="A1:J25" tableType="queryTable" totalsRowShown="0">
  <autoFilter ref="A1:J25" xr:uid="{A9074DA3-2D5B-4F01-BC77-AAEF404680E8}"/>
  <tableColumns count="10">
    <tableColumn id="1" xr3:uid="{A6BBF542-DF9A-420D-9620-856A66BAA26B}" uniqueName="1" name="ITEM" queryTableFieldId="1"/>
    <tableColumn id="2" xr3:uid="{5DAEC9DB-B6B1-4CBC-8A3E-1125061FF158}" uniqueName="2" name="DESCRIÇÃO" queryTableFieldId="2" dataDxfId="13"/>
    <tableColumn id="3" xr3:uid="{2506281C-5FC4-4700-85CC-070463BBB361}" uniqueName="3" name="FABRICANTE DE REFERÊNCIA" queryTableFieldId="3"/>
    <tableColumn id="4" xr3:uid="{2216A490-03DC-471F-B0E1-BB593A8B49B2}" uniqueName="4" name="UN." queryTableFieldId="4"/>
    <tableColumn id="5" xr3:uid="{90E6D615-ACFE-421D-869B-0FEDDFA1D675}" uniqueName="5" name="QTD." queryTableFieldId="5"/>
    <tableColumn id="6" xr3:uid="{0C832A41-93D7-422E-99C9-AFE9E068AC4C}" uniqueName="6" name="OBS." queryTableFieldId="6"/>
    <tableColumn id="7" xr3:uid="{24D6C561-BFDA-44CB-9EA7-047E67538786}" uniqueName="7" name="PREÇO MÉDIO R$" queryTableFieldId="7"/>
    <tableColumn id="9" xr3:uid="{DFBE66F1-26DC-48BA-A112-5904E17A9937}" uniqueName="9" name="VALOR TOTAL R$" queryTableFieldId="9"/>
    <tableColumn id="8" xr3:uid="{A5E801AC-13B7-4EFA-9863-1DF77DBF7A85}" uniqueName="8" name="DATA DE ATUALIZAÇÃO" queryTableFieldId="8"/>
    <tableColumn id="10" xr3:uid="{3DA5C8A8-1A0D-4845-9562-CA146DC2AB2E}" uniqueName="10" name="SUB-FAMÍLIA" queryTableFieldId="11" dataDxfId="12">
      <calculatedColumnFormula>_xlfn.XLOOKUP(TABELA_CERCAMENTO_1[[#This Row],[DESCRIÇÃO]],'TABELA MÃE'!D:D,'TABELA MÃE'!B:B)</calculatedColumnFormula>
    </tableColumn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AD46921-C412-4F4E-BE2A-DC8EE17B782C}" name="TABELA_CFTV_1" displayName="TABELA_CFTV_1" ref="A1:J25" tableType="queryTable" totalsRowShown="0">
  <autoFilter ref="A1:J25" xr:uid="{EAD46921-C412-4F4E-BE2A-DC8EE17B782C}"/>
  <tableColumns count="10">
    <tableColumn id="1" xr3:uid="{E649FF01-89AF-49B5-B79A-1BDC03D64EF3}" uniqueName="1" name="ITEM" queryTableFieldId="1"/>
    <tableColumn id="2" xr3:uid="{D13A7DA4-A427-4621-A164-22948745A695}" uniqueName="2" name="DESCRIÇÃO" queryTableFieldId="2" dataDxfId="11"/>
    <tableColumn id="3" xr3:uid="{FF4A682F-8C67-4369-8C56-E742689F1310}" uniqueName="3" name="FABRICANTE DE REFERÊNCIA" queryTableFieldId="3"/>
    <tableColumn id="4" xr3:uid="{B30872D1-973C-4410-AD06-BF0E0DECA82A}" uniqueName="4" name="UN." queryTableFieldId="4"/>
    <tableColumn id="5" xr3:uid="{0F304F99-3A53-4424-BAC2-E6F56FE4EC2F}" uniqueName="5" name="QTD." queryTableFieldId="5"/>
    <tableColumn id="6" xr3:uid="{E072C5E1-5384-44B5-AD9C-F8BF006CC778}" uniqueName="6" name="OBS." queryTableFieldId="6"/>
    <tableColumn id="7" xr3:uid="{EA125660-4176-4EEB-A82A-6E425E6D850B}" uniqueName="7" name="PREÇO MÉDIO R$" queryTableFieldId="7"/>
    <tableColumn id="9" xr3:uid="{1968BADD-6ACD-46D2-B946-F8E3AC72B709}" uniqueName="9" name="VALOR TOTAL R$" queryTableFieldId="9"/>
    <tableColumn id="8" xr3:uid="{253A866C-2AF9-44A0-B1B5-29BFA48DFB53}" uniqueName="8" name="DATA DE ATUALIZAÇÃO" queryTableFieldId="8"/>
    <tableColumn id="10" xr3:uid="{35A7EE65-E15D-48AC-898F-67DC413451D0}" uniqueName="10" name="SUB-FAMÍLIA" queryTableFieldId="11" dataDxfId="10">
      <calculatedColumnFormula>_xlfn.XLOOKUP(TABELA_CFTV_1[[#This Row],[DESCRIÇÃO]],'TABELA MÃE'!D:D,'TABELA MÃE'!B:B)</calculatedColumnFormula>
    </tableColumn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3FF530A-6FB0-49E8-95F0-589E9F3BC9E8}" name="TABELA_CIVIL_1" displayName="TABELA_CIVIL_1" ref="A1:J25" tableType="queryTable" totalsRowShown="0">
  <autoFilter ref="A1:J25" xr:uid="{33FF530A-6FB0-49E8-95F0-589E9F3BC9E8}"/>
  <tableColumns count="10">
    <tableColumn id="1" xr3:uid="{13584609-F059-41C6-8A3E-A739BEB8E42B}" uniqueName="1" name="ITEM" queryTableFieldId="1"/>
    <tableColumn id="2" xr3:uid="{F97195BE-235A-444A-A291-F2A4A952BDA7}" uniqueName="2" name="DESCRIÇÃO" queryTableFieldId="2" dataDxfId="9"/>
    <tableColumn id="3" xr3:uid="{3C12EAD2-8374-4674-81AF-ADC24E81C662}" uniqueName="3" name="FABRICANTE DE REFERÊNCIA" queryTableFieldId="3"/>
    <tableColumn id="4" xr3:uid="{3A0F3B1A-7875-42E2-9C64-AAD5294E49B6}" uniqueName="4" name="UN." queryTableFieldId="4"/>
    <tableColumn id="5" xr3:uid="{5ED254D0-7F34-4BA5-A1D3-87A4AB2EE34B}" uniqueName="5" name="QTD." queryTableFieldId="5"/>
    <tableColumn id="6" xr3:uid="{C0E3C7C9-EC2D-4761-B0CA-6E2B889C3517}" uniqueName="6" name="OBS." queryTableFieldId="6"/>
    <tableColumn id="7" xr3:uid="{5C11B1FD-0D08-4D6B-BD17-3D763A743E29}" uniqueName="7" name="PREÇO MÉDIO R$" queryTableFieldId="7"/>
    <tableColumn id="9" xr3:uid="{35749F3D-362F-4DDE-8879-8C52CF84CF2E}" uniqueName="9" name="VALOR TOTAL R$" queryTableFieldId="9"/>
    <tableColumn id="8" xr3:uid="{F99C441C-ACF7-4126-8B31-B9839A3C08AA}" uniqueName="8" name="DATA DE ATUALIZAÇÃO" queryTableFieldId="8"/>
    <tableColumn id="10" xr3:uid="{83E99E99-3640-4B65-B795-F86E56E27490}" uniqueName="10" name="SUB-FAMÍLIA" queryTableFieldId="11" dataDxfId="8">
      <calculatedColumnFormula>_xlfn.XLOOKUP(TABELA_CIVIL_1[[#This Row],[DESCRIÇÃO]],'TABELA MÃE'!D:D,'TABELA MÃE'!B:B)</calculatedColumnFormula>
    </tableColumn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220DADB-58C8-4621-9B85-C9A03C01BA24}" name="TABELA_MISCELÂNEA_1" displayName="TABELA_MISCELÂNEA_1" ref="A1:J25" tableType="queryTable" totalsRowShown="0">
  <autoFilter ref="A1:J25" xr:uid="{1220DADB-58C8-4621-9B85-C9A03C01BA24}"/>
  <tableColumns count="10">
    <tableColumn id="1" xr3:uid="{DB8C3859-B0CD-4CBF-8C5A-F5471FB7DC3A}" uniqueName="1" name="ITEM" queryTableFieldId="1"/>
    <tableColumn id="2" xr3:uid="{EE01DBEA-2898-4882-AD26-43173B3E6DDF}" uniqueName="2" name="DESCRIÇÃO" queryTableFieldId="2" dataDxfId="7"/>
    <tableColumn id="3" xr3:uid="{644E480C-9A10-4A1B-B987-B5A85E12A15C}" uniqueName="3" name="FABRICANTE DE REFERÊNCIA" queryTableFieldId="3"/>
    <tableColumn id="4" xr3:uid="{B96A441D-2EFE-4407-9C7C-1DE883DC8422}" uniqueName="4" name="UN." queryTableFieldId="4"/>
    <tableColumn id="5" xr3:uid="{A8E51508-4A04-4671-B35E-164318D00206}" uniqueName="5" name="QTD." queryTableFieldId="5"/>
    <tableColumn id="6" xr3:uid="{7CA9CDF2-B71E-4B32-8CA5-1446058E4C10}" uniqueName="6" name="OBS." queryTableFieldId="6"/>
    <tableColumn id="7" xr3:uid="{1A0CC59D-70DC-4AC1-87B9-1B53C16DCD5C}" uniqueName="7" name="PREÇO MÉDIO R$" queryTableFieldId="7"/>
    <tableColumn id="9" xr3:uid="{AD79FE48-FC89-4372-98B7-75F8805D843F}" uniqueName="9" name="VALOR TOTAL R$" queryTableFieldId="9"/>
    <tableColumn id="8" xr3:uid="{168B66CE-6058-4480-A54C-F328F13B6117}" uniqueName="8" name="DATA DE ATUALIZAÇÃO" queryTableFieldId="8"/>
    <tableColumn id="10" xr3:uid="{422656EB-1342-4921-89D9-F3DFF1D55029}" uniqueName="10" name="SUB-FAMÍLIA" queryTableFieldId="11" dataDxfId="6">
      <calculatedColumnFormula>_xlfn.XLOOKUP(TABELA_MISCELÂNEA_1[[#This Row],[DESCRIÇÃO]],'TABELA MÃE'!D:D,'TABELA MÃE'!B:B)</calculatedColumnFormula>
    </tableColumn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C5EA2DD-FADF-406F-BDEB-99D3DE013A46}" name="TABELA_PPCI_1" displayName="TABELA_PPCI_1" ref="A1:J25" tableType="queryTable" totalsRowShown="0">
  <autoFilter ref="A1:J25" xr:uid="{DC5EA2DD-FADF-406F-BDEB-99D3DE013A46}"/>
  <tableColumns count="10">
    <tableColumn id="1" xr3:uid="{AAA5637F-BE93-40AA-BEFA-CA8C5D4A836B}" uniqueName="1" name="ITEM" queryTableFieldId="1"/>
    <tableColumn id="2" xr3:uid="{E0537542-1ED6-4B90-A913-95A43C57947D}" uniqueName="2" name="DESCRIÇÃO" queryTableFieldId="2" dataDxfId="5"/>
    <tableColumn id="3" xr3:uid="{DA36C998-38B4-4DB2-B30B-05A6F40954EF}" uniqueName="3" name="FABRICANTE DE REFERÊNCIA" queryTableFieldId="3"/>
    <tableColumn id="4" xr3:uid="{61AC7CB8-044E-487C-ABD8-A458FFB32332}" uniqueName="4" name="UN." queryTableFieldId="4"/>
    <tableColumn id="5" xr3:uid="{08F7047A-5DEE-4F4D-8BE4-924DDB0F2FEA}" uniqueName="5" name="QTD." queryTableFieldId="5"/>
    <tableColumn id="6" xr3:uid="{391E2404-1C22-4D8D-85FE-13FB1D0CDFB9}" uniqueName="6" name="OBS." queryTableFieldId="6"/>
    <tableColumn id="7" xr3:uid="{6308F6F8-3D96-4F6C-BC53-315080347769}" uniqueName="7" name="PREÇO MÉDIO R$" queryTableFieldId="7"/>
    <tableColumn id="9" xr3:uid="{969D7D02-9E3C-4E2C-9341-790CDE078C8A}" uniqueName="9" name="VALOR TOTAL R$" queryTableFieldId="9"/>
    <tableColumn id="8" xr3:uid="{302F744E-81A5-4BC8-AC7A-7FAB7D355243}" uniqueName="8" name="DATA DE ATUALIZAÇÃO" queryTableFieldId="8"/>
    <tableColumn id="10" xr3:uid="{D09719CC-7F11-4934-9E48-579FF3C2CBFC}" uniqueName="10" name="SUB-FAMÍLIA" queryTableFieldId="11" dataDxfId="4">
      <calculatedColumnFormula>_xlfn.XLOOKUP(TABELA_PPCI_1[[#This Row],[DESCRIÇÃO]],'TABELA MÃE'!D:D,'TABELA MÃE'!B:B)</calculatedColumnFormula>
    </tableColumn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A41A950-5ABD-4DF8-9112-D2B6FCE9D4A7}" name="TABELA_DRENAGEM_1" displayName="TABELA_DRENAGEM_1" ref="A1:J25" tableType="queryTable" totalsRowShown="0">
  <autoFilter ref="A1:J25" xr:uid="{CA41A950-5ABD-4DF8-9112-D2B6FCE9D4A7}"/>
  <tableColumns count="10">
    <tableColumn id="1" xr3:uid="{CEF9BFE8-5F80-4C91-83E7-944859771C95}" uniqueName="1" name="ITEM" queryTableFieldId="1"/>
    <tableColumn id="2" xr3:uid="{1015D6A1-FBFD-46CC-A568-5DE6720E1269}" uniqueName="2" name="DESCRIÇÃO" queryTableFieldId="2" dataDxfId="3"/>
    <tableColumn id="3" xr3:uid="{8722AB38-92AC-4A56-8AE1-15CF0E6975CF}" uniqueName="3" name="FABRICANTE DE REFERÊNCIA" queryTableFieldId="3"/>
    <tableColumn id="4" xr3:uid="{17F757EF-BF0A-4B69-90B0-AFC3FC7B6064}" uniqueName="4" name="UN." queryTableFieldId="4"/>
    <tableColumn id="5" xr3:uid="{8E81DCB6-F65F-4003-9200-C08A4AB3151E}" uniqueName="5" name="QTD." queryTableFieldId="5"/>
    <tableColumn id="6" xr3:uid="{31E2310E-5CCB-4745-9F7A-F7C078769420}" uniqueName="6" name="OBS." queryTableFieldId="6"/>
    <tableColumn id="7" xr3:uid="{711B56B8-FF4E-448A-96EF-FDE6EFC1E44C}" uniqueName="7" name="PREÇO MÉDIO R$" queryTableFieldId="7"/>
    <tableColumn id="9" xr3:uid="{39192C74-B6F3-402E-A045-545C9249F2E4}" uniqueName="9" name="VALOR TOTAL R$" queryTableFieldId="9"/>
    <tableColumn id="8" xr3:uid="{8C089B42-E3F7-4749-857A-6B1062C42D8A}" uniqueName="8" name="DATA DE ATUALIZAÇÃO" queryTableFieldId="8"/>
    <tableColumn id="10" xr3:uid="{D563F923-F516-4660-8B1B-C3FF6506BC7A}" uniqueName="10" name="SUB-FAMÍLIA" queryTableFieldId="11" dataDxfId="2">
      <calculatedColumnFormula>_xlfn.XLOOKUP(TABELA_DRENAGEM_1[[#This Row],[DESCRIÇÃO]],'TABELA MÃE'!D:D,'TABELA MÃE'!B:B)</calculatedColumnFormula>
    </tableColumn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9921273-E77E-4CED-80B1-18064C875CF7}" name="TABELA_KIT_F_1" displayName="TABELA_KIT_F_1" ref="A1:J25" tableType="queryTable" totalsRowShown="0">
  <autoFilter ref="A1:J25" xr:uid="{C9921273-E77E-4CED-80B1-18064C875CF7}"/>
  <tableColumns count="10">
    <tableColumn id="1" xr3:uid="{22181BC5-29FB-458E-BBBF-6C5D2B4494B3}" uniqueName="1" name="ITEM" queryTableFieldId="1"/>
    <tableColumn id="2" xr3:uid="{8946E47C-9174-4575-A2FB-1CBD855E2731}" uniqueName="2" name="DESCRIÇÃO" queryTableFieldId="2" dataDxfId="1"/>
    <tableColumn id="3" xr3:uid="{4D94E1E4-94FF-4DF1-8969-0876CA05B886}" uniqueName="3" name="FABRICANTE DE REFERÊNCIA" queryTableFieldId="3"/>
    <tableColumn id="4" xr3:uid="{7A0840AB-0902-42A0-B60C-E12A526E6C07}" uniqueName="4" name="UN." queryTableFieldId="4"/>
    <tableColumn id="5" xr3:uid="{5E8B908F-AF77-421B-A162-88075B0D5B08}" uniqueName="5" name="QTD." queryTableFieldId="5"/>
    <tableColumn id="6" xr3:uid="{8CAB167C-D03B-48B7-BAF9-6D323D14A2D6}" uniqueName="6" name="OBS." queryTableFieldId="6"/>
    <tableColumn id="7" xr3:uid="{DC23DFA0-8660-4FAC-B487-5EB836C1E096}" uniqueName="7" name="PREÇO MÉDIO R$" queryTableFieldId="7"/>
    <tableColumn id="9" xr3:uid="{2B9CF636-8FB1-4B71-B593-891B1E72BCF8}" uniqueName="9" name="VALOR TOTAL R$" queryTableFieldId="9"/>
    <tableColumn id="8" xr3:uid="{8358B8EE-19D9-4D77-A782-C511E599866D}" uniqueName="8" name="DATA DE ATUALIZAÇÃO" queryTableFieldId="8"/>
    <tableColumn id="10" xr3:uid="{076F71A4-4FFD-4493-9F7D-37645C4FC13E}" uniqueName="10" name="SUB-FAMÍLIA" queryTableFieldId="11" dataDxfId="0">
      <calculatedColumnFormula>_xlfn.XLOOKUP(TABELA_KIT_F_1[[#This Row],[DESCRIÇÃO]],'TABELA MÃE'!D:D,'TABELA MÃE'!B:B)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4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87FFD-88FE-4568-8F88-88FE6F67FC24}">
  <sheetPr codeName="Planilha26">
    <tabColor rgb="FFFFFF00"/>
  </sheetPr>
  <dimension ref="A1:L21"/>
  <sheetViews>
    <sheetView workbookViewId="0">
      <pane xSplit="2" ySplit="1" topLeftCell="C2" activePane="bottomRight" state="frozen"/>
      <selection activeCell="B2" sqref="B2:J2"/>
      <selection pane="topRight" activeCell="B2" sqref="B2:J2"/>
      <selection pane="bottomLeft" activeCell="B2" sqref="B2:J2"/>
      <selection pane="bottomRight" activeCell="D23" sqref="D23"/>
    </sheetView>
  </sheetViews>
  <sheetFormatPr defaultColWidth="53.140625" defaultRowHeight="15" x14ac:dyDescent="0.25"/>
  <cols>
    <col min="1" max="1" width="8.140625" bestFit="1" customWidth="1"/>
    <col min="2" max="2" width="8.140625" customWidth="1"/>
    <col min="3" max="3" width="19.28515625" customWidth="1"/>
    <col min="4" max="4" width="33.5703125" customWidth="1"/>
    <col min="5" max="5" width="18.7109375" customWidth="1"/>
    <col min="6" max="6" width="16.85546875" customWidth="1"/>
    <col min="7" max="7" width="15.85546875" bestFit="1" customWidth="1"/>
    <col min="8" max="8" width="15.42578125" customWidth="1"/>
    <col min="9" max="9" width="20.85546875" customWidth="1"/>
    <col min="10" max="10" width="9.7109375" bestFit="1" customWidth="1"/>
    <col min="11" max="11" width="12.7109375" customWidth="1"/>
    <col min="12" max="12" width="19.5703125" hidden="1" customWidth="1"/>
  </cols>
  <sheetData>
    <row r="1" spans="1:12" s="39" customFormat="1" x14ac:dyDescent="0.25">
      <c r="A1" s="80" t="s">
        <v>3674</v>
      </c>
      <c r="B1" s="80" t="s">
        <v>3688</v>
      </c>
      <c r="C1" s="80" t="s">
        <v>3675</v>
      </c>
      <c r="D1" s="80" t="s">
        <v>3676</v>
      </c>
      <c r="E1" s="80" t="s">
        <v>3677</v>
      </c>
      <c r="F1" s="80" t="s">
        <v>3678</v>
      </c>
      <c r="G1" s="80" t="s">
        <v>3679</v>
      </c>
      <c r="H1" s="80" t="s">
        <v>3680</v>
      </c>
      <c r="I1" s="80" t="s">
        <v>3681</v>
      </c>
      <c r="L1" s="39" t="s">
        <v>3687</v>
      </c>
    </row>
    <row r="2" spans="1:12" x14ac:dyDescent="0.25">
      <c r="A2" s="79">
        <v>0</v>
      </c>
      <c r="B2" s="79">
        <v>1</v>
      </c>
      <c r="C2" s="81">
        <v>46056</v>
      </c>
      <c r="D2" s="73" t="s">
        <v>3690</v>
      </c>
      <c r="E2" s="79" t="s">
        <v>3682</v>
      </c>
      <c r="F2" s="79" t="s">
        <v>3685</v>
      </c>
      <c r="G2" s="79" t="s">
        <v>3686</v>
      </c>
      <c r="H2" s="79" t="s">
        <v>3689</v>
      </c>
      <c r="I2" s="79" t="s">
        <v>3682</v>
      </c>
      <c r="J2" s="82"/>
      <c r="L2" s="83" t="s">
        <v>3683</v>
      </c>
    </row>
    <row r="3" spans="1:12" x14ac:dyDescent="0.25">
      <c r="A3" s="79"/>
      <c r="B3" s="79"/>
      <c r="C3" s="81"/>
      <c r="D3" s="73"/>
      <c r="E3" s="79"/>
      <c r="F3" s="79"/>
      <c r="G3" s="79"/>
      <c r="H3" s="79"/>
      <c r="I3" s="79"/>
      <c r="L3" s="83" t="s">
        <v>3682</v>
      </c>
    </row>
    <row r="4" spans="1:12" x14ac:dyDescent="0.25">
      <c r="G4" s="79"/>
      <c r="L4" s="83" t="s">
        <v>3685</v>
      </c>
    </row>
    <row r="5" spans="1:12" x14ac:dyDescent="0.25">
      <c r="G5" s="79"/>
      <c r="L5" s="83" t="s">
        <v>3684</v>
      </c>
    </row>
    <row r="6" spans="1:12" x14ac:dyDescent="0.25">
      <c r="G6" s="79"/>
    </row>
    <row r="7" spans="1:12" x14ac:dyDescent="0.25">
      <c r="G7" s="79"/>
    </row>
    <row r="8" spans="1:12" x14ac:dyDescent="0.25">
      <c r="G8" s="79"/>
    </row>
    <row r="9" spans="1:12" x14ac:dyDescent="0.25">
      <c r="G9" s="79"/>
    </row>
    <row r="10" spans="1:12" x14ac:dyDescent="0.25">
      <c r="G10" s="79"/>
    </row>
    <row r="11" spans="1:12" x14ac:dyDescent="0.25">
      <c r="G11" s="79"/>
    </row>
    <row r="12" spans="1:12" x14ac:dyDescent="0.25">
      <c r="G12" s="79"/>
    </row>
    <row r="13" spans="1:12" x14ac:dyDescent="0.25">
      <c r="G13" s="79"/>
    </row>
    <row r="14" spans="1:12" x14ac:dyDescent="0.25">
      <c r="G14" s="79"/>
    </row>
    <row r="15" spans="1:12" x14ac:dyDescent="0.25">
      <c r="G15" s="79"/>
    </row>
    <row r="16" spans="1:12" x14ac:dyDescent="0.25">
      <c r="G16" s="79"/>
    </row>
    <row r="17" spans="7:7" x14ac:dyDescent="0.25">
      <c r="G17" s="79"/>
    </row>
    <row r="18" spans="7:7" x14ac:dyDescent="0.25">
      <c r="G18" s="79"/>
    </row>
    <row r="19" spans="7:7" x14ac:dyDescent="0.25">
      <c r="G19" s="79"/>
    </row>
    <row r="20" spans="7:7" x14ac:dyDescent="0.25">
      <c r="G20" s="79"/>
    </row>
    <row r="21" spans="7:7" x14ac:dyDescent="0.25">
      <c r="G21" s="79"/>
    </row>
  </sheetData>
  <sortState xmlns:xlrd2="http://schemas.microsoft.com/office/spreadsheetml/2017/richdata2" ref="L2:L5">
    <sortCondition ref="L2:L5"/>
  </sortState>
  <dataValidations count="3">
    <dataValidation type="list" allowBlank="1" showInputMessage="1" showErrorMessage="1" sqref="G2:G21" xr:uid="{9453896C-1613-4BC6-BC2D-692CFD50F292}">
      <formula1>"Baixo,Médio,Alto"</formula1>
    </dataValidation>
    <dataValidation type="list" allowBlank="1" showInputMessage="1" showErrorMessage="1" sqref="E2:F2 I2" xr:uid="{8FB3507A-5CA7-4AAD-A4BB-BB3E510CF701}">
      <formula1>Lista_resp</formula1>
    </dataValidation>
    <dataValidation type="list" allowBlank="1" showInputMessage="1" showErrorMessage="1" sqref="H2" xr:uid="{9A93BA41-81AC-4AA4-9F80-4CD7C58C18C5}">
      <formula1>"Proposta,Em análise,Aprovado,Rejeitado"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21613-2135-44B3-8B38-4EFECB9DBDE3}">
  <sheetPr codeName="Planilha27">
    <tabColor rgb="FFFFFF00"/>
  </sheetPr>
  <dimension ref="A1:J30"/>
  <sheetViews>
    <sheetView workbookViewId="0">
      <pane xSplit="1" ySplit="1" topLeftCell="B2" activePane="bottomRight" state="frozen"/>
      <selection activeCell="B2" sqref="B2:J2"/>
      <selection pane="topRight" activeCell="B2" sqref="B2:J2"/>
      <selection pane="bottomLeft" activeCell="B2" sqref="B2:J2"/>
      <selection pane="bottomRight" activeCell="E2" sqref="E2:E4"/>
    </sheetView>
  </sheetViews>
  <sheetFormatPr defaultColWidth="16" defaultRowHeight="15" x14ac:dyDescent="0.25"/>
  <cols>
    <col min="1" max="1" width="7.28515625" bestFit="1" customWidth="1"/>
    <col min="2" max="2" width="10.42578125" bestFit="1" customWidth="1"/>
    <col min="3" max="3" width="10.7109375" bestFit="1" customWidth="1"/>
    <col min="4" max="4" width="16.140625" bestFit="1" customWidth="1"/>
    <col min="5" max="5" width="73.140625" bestFit="1" customWidth="1"/>
    <col min="6" max="6" width="8.85546875" bestFit="1" customWidth="1"/>
    <col min="7" max="7" width="10.28515625" bestFit="1" customWidth="1"/>
    <col min="8" max="8" width="16.42578125" customWidth="1"/>
    <col min="9" max="9" width="15" customWidth="1"/>
    <col min="10" max="10" width="12.140625" bestFit="1" customWidth="1"/>
  </cols>
  <sheetData>
    <row r="1" spans="1:10" ht="30" x14ac:dyDescent="0.25">
      <c r="A1" s="80" t="s">
        <v>3691</v>
      </c>
      <c r="B1" s="80" t="s">
        <v>3675</v>
      </c>
      <c r="C1" s="80" t="s">
        <v>3677</v>
      </c>
      <c r="D1" s="80" t="s">
        <v>3692</v>
      </c>
      <c r="E1" s="80" t="s">
        <v>3693</v>
      </c>
      <c r="F1" s="80" t="s">
        <v>3694</v>
      </c>
      <c r="G1" s="80" t="s">
        <v>3695</v>
      </c>
      <c r="H1" s="80" t="s">
        <v>3680</v>
      </c>
      <c r="I1" s="80" t="s">
        <v>3678</v>
      </c>
      <c r="J1" s="80" t="s">
        <v>3696</v>
      </c>
    </row>
    <row r="2" spans="1:10" x14ac:dyDescent="0.25">
      <c r="A2" s="79" t="s">
        <v>3697</v>
      </c>
      <c r="B2" s="81">
        <v>46062</v>
      </c>
      <c r="C2" s="79" t="s">
        <v>3682</v>
      </c>
      <c r="D2" s="79" t="s">
        <v>3738</v>
      </c>
      <c r="E2" s="79" t="s">
        <v>3739</v>
      </c>
      <c r="F2" s="79" t="s">
        <v>3740</v>
      </c>
      <c r="G2" s="79" t="s">
        <v>3686</v>
      </c>
      <c r="H2" s="79" t="s">
        <v>3741</v>
      </c>
      <c r="I2" s="79" t="s">
        <v>3682</v>
      </c>
      <c r="J2" s="79"/>
    </row>
    <row r="3" spans="1:10" x14ac:dyDescent="0.25">
      <c r="A3" s="79" t="s">
        <v>3698</v>
      </c>
      <c r="B3" s="81">
        <v>46062</v>
      </c>
      <c r="C3" s="79" t="s">
        <v>3682</v>
      </c>
      <c r="D3" s="79" t="s">
        <v>3738</v>
      </c>
      <c r="E3" s="79" t="s">
        <v>3742</v>
      </c>
      <c r="F3" s="79" t="s">
        <v>3740</v>
      </c>
      <c r="G3" s="79" t="s">
        <v>3686</v>
      </c>
      <c r="H3" s="79" t="s">
        <v>3741</v>
      </c>
      <c r="I3" s="79" t="s">
        <v>3682</v>
      </c>
      <c r="J3" s="79"/>
    </row>
    <row r="4" spans="1:10" x14ac:dyDescent="0.25">
      <c r="A4" s="79" t="s">
        <v>3699</v>
      </c>
      <c r="B4" s="81">
        <v>46062</v>
      </c>
      <c r="C4" s="79" t="s">
        <v>3682</v>
      </c>
      <c r="D4" s="79" t="s">
        <v>3746</v>
      </c>
      <c r="E4" s="79" t="s">
        <v>3743</v>
      </c>
      <c r="F4" s="79" t="s">
        <v>3740</v>
      </c>
      <c r="G4" s="79" t="s">
        <v>3686</v>
      </c>
      <c r="H4" s="79" t="s">
        <v>3741</v>
      </c>
      <c r="I4" s="79" t="s">
        <v>3682</v>
      </c>
      <c r="J4" s="79"/>
    </row>
    <row r="5" spans="1:10" x14ac:dyDescent="0.25">
      <c r="A5" s="79" t="s">
        <v>3700</v>
      </c>
      <c r="B5" s="81">
        <v>46062</v>
      </c>
      <c r="C5" s="79" t="s">
        <v>3682</v>
      </c>
      <c r="D5" s="79" t="s">
        <v>3744</v>
      </c>
      <c r="E5" s="79" t="s">
        <v>3745</v>
      </c>
      <c r="F5" s="79" t="s">
        <v>3740</v>
      </c>
      <c r="G5" s="79" t="s">
        <v>3686</v>
      </c>
      <c r="H5" s="79" t="s">
        <v>3747</v>
      </c>
      <c r="I5" s="79" t="s">
        <v>3682</v>
      </c>
      <c r="J5" s="81">
        <v>46071</v>
      </c>
    </row>
    <row r="6" spans="1:10" x14ac:dyDescent="0.25">
      <c r="A6" s="79" t="s">
        <v>3701</v>
      </c>
      <c r="B6" s="81">
        <v>46071</v>
      </c>
      <c r="C6" s="79" t="s">
        <v>3682</v>
      </c>
      <c r="D6" s="79" t="s">
        <v>3748</v>
      </c>
      <c r="E6" s="79" t="s">
        <v>3749</v>
      </c>
      <c r="F6" s="79" t="s">
        <v>3740</v>
      </c>
      <c r="G6" s="79" t="s">
        <v>3750</v>
      </c>
      <c r="H6" s="79" t="s">
        <v>3741</v>
      </c>
      <c r="I6" s="79" t="s">
        <v>3682</v>
      </c>
      <c r="J6" s="79"/>
    </row>
    <row r="7" spans="1:10" x14ac:dyDescent="0.25">
      <c r="A7" s="79" t="s">
        <v>3702</v>
      </c>
      <c r="B7" s="81"/>
      <c r="C7" s="79"/>
      <c r="D7" s="79"/>
      <c r="E7" s="79"/>
      <c r="F7" s="79"/>
      <c r="G7" s="79"/>
      <c r="H7" s="79"/>
      <c r="I7" s="79"/>
      <c r="J7" s="79"/>
    </row>
    <row r="8" spans="1:10" x14ac:dyDescent="0.25">
      <c r="A8" s="79" t="s">
        <v>3703</v>
      </c>
      <c r="B8" s="81"/>
      <c r="C8" s="79"/>
      <c r="D8" s="79"/>
      <c r="E8" s="79"/>
      <c r="F8" s="79"/>
      <c r="G8" s="79"/>
      <c r="H8" s="79"/>
      <c r="I8" s="79"/>
      <c r="J8" s="79"/>
    </row>
    <row r="9" spans="1:10" x14ac:dyDescent="0.25">
      <c r="A9" s="79" t="s">
        <v>3704</v>
      </c>
      <c r="B9" s="81"/>
      <c r="C9" s="79"/>
      <c r="D9" s="79"/>
      <c r="E9" s="79"/>
      <c r="F9" s="79"/>
      <c r="G9" s="79"/>
      <c r="H9" s="79"/>
      <c r="I9" s="79"/>
      <c r="J9" s="79"/>
    </row>
    <row r="10" spans="1:10" x14ac:dyDescent="0.25">
      <c r="A10" s="79" t="s">
        <v>3705</v>
      </c>
      <c r="B10" s="81"/>
      <c r="C10" s="79"/>
      <c r="D10" s="79"/>
      <c r="E10" s="79"/>
      <c r="F10" s="79"/>
      <c r="G10" s="79"/>
      <c r="H10" s="79"/>
      <c r="I10" s="79"/>
      <c r="J10" s="79"/>
    </row>
    <row r="11" spans="1:10" x14ac:dyDescent="0.25">
      <c r="A11" s="79" t="s">
        <v>3706</v>
      </c>
      <c r="B11" s="81"/>
      <c r="C11" s="79"/>
      <c r="D11" s="79"/>
      <c r="E11" s="79"/>
      <c r="F11" s="79"/>
      <c r="G11" s="79"/>
      <c r="H11" s="79"/>
      <c r="I11" s="79"/>
      <c r="J11" s="79"/>
    </row>
    <row r="12" spans="1:10" x14ac:dyDescent="0.25">
      <c r="A12" s="79" t="s">
        <v>3707</v>
      </c>
      <c r="B12" s="81"/>
      <c r="C12" s="79"/>
      <c r="D12" s="79"/>
      <c r="E12" s="79"/>
      <c r="F12" s="79"/>
      <c r="G12" s="79"/>
      <c r="H12" s="79"/>
      <c r="I12" s="79"/>
      <c r="J12" s="79"/>
    </row>
    <row r="13" spans="1:10" x14ac:dyDescent="0.25">
      <c r="A13" s="79" t="s">
        <v>3708</v>
      </c>
      <c r="B13" s="81"/>
      <c r="C13" s="79"/>
      <c r="D13" s="79"/>
      <c r="E13" s="79"/>
      <c r="F13" s="79"/>
      <c r="G13" s="79"/>
      <c r="H13" s="79"/>
      <c r="I13" s="79"/>
      <c r="J13" s="79"/>
    </row>
    <row r="14" spans="1:10" x14ac:dyDescent="0.25">
      <c r="A14" s="79" t="s">
        <v>3709</v>
      </c>
      <c r="B14" s="81"/>
      <c r="C14" s="79"/>
      <c r="D14" s="79"/>
      <c r="E14" s="79"/>
      <c r="F14" s="79"/>
      <c r="G14" s="79"/>
      <c r="H14" s="79"/>
      <c r="I14" s="79"/>
      <c r="J14" s="79"/>
    </row>
    <row r="15" spans="1:10" x14ac:dyDescent="0.25">
      <c r="A15" s="79" t="s">
        <v>3710</v>
      </c>
      <c r="B15" s="81"/>
      <c r="C15" s="79"/>
      <c r="D15" s="79"/>
      <c r="E15" s="79"/>
      <c r="F15" s="79"/>
      <c r="G15" s="79"/>
      <c r="H15" s="79"/>
      <c r="I15" s="79"/>
      <c r="J15" s="79"/>
    </row>
    <row r="16" spans="1:10" x14ac:dyDescent="0.25">
      <c r="A16" s="79" t="s">
        <v>3711</v>
      </c>
      <c r="B16" s="81"/>
      <c r="C16" s="79"/>
      <c r="D16" s="79"/>
      <c r="E16" s="79"/>
      <c r="F16" s="79"/>
      <c r="G16" s="79"/>
      <c r="H16" s="79"/>
      <c r="I16" s="79"/>
      <c r="J16" s="79"/>
    </row>
    <row r="17" spans="1:10" x14ac:dyDescent="0.25">
      <c r="A17" s="79" t="s">
        <v>3712</v>
      </c>
      <c r="B17" s="81"/>
      <c r="C17" s="79"/>
      <c r="D17" s="79"/>
      <c r="E17" s="79"/>
      <c r="F17" s="79"/>
      <c r="G17" s="79"/>
      <c r="H17" s="79"/>
      <c r="I17" s="79"/>
      <c r="J17" s="79"/>
    </row>
    <row r="18" spans="1:10" x14ac:dyDescent="0.25">
      <c r="A18" s="79" t="s">
        <v>3713</v>
      </c>
      <c r="B18" s="81"/>
      <c r="C18" s="79"/>
      <c r="D18" s="79"/>
      <c r="E18" s="79"/>
      <c r="F18" s="79"/>
      <c r="G18" s="79"/>
      <c r="H18" s="79"/>
      <c r="I18" s="79"/>
      <c r="J18" s="79"/>
    </row>
    <row r="19" spans="1:10" x14ac:dyDescent="0.25">
      <c r="A19" s="79" t="s">
        <v>3714</v>
      </c>
      <c r="B19" s="81"/>
      <c r="C19" s="79"/>
      <c r="D19" s="79"/>
      <c r="E19" s="79"/>
      <c r="F19" s="79"/>
      <c r="G19" s="79"/>
      <c r="H19" s="79"/>
      <c r="I19" s="79"/>
      <c r="J19" s="79"/>
    </row>
    <row r="20" spans="1:10" x14ac:dyDescent="0.25">
      <c r="A20" s="79" t="s">
        <v>3715</v>
      </c>
      <c r="B20" s="81"/>
      <c r="C20" s="79"/>
      <c r="D20" s="79"/>
      <c r="E20" s="79"/>
      <c r="F20" s="79"/>
      <c r="G20" s="79"/>
      <c r="H20" s="79"/>
      <c r="I20" s="79"/>
      <c r="J20" s="79"/>
    </row>
    <row r="21" spans="1:10" x14ac:dyDescent="0.25">
      <c r="A21" s="79" t="s">
        <v>3716</v>
      </c>
      <c r="B21" s="81"/>
      <c r="C21" s="79"/>
      <c r="D21" s="79"/>
      <c r="E21" s="79"/>
      <c r="F21" s="79"/>
      <c r="G21" s="79"/>
      <c r="H21" s="79"/>
      <c r="I21" s="79"/>
      <c r="J21" s="79"/>
    </row>
    <row r="22" spans="1:10" x14ac:dyDescent="0.25">
      <c r="A22" s="79" t="s">
        <v>3717</v>
      </c>
      <c r="B22" s="81"/>
      <c r="C22" s="79"/>
      <c r="D22" s="79"/>
      <c r="E22" s="79"/>
      <c r="F22" s="79"/>
      <c r="G22" s="79"/>
      <c r="H22" s="79"/>
      <c r="I22" s="79"/>
      <c r="J22" s="79"/>
    </row>
    <row r="23" spans="1:10" x14ac:dyDescent="0.25">
      <c r="A23" s="79" t="s">
        <v>3718</v>
      </c>
      <c r="B23" s="81"/>
      <c r="C23" s="79"/>
      <c r="D23" s="79"/>
      <c r="E23" s="79"/>
      <c r="F23" s="79"/>
      <c r="G23" s="79"/>
      <c r="H23" s="79"/>
      <c r="I23" s="79"/>
      <c r="J23" s="79"/>
    </row>
    <row r="24" spans="1:10" x14ac:dyDescent="0.25">
      <c r="A24" s="79" t="s">
        <v>3719</v>
      </c>
      <c r="B24" s="81"/>
      <c r="C24" s="79"/>
      <c r="D24" s="79"/>
      <c r="E24" s="79"/>
      <c r="F24" s="79"/>
      <c r="G24" s="79"/>
      <c r="H24" s="79"/>
      <c r="I24" s="79"/>
      <c r="J24" s="79"/>
    </row>
    <row r="25" spans="1:10" x14ac:dyDescent="0.25">
      <c r="A25" s="79" t="s">
        <v>3720</v>
      </c>
      <c r="B25" s="81"/>
      <c r="C25" s="79"/>
      <c r="D25" s="79"/>
      <c r="E25" s="79"/>
      <c r="F25" s="79"/>
      <c r="G25" s="79"/>
      <c r="H25" s="79"/>
      <c r="I25" s="79"/>
      <c r="J25" s="79"/>
    </row>
    <row r="26" spans="1:10" x14ac:dyDescent="0.25">
      <c r="A26" s="79" t="s">
        <v>3721</v>
      </c>
      <c r="B26" s="81"/>
      <c r="C26" s="79"/>
      <c r="D26" s="79"/>
      <c r="E26" s="79"/>
      <c r="F26" s="79"/>
      <c r="G26" s="79"/>
      <c r="H26" s="79"/>
      <c r="I26" s="79"/>
      <c r="J26" s="79"/>
    </row>
    <row r="27" spans="1:10" x14ac:dyDescent="0.25">
      <c r="A27" s="79" t="s">
        <v>3722</v>
      </c>
      <c r="B27" s="81"/>
      <c r="C27" s="79"/>
      <c r="D27" s="79"/>
      <c r="E27" s="79"/>
      <c r="F27" s="79"/>
      <c r="G27" s="79"/>
      <c r="H27" s="79"/>
      <c r="I27" s="79"/>
      <c r="J27" s="79"/>
    </row>
    <row r="28" spans="1:10" x14ac:dyDescent="0.25">
      <c r="A28" s="79" t="s">
        <v>3723</v>
      </c>
      <c r="B28" s="81"/>
      <c r="C28" s="79"/>
      <c r="D28" s="79"/>
      <c r="E28" s="79"/>
      <c r="F28" s="79"/>
      <c r="G28" s="79"/>
      <c r="H28" s="79"/>
      <c r="I28" s="79"/>
      <c r="J28" s="79"/>
    </row>
    <row r="29" spans="1:10" x14ac:dyDescent="0.25">
      <c r="A29" s="79" t="s">
        <v>3724</v>
      </c>
      <c r="B29" s="81"/>
      <c r="C29" s="79"/>
      <c r="D29" s="79"/>
      <c r="E29" s="79"/>
      <c r="F29" s="79"/>
      <c r="G29" s="79"/>
      <c r="H29" s="79"/>
      <c r="I29" s="79"/>
      <c r="J29" s="79"/>
    </row>
    <row r="30" spans="1:10" x14ac:dyDescent="0.25">
      <c r="A30" s="79" t="s">
        <v>3725</v>
      </c>
      <c r="B30" s="81"/>
      <c r="C30" s="79"/>
      <c r="D30" s="79"/>
      <c r="E30" s="79"/>
      <c r="F30" s="79"/>
      <c r="G30" s="79"/>
      <c r="H30" s="79"/>
      <c r="I30" s="79"/>
      <c r="J30" s="79"/>
    </row>
  </sheetData>
  <phoneticPr fontId="2" type="noConversion"/>
  <conditionalFormatting sqref="A2:J30">
    <cfRule type="expression" dxfId="189" priority="5">
      <formula>$H2="Rejeitado"</formula>
    </cfRule>
    <cfRule type="expression" dxfId="188" priority="6">
      <formula>$H2="Aprovado"</formula>
    </cfRule>
    <cfRule type="expression" dxfId="187" priority="7">
      <formula>$H2="Em análise"</formula>
    </cfRule>
    <cfRule type="expression" dxfId="186" priority="8">
      <formula>$H2="Proposta"</formula>
    </cfRule>
  </conditionalFormatting>
  <dataValidations count="4">
    <dataValidation type="list" allowBlank="1" showInputMessage="1" showErrorMessage="1" sqref="C2:C30 I2:I30" xr:uid="{37E3EAEE-001E-4F73-9F8F-3C086F94BF77}">
      <formula1>Lista_resp</formula1>
    </dataValidation>
    <dataValidation type="list" allowBlank="1" showInputMessage="1" showErrorMessage="1" sqref="G2:G30" xr:uid="{42DA3407-701B-4DCD-A9C1-00627619560A}">
      <formula1>"Baixo,Médio,Alto"</formula1>
    </dataValidation>
    <dataValidation type="list" allowBlank="1" showInputMessage="1" showErrorMessage="1" sqref="F2:F30" xr:uid="{B20854F7-38EA-4355-9749-33BAF6AEF912}">
      <formula1>"Correção,Melhoria,Nova função,Padronização"</formula1>
    </dataValidation>
    <dataValidation type="list" allowBlank="1" showInputMessage="1" showErrorMessage="1" sqref="H2:H30" xr:uid="{68CF7B07-3166-480F-B66F-339AFAA71FF5}">
      <formula1>"Proposta,Em análise,Aprovado,Rejeitado"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4F5FB-B953-4983-A2E9-C620348178D0}">
  <sheetPr codeName="Planilha1"/>
  <dimension ref="B1:D30"/>
  <sheetViews>
    <sheetView workbookViewId="0">
      <selection activeCell="B8" sqref="B8:D8"/>
    </sheetView>
  </sheetViews>
  <sheetFormatPr defaultRowHeight="15" x14ac:dyDescent="0.25"/>
  <cols>
    <col min="2" max="2" width="24" bestFit="1" customWidth="1"/>
    <col min="3" max="3" width="63" bestFit="1" customWidth="1"/>
    <col min="4" max="4" width="57.140625" bestFit="1" customWidth="1"/>
  </cols>
  <sheetData>
    <row r="1" spans="2:4" ht="15.75" thickBot="1" x14ac:dyDescent="0.3"/>
    <row r="2" spans="2:4" ht="15.75" thickBot="1" x14ac:dyDescent="0.3">
      <c r="B2" s="102" t="s">
        <v>4</v>
      </c>
      <c r="C2" s="103"/>
      <c r="D2" s="104"/>
    </row>
    <row r="3" spans="2:4" x14ac:dyDescent="0.25">
      <c r="B3" s="1" t="s">
        <v>0</v>
      </c>
      <c r="C3" s="13" t="s">
        <v>27</v>
      </c>
      <c r="D3" s="114" t="e" vm="1">
        <v>#VALUE!</v>
      </c>
    </row>
    <row r="4" spans="2:4" x14ac:dyDescent="0.25">
      <c r="B4" s="2" t="s">
        <v>1</v>
      </c>
      <c r="C4" s="15">
        <v>0</v>
      </c>
      <c r="D4" s="115"/>
    </row>
    <row r="5" spans="2:4" x14ac:dyDescent="0.25">
      <c r="B5" s="2" t="s">
        <v>2</v>
      </c>
      <c r="C5" s="15" t="s">
        <v>5</v>
      </c>
      <c r="D5" s="115"/>
    </row>
    <row r="6" spans="2:4" x14ac:dyDescent="0.25">
      <c r="B6" s="2" t="s">
        <v>6</v>
      </c>
      <c r="C6" s="15" t="s">
        <v>27</v>
      </c>
      <c r="D6" s="115"/>
    </row>
    <row r="7" spans="2:4" ht="15.75" thickBot="1" x14ac:dyDescent="0.3">
      <c r="B7" s="2" t="s">
        <v>3</v>
      </c>
      <c r="C7" s="15" t="s">
        <v>28</v>
      </c>
      <c r="D7" s="115"/>
    </row>
    <row r="8" spans="2:4" x14ac:dyDescent="0.25">
      <c r="B8" s="105" t="s">
        <v>161</v>
      </c>
      <c r="C8" s="106"/>
      <c r="D8" s="107"/>
    </row>
    <row r="9" spans="2:4" x14ac:dyDescent="0.25">
      <c r="B9" s="108" t="s">
        <v>135</v>
      </c>
      <c r="C9" s="109"/>
      <c r="D9" s="110"/>
    </row>
    <row r="10" spans="2:4" ht="15.75" thickBot="1" x14ac:dyDescent="0.3">
      <c r="B10" s="111" t="s">
        <v>160</v>
      </c>
      <c r="C10" s="112"/>
      <c r="D10" s="113"/>
    </row>
    <row r="11" spans="2:4" x14ac:dyDescent="0.25">
      <c r="B11" s="105" t="s">
        <v>7</v>
      </c>
      <c r="C11" s="106"/>
      <c r="D11" s="107"/>
    </row>
    <row r="12" spans="2:4" ht="15.75" thickBot="1" x14ac:dyDescent="0.3">
      <c r="B12" s="6" t="s">
        <v>8</v>
      </c>
      <c r="C12" s="7" t="s">
        <v>9</v>
      </c>
      <c r="D12" s="8" t="s">
        <v>10</v>
      </c>
    </row>
    <row r="13" spans="2:4" x14ac:dyDescent="0.25">
      <c r="B13" s="9">
        <v>1</v>
      </c>
      <c r="C13" s="12" t="s">
        <v>11</v>
      </c>
      <c r="D13" s="13" t="s">
        <v>162</v>
      </c>
    </row>
    <row r="14" spans="2:4" x14ac:dyDescent="0.25">
      <c r="B14" s="10">
        <v>2</v>
      </c>
      <c r="C14" s="14" t="s">
        <v>12</v>
      </c>
      <c r="D14" s="15" t="s">
        <v>162</v>
      </c>
    </row>
    <row r="15" spans="2:4" x14ac:dyDescent="0.25">
      <c r="B15" s="10">
        <v>3</v>
      </c>
      <c r="C15" s="14" t="s">
        <v>13</v>
      </c>
      <c r="D15" s="15" t="s">
        <v>162</v>
      </c>
    </row>
    <row r="16" spans="2:4" x14ac:dyDescent="0.25">
      <c r="B16" s="10">
        <v>4</v>
      </c>
      <c r="C16" s="14" t="s">
        <v>22</v>
      </c>
      <c r="D16" s="15" t="s">
        <v>162</v>
      </c>
    </row>
    <row r="17" spans="2:4" x14ac:dyDescent="0.25">
      <c r="B17" s="10">
        <v>5</v>
      </c>
      <c r="C17" s="14" t="s">
        <v>14</v>
      </c>
      <c r="D17" s="15" t="s">
        <v>162</v>
      </c>
    </row>
    <row r="18" spans="2:4" x14ac:dyDescent="0.25">
      <c r="B18" s="10">
        <v>6</v>
      </c>
      <c r="C18" s="14" t="s">
        <v>21</v>
      </c>
      <c r="D18" s="15" t="s">
        <v>162</v>
      </c>
    </row>
    <row r="19" spans="2:4" x14ac:dyDescent="0.25">
      <c r="B19" s="10">
        <v>7</v>
      </c>
      <c r="C19" s="14" t="s">
        <v>24</v>
      </c>
      <c r="D19" s="15" t="s">
        <v>162</v>
      </c>
    </row>
    <row r="20" spans="2:4" x14ac:dyDescent="0.25">
      <c r="B20" s="10">
        <v>8</v>
      </c>
      <c r="C20" s="14" t="s">
        <v>20</v>
      </c>
      <c r="D20" s="15" t="s">
        <v>162</v>
      </c>
    </row>
    <row r="21" spans="2:4" x14ac:dyDescent="0.25">
      <c r="B21" s="10">
        <v>9</v>
      </c>
      <c r="C21" s="14" t="s">
        <v>131</v>
      </c>
      <c r="D21" s="15" t="s">
        <v>162</v>
      </c>
    </row>
    <row r="22" spans="2:4" ht="15.75" thickBot="1" x14ac:dyDescent="0.3">
      <c r="B22" s="11">
        <v>10</v>
      </c>
      <c r="C22" s="16" t="s">
        <v>23</v>
      </c>
      <c r="D22" s="5" t="s">
        <v>162</v>
      </c>
    </row>
    <row r="23" spans="2:4" ht="15.75" thickBot="1" x14ac:dyDescent="0.3">
      <c r="B23" s="102" t="s">
        <v>15</v>
      </c>
      <c r="C23" s="103"/>
      <c r="D23" s="104"/>
    </row>
    <row r="24" spans="2:4" x14ac:dyDescent="0.25">
      <c r="B24" s="1" t="s">
        <v>16</v>
      </c>
      <c r="C24" s="3" t="s">
        <v>17</v>
      </c>
      <c r="D24" s="4" t="s">
        <v>18</v>
      </c>
    </row>
    <row r="25" spans="2:4" x14ac:dyDescent="0.25">
      <c r="B25" s="17" t="s">
        <v>19</v>
      </c>
      <c r="C25" s="53" t="s">
        <v>25</v>
      </c>
      <c r="D25" s="15" t="s">
        <v>26</v>
      </c>
    </row>
    <row r="26" spans="2:4" x14ac:dyDescent="0.25">
      <c r="B26" s="17"/>
      <c r="C26" s="53"/>
      <c r="D26" s="15"/>
    </row>
    <row r="27" spans="2:4" x14ac:dyDescent="0.25">
      <c r="B27" s="17"/>
      <c r="C27" s="53"/>
      <c r="D27" s="15"/>
    </row>
    <row r="28" spans="2:4" x14ac:dyDescent="0.25">
      <c r="B28" s="17"/>
      <c r="C28" s="54"/>
      <c r="D28" s="15"/>
    </row>
    <row r="29" spans="2:4" x14ac:dyDescent="0.25">
      <c r="B29" s="17"/>
      <c r="C29" s="54"/>
      <c r="D29" s="15"/>
    </row>
    <row r="30" spans="2:4" ht="15.75" thickBot="1" x14ac:dyDescent="0.3">
      <c r="B30" s="18"/>
      <c r="C30" s="19"/>
      <c r="D30" s="5"/>
    </row>
  </sheetData>
  <sortState xmlns:xlrd2="http://schemas.microsoft.com/office/spreadsheetml/2017/richdata2" ref="C13:C22">
    <sortCondition ref="C13:C22"/>
  </sortState>
  <mergeCells count="7">
    <mergeCell ref="B23:D23"/>
    <mergeCell ref="B11:D11"/>
    <mergeCell ref="B2:D2"/>
    <mergeCell ref="B8:D8"/>
    <mergeCell ref="B9:D9"/>
    <mergeCell ref="B10:D10"/>
    <mergeCell ref="D3:D7"/>
  </mergeCells>
  <dataValidations count="1">
    <dataValidation type="list" allowBlank="1" showInputMessage="1" showErrorMessage="1" sqref="D13:D22" xr:uid="{72995297-C531-4022-97A8-33231E26775A}">
      <formula1>"COMPLETA,INCOMPLETA,NÃO INICIADA,NÃO APLICADO"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76158-D10B-4811-9374-F80D9547D0BB}">
  <sheetPr codeName="Planilha3"/>
  <dimension ref="A1:I2778"/>
  <sheetViews>
    <sheetView zoomScale="70" zoomScaleNormal="70" workbookViewId="0">
      <pane ySplit="1" topLeftCell="A2310" activePane="bottomLeft" state="frozen"/>
      <selection pane="bottomLeft" activeCell="I2326" sqref="I2326"/>
    </sheetView>
  </sheetViews>
  <sheetFormatPr defaultColWidth="9.140625" defaultRowHeight="15" x14ac:dyDescent="0.25"/>
  <cols>
    <col min="1" max="2" width="20.7109375" style="29" customWidth="1"/>
    <col min="3" max="3" width="18.7109375" style="29" customWidth="1"/>
    <col min="4" max="4" width="255.7109375" style="37" bestFit="1" customWidth="1"/>
    <col min="5" max="5" width="36" style="29" bestFit="1" customWidth="1"/>
    <col min="6" max="6" width="8.7109375" style="29" customWidth="1"/>
    <col min="7" max="7" width="20.7109375" style="29" customWidth="1"/>
    <col min="8" max="8" width="20.7109375" style="71" customWidth="1"/>
    <col min="9" max="9" width="28.7109375" style="29" customWidth="1"/>
    <col min="10" max="16384" width="9.140625" style="29"/>
  </cols>
  <sheetData>
    <row r="1" spans="1:9" x14ac:dyDescent="0.25">
      <c r="A1" s="29" t="s">
        <v>157</v>
      </c>
      <c r="B1" s="29" t="s">
        <v>158</v>
      </c>
      <c r="C1" s="29" t="s">
        <v>43</v>
      </c>
      <c r="D1" s="29" t="s">
        <v>9</v>
      </c>
      <c r="E1" s="29" t="s">
        <v>29</v>
      </c>
      <c r="F1" s="29" t="s">
        <v>30</v>
      </c>
      <c r="G1" s="29" t="s">
        <v>49</v>
      </c>
      <c r="H1" s="71" t="s">
        <v>33</v>
      </c>
      <c r="I1" s="29" t="s">
        <v>212</v>
      </c>
    </row>
    <row r="2" spans="1:9" x14ac:dyDescent="0.25">
      <c r="A2" s="29" t="s">
        <v>11</v>
      </c>
      <c r="B2" s="29" t="s">
        <v>123</v>
      </c>
      <c r="C2" s="29" t="s">
        <v>34</v>
      </c>
      <c r="D2" s="37" t="s">
        <v>2060</v>
      </c>
      <c r="E2" s="29" t="s">
        <v>243</v>
      </c>
      <c r="F2" s="29" t="s">
        <v>36</v>
      </c>
      <c r="G2" s="29">
        <v>107.99</v>
      </c>
      <c r="H2" s="71" t="s">
        <v>242</v>
      </c>
      <c r="I2" s="37" t="str">
        <f>"https://www.kapplanenergy.com.br/barra-de-equipotencializacao-com-parafusos-de-14-1003"</f>
        <v>https://www.kapplanenergy.com.br/barra-de-equipotencializacao-com-parafusos-de-14-1003</v>
      </c>
    </row>
    <row r="3" spans="1:9" x14ac:dyDescent="0.25">
      <c r="A3" s="29" t="s">
        <v>11</v>
      </c>
      <c r="B3" s="29" t="s">
        <v>123</v>
      </c>
      <c r="C3" s="29" t="s">
        <v>34</v>
      </c>
      <c r="D3" s="37" t="s">
        <v>2061</v>
      </c>
      <c r="E3" s="29" t="s">
        <v>243</v>
      </c>
      <c r="F3" s="29" t="s">
        <v>36</v>
      </c>
      <c r="G3" s="29">
        <v>246.99</v>
      </c>
      <c r="H3" s="71" t="s">
        <v>242</v>
      </c>
      <c r="I3" s="37" t="str">
        <f>"https://www.kapplanenergy.com.br/barra-de-equipotencializacao-com-terminais-de-pressao-1011"</f>
        <v>https://www.kapplanenergy.com.br/barra-de-equipotencializacao-com-terminais-de-pressao-1011</v>
      </c>
    </row>
    <row r="4" spans="1:9" x14ac:dyDescent="0.25">
      <c r="A4" s="29" t="s">
        <v>11</v>
      </c>
      <c r="B4" s="29" t="s">
        <v>123</v>
      </c>
      <c r="C4" s="29" t="s">
        <v>34</v>
      </c>
      <c r="D4" s="37" t="s">
        <v>2062</v>
      </c>
      <c r="E4" s="29" t="s">
        <v>243</v>
      </c>
      <c r="F4" s="29" t="s">
        <v>36</v>
      </c>
      <c r="G4" s="29">
        <v>73.989999999999995</v>
      </c>
      <c r="H4" s="71" t="s">
        <v>242</v>
      </c>
      <c r="I4" s="37" t="str">
        <f>"https://www.kapplanenergy.com.br/barra-de-equipotencializacao-com-parafusos-de-14"</f>
        <v>https://www.kapplanenergy.com.br/barra-de-equipotencializacao-com-parafusos-de-14</v>
      </c>
    </row>
    <row r="5" spans="1:9" x14ac:dyDescent="0.25">
      <c r="A5" s="29" t="s">
        <v>11</v>
      </c>
      <c r="B5" s="29" t="s">
        <v>123</v>
      </c>
      <c r="C5" s="29" t="s">
        <v>34</v>
      </c>
      <c r="D5" s="37" t="s">
        <v>2063</v>
      </c>
      <c r="E5" s="29" t="s">
        <v>243</v>
      </c>
      <c r="F5" s="29" t="s">
        <v>36</v>
      </c>
      <c r="G5" s="29">
        <v>104.99</v>
      </c>
      <c r="H5" s="71" t="s">
        <v>242</v>
      </c>
      <c r="I5" s="37" t="str">
        <f>"https://www.kapplanenergy.com.br/barra-de-equipotencializacao-com-parafusos-de-14-1004"</f>
        <v>https://www.kapplanenergy.com.br/barra-de-equipotencializacao-com-parafusos-de-14-1004</v>
      </c>
    </row>
    <row r="6" spans="1:9" x14ac:dyDescent="0.25">
      <c r="A6" s="29" t="s">
        <v>11</v>
      </c>
      <c r="B6" s="29" t="s">
        <v>123</v>
      </c>
      <c r="C6" s="29" t="s">
        <v>34</v>
      </c>
      <c r="D6" s="37" t="s">
        <v>2064</v>
      </c>
      <c r="E6" s="29" t="s">
        <v>243</v>
      </c>
      <c r="F6" s="29" t="s">
        <v>36</v>
      </c>
      <c r="G6" s="29">
        <v>136.99</v>
      </c>
      <c r="H6" s="71" t="s">
        <v>242</v>
      </c>
      <c r="I6" s="37" t="str">
        <f>"https://www.kapplanenergy.com.br/barra-de-equipotencializacao-com-terminais-de-pressao"</f>
        <v>https://www.kapplanenergy.com.br/barra-de-equipotencializacao-com-terminais-de-pressao</v>
      </c>
    </row>
    <row r="7" spans="1:9" x14ac:dyDescent="0.25">
      <c r="A7" s="29" t="s">
        <v>11</v>
      </c>
      <c r="B7" s="29" t="s">
        <v>123</v>
      </c>
      <c r="C7" s="29" t="s">
        <v>34</v>
      </c>
      <c r="D7" s="37" t="s">
        <v>2065</v>
      </c>
      <c r="E7" s="29" t="s">
        <v>243</v>
      </c>
      <c r="F7" s="29" t="s">
        <v>36</v>
      </c>
      <c r="G7" s="29">
        <v>130.99</v>
      </c>
      <c r="H7" s="71" t="s">
        <v>242</v>
      </c>
      <c r="I7" s="37" t="str">
        <f>"https://www.kapplanenergy.com.br/barra-de-equipotencializacao-com-parafusos-de-14-1005"</f>
        <v>https://www.kapplanenergy.com.br/barra-de-equipotencializacao-com-parafusos-de-14-1005</v>
      </c>
    </row>
    <row r="8" spans="1:9" x14ac:dyDescent="0.25">
      <c r="A8" s="29" t="s">
        <v>11</v>
      </c>
      <c r="B8" s="29" t="s">
        <v>123</v>
      </c>
      <c r="C8" s="29" t="s">
        <v>34</v>
      </c>
      <c r="D8" s="37" t="s">
        <v>2066</v>
      </c>
      <c r="E8" s="29" t="s">
        <v>243</v>
      </c>
      <c r="F8" s="29" t="s">
        <v>36</v>
      </c>
      <c r="G8" s="29">
        <v>90.99</v>
      </c>
      <c r="H8" s="71" t="s">
        <v>242</v>
      </c>
      <c r="I8" s="37" t="str">
        <f>"https://www.kapplanenergy.com.br/barramento-de-equipotencializacao/barra-de-equipotencializacao-1-14x316-155mm-com-5-parafusos-14-e-base-de-fixacao-em-aluminio"</f>
        <v>https://www.kapplanenergy.com.br/barramento-de-equipotencializacao/barra-de-equipotencializacao-1-14x316-155mm-com-5-parafusos-14-e-base-de-fixacao-em-aluminio</v>
      </c>
    </row>
    <row r="9" spans="1:9" x14ac:dyDescent="0.25">
      <c r="A9" s="29" t="s">
        <v>11</v>
      </c>
      <c r="B9" s="29" t="s">
        <v>123</v>
      </c>
      <c r="C9" s="29" t="s">
        <v>34</v>
      </c>
      <c r="D9" s="37" t="s">
        <v>2067</v>
      </c>
      <c r="E9" s="29" t="s">
        <v>243</v>
      </c>
      <c r="F9" s="29" t="s">
        <v>36</v>
      </c>
      <c r="G9" s="29">
        <v>151.69999999999999</v>
      </c>
      <c r="H9" s="71" t="s">
        <v>242</v>
      </c>
      <c r="I9" s="37" t="str">
        <f>"https://www.kapplanenergy.com.br/barra-de-equipotencializacao-com-terminais-de-pressao-1008"</f>
        <v>https://www.kapplanenergy.com.br/barra-de-equipotencializacao-com-terminais-de-pressao-1008</v>
      </c>
    </row>
    <row r="10" spans="1:9" x14ac:dyDescent="0.25">
      <c r="A10" s="29" t="s">
        <v>11</v>
      </c>
      <c r="B10" s="29" t="s">
        <v>123</v>
      </c>
      <c r="C10" s="29" t="s">
        <v>34</v>
      </c>
      <c r="D10" s="37" t="s">
        <v>2068</v>
      </c>
      <c r="E10" s="29" t="s">
        <v>243</v>
      </c>
      <c r="F10" s="29" t="s">
        <v>36</v>
      </c>
      <c r="G10" s="29">
        <v>155.99</v>
      </c>
      <c r="H10" s="71" t="s">
        <v>242</v>
      </c>
      <c r="I10" s="37" t="str">
        <f>"https://www.kapplanenergy.com.br/barra-de-equipotencializacao-com-terminais-de-pressao-1010"</f>
        <v>https://www.kapplanenergy.com.br/barra-de-equipotencializacao-com-terminais-de-pressao-1010</v>
      </c>
    </row>
    <row r="11" spans="1:9" x14ac:dyDescent="0.25">
      <c r="A11" s="29" t="s">
        <v>11</v>
      </c>
      <c r="B11" s="29" t="s">
        <v>123</v>
      </c>
      <c r="C11" s="29" t="s">
        <v>34</v>
      </c>
      <c r="D11" s="37" t="s">
        <v>2069</v>
      </c>
      <c r="E11" s="29" t="s">
        <v>243</v>
      </c>
      <c r="F11" s="29" t="s">
        <v>36</v>
      </c>
      <c r="G11" s="29">
        <v>222.99</v>
      </c>
      <c r="H11" s="71" t="s">
        <v>242</v>
      </c>
      <c r="I11" s="37" t="str">
        <f>"https://www.kapplanenergy.com.br/barra-de-equipotencializacao-com-parafusos-de-14-1002"</f>
        <v>https://www.kapplanenergy.com.br/barra-de-equipotencializacao-com-parafusos-de-14-1002</v>
      </c>
    </row>
    <row r="12" spans="1:9" x14ac:dyDescent="0.25">
      <c r="A12" s="29" t="s">
        <v>11</v>
      </c>
      <c r="B12" s="29" t="s">
        <v>123</v>
      </c>
      <c r="C12" s="29" t="s">
        <v>34</v>
      </c>
      <c r="D12" s="37" t="s">
        <v>2818</v>
      </c>
      <c r="E12" s="29" t="s">
        <v>236</v>
      </c>
      <c r="F12" s="29" t="s">
        <v>36</v>
      </c>
      <c r="I12" s="37" t="s">
        <v>37</v>
      </c>
    </row>
    <row r="13" spans="1:9" x14ac:dyDescent="0.25">
      <c r="A13" s="29" t="s">
        <v>11</v>
      </c>
      <c r="B13" s="29" t="s">
        <v>123</v>
      </c>
      <c r="C13" s="29" t="s">
        <v>34</v>
      </c>
      <c r="D13" s="37" t="s">
        <v>2819</v>
      </c>
      <c r="E13" s="29" t="s">
        <v>238</v>
      </c>
      <c r="F13" s="29" t="s">
        <v>36</v>
      </c>
      <c r="I13" s="37" t="s">
        <v>37</v>
      </c>
    </row>
    <row r="14" spans="1:9" x14ac:dyDescent="0.25">
      <c r="A14" s="29" t="s">
        <v>11</v>
      </c>
      <c r="B14" s="29" t="s">
        <v>123</v>
      </c>
      <c r="C14" s="29" t="s">
        <v>34</v>
      </c>
      <c r="D14" s="37" t="s">
        <v>2820</v>
      </c>
      <c r="E14" s="29" t="s">
        <v>239</v>
      </c>
      <c r="F14" s="29" t="s">
        <v>36</v>
      </c>
      <c r="I14" s="37" t="s">
        <v>37</v>
      </c>
    </row>
    <row r="15" spans="1:9" x14ac:dyDescent="0.25">
      <c r="A15" s="29" t="s">
        <v>11</v>
      </c>
      <c r="B15" s="29" t="s">
        <v>123</v>
      </c>
      <c r="C15" s="29" t="s">
        <v>34</v>
      </c>
      <c r="D15" s="37" t="s">
        <v>2821</v>
      </c>
      <c r="E15" s="29" t="s">
        <v>237</v>
      </c>
      <c r="F15" s="29" t="s">
        <v>36</v>
      </c>
      <c r="I15" s="37" t="s">
        <v>37</v>
      </c>
    </row>
    <row r="16" spans="1:9" x14ac:dyDescent="0.25">
      <c r="A16" s="29" t="s">
        <v>11</v>
      </c>
      <c r="B16" s="29" t="s">
        <v>123</v>
      </c>
      <c r="C16" s="29" t="s">
        <v>34</v>
      </c>
      <c r="D16" s="37" t="s">
        <v>2822</v>
      </c>
      <c r="E16" s="29" t="s">
        <v>240</v>
      </c>
      <c r="F16" s="29" t="s">
        <v>36</v>
      </c>
      <c r="I16" s="37" t="s">
        <v>37</v>
      </c>
    </row>
    <row r="17" spans="1:9" x14ac:dyDescent="0.25">
      <c r="A17" s="29" t="s">
        <v>11</v>
      </c>
      <c r="B17" s="29" t="s">
        <v>123</v>
      </c>
      <c r="C17" s="29" t="s">
        <v>34</v>
      </c>
      <c r="D17" s="37" t="s">
        <v>2823</v>
      </c>
      <c r="E17" s="29" t="s">
        <v>235</v>
      </c>
      <c r="F17" s="29" t="s">
        <v>36</v>
      </c>
      <c r="I17" s="37" t="s">
        <v>37</v>
      </c>
    </row>
    <row r="18" spans="1:9" x14ac:dyDescent="0.25">
      <c r="A18" s="29" t="s">
        <v>11</v>
      </c>
      <c r="B18" s="29" t="s">
        <v>123</v>
      </c>
      <c r="C18" s="29" t="s">
        <v>34</v>
      </c>
      <c r="D18" s="37" t="s">
        <v>2824</v>
      </c>
      <c r="E18" s="29" t="s">
        <v>241</v>
      </c>
      <c r="F18" s="29" t="s">
        <v>36</v>
      </c>
      <c r="I18" s="37" t="s">
        <v>37</v>
      </c>
    </row>
    <row r="19" spans="1:9" x14ac:dyDescent="0.25">
      <c r="A19" s="29" t="s">
        <v>11</v>
      </c>
      <c r="B19" s="29" t="s">
        <v>128</v>
      </c>
      <c r="C19" s="29">
        <v>862</v>
      </c>
      <c r="D19" s="37" t="s">
        <v>1448</v>
      </c>
      <c r="E19" s="29" t="s">
        <v>37</v>
      </c>
      <c r="F19" s="29" t="s">
        <v>44</v>
      </c>
      <c r="G19" s="29">
        <v>11.73</v>
      </c>
      <c r="H19" s="71" t="s">
        <v>38</v>
      </c>
      <c r="I19" s="37" t="s">
        <v>207</v>
      </c>
    </row>
    <row r="20" spans="1:9" x14ac:dyDescent="0.25">
      <c r="A20" s="29" t="s">
        <v>11</v>
      </c>
      <c r="B20" s="29" t="s">
        <v>128</v>
      </c>
      <c r="C20" s="29">
        <v>866</v>
      </c>
      <c r="D20" s="37" t="s">
        <v>1449</v>
      </c>
      <c r="E20" s="29" t="s">
        <v>37</v>
      </c>
      <c r="F20" s="29" t="s">
        <v>44</v>
      </c>
      <c r="G20" s="29">
        <v>149.1</v>
      </c>
      <c r="H20" s="71" t="s">
        <v>38</v>
      </c>
      <c r="I20" s="37" t="s">
        <v>207</v>
      </c>
    </row>
    <row r="21" spans="1:9" x14ac:dyDescent="0.25">
      <c r="A21" s="29" t="s">
        <v>11</v>
      </c>
      <c r="B21" s="29" t="s">
        <v>128</v>
      </c>
      <c r="C21" s="29">
        <v>892</v>
      </c>
      <c r="D21" s="37" t="s">
        <v>1450</v>
      </c>
      <c r="E21" s="29" t="s">
        <v>37</v>
      </c>
      <c r="F21" s="29" t="s">
        <v>44</v>
      </c>
      <c r="G21" s="29">
        <v>180.48</v>
      </c>
      <c r="H21" s="71" t="s">
        <v>38</v>
      </c>
      <c r="I21" s="37" t="s">
        <v>207</v>
      </c>
    </row>
    <row r="22" spans="1:9" x14ac:dyDescent="0.25">
      <c r="A22" s="29" t="s">
        <v>11</v>
      </c>
      <c r="B22" s="29" t="s">
        <v>128</v>
      </c>
      <c r="C22" s="29">
        <v>857</v>
      </c>
      <c r="D22" s="37" t="s">
        <v>1451</v>
      </c>
      <c r="E22" s="29" t="s">
        <v>37</v>
      </c>
      <c r="F22" s="29" t="s">
        <v>44</v>
      </c>
      <c r="G22" s="29">
        <v>19.63</v>
      </c>
      <c r="H22" s="71" t="s">
        <v>38</v>
      </c>
      <c r="I22" s="37" t="s">
        <v>207</v>
      </c>
    </row>
    <row r="23" spans="1:9" x14ac:dyDescent="0.25">
      <c r="A23" s="29" t="s">
        <v>11</v>
      </c>
      <c r="B23" s="29" t="s">
        <v>128</v>
      </c>
      <c r="C23" s="29">
        <v>37404</v>
      </c>
      <c r="D23" s="37" t="s">
        <v>1452</v>
      </c>
      <c r="E23" s="29" t="s">
        <v>37</v>
      </c>
      <c r="F23" s="29" t="s">
        <v>44</v>
      </c>
      <c r="G23" s="29">
        <v>208.81</v>
      </c>
      <c r="H23" s="71" t="s">
        <v>38</v>
      </c>
      <c r="I23" s="37" t="s">
        <v>207</v>
      </c>
    </row>
    <row r="24" spans="1:9" x14ac:dyDescent="0.25">
      <c r="A24" s="29" t="s">
        <v>11</v>
      </c>
      <c r="B24" s="29" t="s">
        <v>128</v>
      </c>
      <c r="C24" s="29" t="s">
        <v>34</v>
      </c>
      <c r="D24" s="37" t="s">
        <v>1453</v>
      </c>
      <c r="E24" s="29" t="s">
        <v>37</v>
      </c>
      <c r="F24" s="29" t="s">
        <v>44</v>
      </c>
      <c r="G24" s="29">
        <v>449.71</v>
      </c>
      <c r="H24" s="71" t="s">
        <v>740</v>
      </c>
      <c r="I24" s="37" t="str">
        <f>"https://loja.eletromw.com.br/produto/cabo-de-cobre-nu-240mm-19-fios-normatizado/"</f>
        <v>https://loja.eletromw.com.br/produto/cabo-de-cobre-nu-240mm-19-fios-normatizado/</v>
      </c>
    </row>
    <row r="25" spans="1:9" x14ac:dyDescent="0.25">
      <c r="A25" s="29" t="s">
        <v>11</v>
      </c>
      <c r="B25" s="29" t="s">
        <v>128</v>
      </c>
      <c r="C25" s="29">
        <v>868</v>
      </c>
      <c r="D25" s="37" t="s">
        <v>1454</v>
      </c>
      <c r="E25" s="29" t="s">
        <v>37</v>
      </c>
      <c r="F25" s="29" t="s">
        <v>44</v>
      </c>
      <c r="G25" s="29">
        <v>27.97</v>
      </c>
      <c r="H25" s="71" t="s">
        <v>38</v>
      </c>
      <c r="I25" s="37" t="s">
        <v>207</v>
      </c>
    </row>
    <row r="26" spans="1:9" x14ac:dyDescent="0.25">
      <c r="A26" s="29" t="s">
        <v>11</v>
      </c>
      <c r="B26" s="29" t="s">
        <v>128</v>
      </c>
      <c r="C26" s="29" t="s">
        <v>34</v>
      </c>
      <c r="D26" s="37" t="s">
        <v>1455</v>
      </c>
      <c r="E26" s="29" t="s">
        <v>37</v>
      </c>
      <c r="F26" s="29" t="s">
        <v>44</v>
      </c>
      <c r="G26" s="29">
        <v>319.56</v>
      </c>
      <c r="H26" s="71" t="s">
        <v>203</v>
      </c>
      <c r="I26" s="37" t="str">
        <f>"https://www.painelconstru.com.br/product/detail/1188"</f>
        <v>https://www.painelconstru.com.br/product/detail/1188</v>
      </c>
    </row>
    <row r="27" spans="1:9" x14ac:dyDescent="0.25">
      <c r="A27" s="29" t="s">
        <v>11</v>
      </c>
      <c r="B27" s="29" t="s">
        <v>128</v>
      </c>
      <c r="C27" s="29">
        <v>863</v>
      </c>
      <c r="D27" s="37" t="s">
        <v>1456</v>
      </c>
      <c r="E27" s="29" t="s">
        <v>37</v>
      </c>
      <c r="F27" s="29" t="s">
        <v>44</v>
      </c>
      <c r="G27" s="29">
        <v>41.2</v>
      </c>
      <c r="H27" s="71" t="s">
        <v>38</v>
      </c>
      <c r="I27" s="37" t="s">
        <v>207</v>
      </c>
    </row>
    <row r="28" spans="1:9" x14ac:dyDescent="0.25">
      <c r="A28" s="29" t="s">
        <v>11</v>
      </c>
      <c r="B28" s="29" t="s">
        <v>128</v>
      </c>
      <c r="C28" s="29">
        <v>867</v>
      </c>
      <c r="D28" s="37" t="s">
        <v>1457</v>
      </c>
      <c r="E28" s="29" t="s">
        <v>37</v>
      </c>
      <c r="F28" s="29" t="s">
        <v>44</v>
      </c>
      <c r="G28" s="29">
        <v>58.69</v>
      </c>
      <c r="H28" s="71" t="s">
        <v>38</v>
      </c>
      <c r="I28" s="37" t="s">
        <v>207</v>
      </c>
    </row>
    <row r="29" spans="1:9" x14ac:dyDescent="0.25">
      <c r="A29" s="29" t="s">
        <v>11</v>
      </c>
      <c r="B29" s="29" t="s">
        <v>128</v>
      </c>
      <c r="C29" s="29">
        <v>864</v>
      </c>
      <c r="D29" s="37" t="s">
        <v>1458</v>
      </c>
      <c r="E29" s="29" t="s">
        <v>37</v>
      </c>
      <c r="F29" s="29" t="s">
        <v>44</v>
      </c>
      <c r="G29" s="29">
        <v>77.53</v>
      </c>
      <c r="H29" s="71" t="s">
        <v>38</v>
      </c>
      <c r="I29" s="37" t="s">
        <v>207</v>
      </c>
    </row>
    <row r="30" spans="1:9" x14ac:dyDescent="0.25">
      <c r="A30" s="29" t="s">
        <v>11</v>
      </c>
      <c r="B30" s="29" t="s">
        <v>128</v>
      </c>
      <c r="C30" s="29">
        <v>865</v>
      </c>
      <c r="D30" s="37" t="s">
        <v>1459</v>
      </c>
      <c r="E30" s="29" t="s">
        <v>37</v>
      </c>
      <c r="F30" s="29" t="s">
        <v>44</v>
      </c>
      <c r="G30" s="29">
        <v>111.51</v>
      </c>
      <c r="H30" s="71" t="s">
        <v>38</v>
      </c>
      <c r="I30" s="37" t="s">
        <v>207</v>
      </c>
    </row>
    <row r="31" spans="1:9" x14ac:dyDescent="0.25">
      <c r="A31" s="29" t="s">
        <v>11</v>
      </c>
      <c r="B31" s="29" t="s">
        <v>56</v>
      </c>
      <c r="C31" s="29" t="s">
        <v>34</v>
      </c>
      <c r="D31" s="37" t="s">
        <v>2070</v>
      </c>
      <c r="E31" s="29" t="s">
        <v>37</v>
      </c>
      <c r="F31" s="29" t="s">
        <v>36</v>
      </c>
      <c r="I31" s="37" t="s">
        <v>37</v>
      </c>
    </row>
    <row r="32" spans="1:9" x14ac:dyDescent="0.25">
      <c r="A32" s="29" t="s">
        <v>11</v>
      </c>
      <c r="B32" s="29" t="s">
        <v>56</v>
      </c>
      <c r="C32" s="29">
        <v>34643</v>
      </c>
      <c r="D32" s="37" t="s">
        <v>2071</v>
      </c>
      <c r="E32" s="29" t="s">
        <v>37</v>
      </c>
      <c r="F32" s="29" t="s">
        <v>36</v>
      </c>
      <c r="G32" s="29">
        <v>41.98</v>
      </c>
      <c r="H32" s="71" t="s">
        <v>38</v>
      </c>
      <c r="I32" s="37" t="s">
        <v>207</v>
      </c>
    </row>
    <row r="33" spans="1:9" x14ac:dyDescent="0.25">
      <c r="A33" s="29" t="s">
        <v>11</v>
      </c>
      <c r="B33" s="29" t="s">
        <v>56</v>
      </c>
      <c r="C33" s="29">
        <v>41480</v>
      </c>
      <c r="D33" s="37" t="s">
        <v>2368</v>
      </c>
      <c r="E33" s="29" t="s">
        <v>37</v>
      </c>
      <c r="F33" s="29" t="s">
        <v>36</v>
      </c>
      <c r="G33" s="29">
        <v>48.67</v>
      </c>
      <c r="H33" s="71" t="s">
        <v>38</v>
      </c>
      <c r="I33" s="37" t="s">
        <v>207</v>
      </c>
    </row>
    <row r="34" spans="1:9" x14ac:dyDescent="0.25">
      <c r="A34" s="29" t="s">
        <v>11</v>
      </c>
      <c r="B34" s="29" t="s">
        <v>56</v>
      </c>
      <c r="C34" s="29">
        <v>41474</v>
      </c>
      <c r="D34" s="37" t="s">
        <v>2369</v>
      </c>
      <c r="E34" s="29" t="s">
        <v>37</v>
      </c>
      <c r="F34" s="29" t="s">
        <v>36</v>
      </c>
      <c r="G34" s="29">
        <v>77.760000000000005</v>
      </c>
      <c r="H34" s="71" t="s">
        <v>38</v>
      </c>
      <c r="I34" s="37" t="s">
        <v>207</v>
      </c>
    </row>
    <row r="35" spans="1:9" x14ac:dyDescent="0.25">
      <c r="A35" s="29" t="s">
        <v>11</v>
      </c>
      <c r="B35" s="29" t="s">
        <v>56</v>
      </c>
      <c r="C35" s="29">
        <v>41475</v>
      </c>
      <c r="D35" s="37" t="s">
        <v>2370</v>
      </c>
      <c r="E35" s="29" t="s">
        <v>37</v>
      </c>
      <c r="F35" s="29" t="s">
        <v>36</v>
      </c>
      <c r="G35" s="29">
        <v>66.34</v>
      </c>
      <c r="H35" s="71" t="s">
        <v>38</v>
      </c>
      <c r="I35" s="37" t="s">
        <v>207</v>
      </c>
    </row>
    <row r="36" spans="1:9" x14ac:dyDescent="0.25">
      <c r="A36" s="29" t="s">
        <v>11</v>
      </c>
      <c r="B36" s="29" t="s">
        <v>56</v>
      </c>
      <c r="C36" s="29">
        <v>41476</v>
      </c>
      <c r="D36" s="37" t="s">
        <v>2371</v>
      </c>
      <c r="E36" s="29" t="s">
        <v>37</v>
      </c>
      <c r="F36" s="29" t="s">
        <v>36</v>
      </c>
      <c r="G36" s="29">
        <v>145.27000000000001</v>
      </c>
      <c r="H36" s="71" t="s">
        <v>38</v>
      </c>
      <c r="I36" s="37" t="s">
        <v>207</v>
      </c>
    </row>
    <row r="37" spans="1:9" x14ac:dyDescent="0.25">
      <c r="A37" s="29" t="s">
        <v>11</v>
      </c>
      <c r="B37" s="29" t="s">
        <v>56</v>
      </c>
      <c r="C37" s="29" t="s">
        <v>34</v>
      </c>
      <c r="D37" s="37" t="s">
        <v>1830</v>
      </c>
      <c r="E37" s="29" t="s">
        <v>403</v>
      </c>
      <c r="F37" s="29" t="s">
        <v>36</v>
      </c>
      <c r="G37" s="29">
        <v>105.31</v>
      </c>
      <c r="H37" s="71" t="s">
        <v>734</v>
      </c>
      <c r="I37" s="37" t="str">
        <f>"https://www.lojaeletrica.com.br/caixa-suspensa-para-inspec-o-polipropileno-16x12x10cm-1-tel541.html"</f>
        <v>https://www.lojaeletrica.com.br/caixa-suspensa-para-inspec-o-polipropileno-16x12x10cm-1-tel541.html</v>
      </c>
    </row>
    <row r="38" spans="1:9" x14ac:dyDescent="0.25">
      <c r="A38" s="29" t="s">
        <v>11</v>
      </c>
      <c r="B38" s="29" t="s">
        <v>114</v>
      </c>
      <c r="C38" s="29" t="s">
        <v>34</v>
      </c>
      <c r="D38" s="37" t="s">
        <v>2825</v>
      </c>
      <c r="E38" s="29" t="s">
        <v>37</v>
      </c>
      <c r="F38" s="29" t="s">
        <v>36</v>
      </c>
      <c r="G38" s="29">
        <v>88.87</v>
      </c>
      <c r="H38" s="71" t="s">
        <v>203</v>
      </c>
      <c r="I38" s="37" t="str">
        <f>"https://www.lojaeletrica.com.br/conector-duplo-cabo-haste-16-70mm-tel580-termotecnica.html"</f>
        <v>https://www.lojaeletrica.com.br/conector-duplo-cabo-haste-16-70mm-tel580-termotecnica.html</v>
      </c>
    </row>
    <row r="39" spans="1:9" x14ac:dyDescent="0.25">
      <c r="A39" s="29" t="s">
        <v>11</v>
      </c>
      <c r="B39" s="29" t="s">
        <v>114</v>
      </c>
      <c r="C39" s="29" t="s">
        <v>34</v>
      </c>
      <c r="D39" s="37" t="s">
        <v>2826</v>
      </c>
      <c r="E39" s="29" t="s">
        <v>748</v>
      </c>
      <c r="F39" s="29" t="s">
        <v>36</v>
      </c>
      <c r="G39" s="29">
        <v>11.69</v>
      </c>
      <c r="H39" s="71" t="s">
        <v>734</v>
      </c>
      <c r="I39" s="37" t="str">
        <f>_xlfn._LONGTEXT("https://www.dimensional.com.br/conector-de-compressao-em-cobre-para-fios-de-50-a-50mm2-e-de-50-a-35mm2-para-sistemas-de-aterramento-cco-50-50-intelli/p; https://www.jardimferramentas.com/product/conector-de-compressao-em-cobre-para-fios-de-50-a-50mm2-e-de","-50-a-35mm2-para-sistemas-de-aterramento-cco-50-50-intelli/")</f>
        <v>https://www.dimensional.com.br/conector-de-compressao-em-cobre-para-fios-de-50-a-50mm2-e-de-50-a-35mm2-para-sistemas-de-aterramento-cco-50-50-intelli/p; https://www.jardimferramentas.com/product/conector-de-compressao-em-cobre-para-fios-de-50-a-50mm2-e-de-50-a-35mm2-para-sistemas-de-aterramento-cco-50-50-intelli/</v>
      </c>
    </row>
    <row r="40" spans="1:9" x14ac:dyDescent="0.25">
      <c r="A40" s="29" t="s">
        <v>11</v>
      </c>
      <c r="B40" s="29" t="s">
        <v>114</v>
      </c>
      <c r="C40" s="29" t="s">
        <v>34</v>
      </c>
      <c r="D40" s="37" t="s">
        <v>2827</v>
      </c>
      <c r="E40" s="29" t="s">
        <v>749</v>
      </c>
      <c r="F40" s="29" t="s">
        <v>36</v>
      </c>
      <c r="G40" s="29">
        <v>24.04</v>
      </c>
      <c r="H40" s="71" t="s">
        <v>734</v>
      </c>
      <c r="I40" s="37" t="str">
        <f>"https://www.melhoraopreco.com.br/ofertas/mercadolivre/5371758"</f>
        <v>https://www.melhoraopreco.com.br/ofertas/mercadolivre/5371758</v>
      </c>
    </row>
    <row r="41" spans="1:9" x14ac:dyDescent="0.25">
      <c r="A41" s="29" t="s">
        <v>11</v>
      </c>
      <c r="B41" s="29" t="s">
        <v>114</v>
      </c>
      <c r="C41" s="29" t="s">
        <v>34</v>
      </c>
      <c r="D41" s="37" t="s">
        <v>2828</v>
      </c>
      <c r="E41" s="29" t="s">
        <v>37</v>
      </c>
      <c r="F41" s="29" t="s">
        <v>36</v>
      </c>
      <c r="I41" s="37" t="s">
        <v>37</v>
      </c>
    </row>
    <row r="42" spans="1:9" x14ac:dyDescent="0.25">
      <c r="A42" s="29" t="s">
        <v>11</v>
      </c>
      <c r="B42" s="29" t="s">
        <v>114</v>
      </c>
      <c r="C42" s="29" t="s">
        <v>34</v>
      </c>
      <c r="D42" s="37" t="s">
        <v>2072</v>
      </c>
      <c r="E42" s="29" t="s">
        <v>404</v>
      </c>
      <c r="F42" s="29" t="s">
        <v>36</v>
      </c>
      <c r="I42" s="37" t="s">
        <v>37</v>
      </c>
    </row>
    <row r="43" spans="1:9" x14ac:dyDescent="0.25">
      <c r="A43" s="29" t="s">
        <v>11</v>
      </c>
      <c r="B43" s="29" t="s">
        <v>114</v>
      </c>
      <c r="C43" s="29" t="s">
        <v>34</v>
      </c>
      <c r="D43" s="37" t="s">
        <v>2629</v>
      </c>
      <c r="E43" s="29" t="s">
        <v>723</v>
      </c>
      <c r="F43" s="29" t="s">
        <v>36</v>
      </c>
      <c r="G43" s="29">
        <v>34.9</v>
      </c>
      <c r="H43" s="71" t="s">
        <v>734</v>
      </c>
      <c r="I43" s="37" t="str">
        <f>"https://www.sveletrica.com/conector-aterramento-cunha-cca-12-35mm-4487-00a0000w94/p"</f>
        <v>https://www.sveletrica.com/conector-aterramento-cunha-cca-12-35mm-4487-00a0000w94/p</v>
      </c>
    </row>
    <row r="44" spans="1:9" x14ac:dyDescent="0.25">
      <c r="A44" s="29" t="s">
        <v>11</v>
      </c>
      <c r="B44" s="29" t="s">
        <v>114</v>
      </c>
      <c r="C44" s="29" t="s">
        <v>34</v>
      </c>
      <c r="D44" s="37" t="s">
        <v>2630</v>
      </c>
      <c r="E44" s="29" t="s">
        <v>722</v>
      </c>
      <c r="F44" s="29" t="s">
        <v>36</v>
      </c>
      <c r="I44" s="37" t="s">
        <v>37</v>
      </c>
    </row>
    <row r="45" spans="1:9" x14ac:dyDescent="0.25">
      <c r="A45" s="29" t="s">
        <v>11</v>
      </c>
      <c r="B45" s="29" t="s">
        <v>114</v>
      </c>
      <c r="C45" s="29" t="s">
        <v>34</v>
      </c>
      <c r="D45" s="37" t="s">
        <v>2631</v>
      </c>
      <c r="E45" s="29" t="s">
        <v>724</v>
      </c>
      <c r="F45" s="29" t="s">
        <v>36</v>
      </c>
      <c r="G45" s="29">
        <v>31.26</v>
      </c>
      <c r="H45" s="71" t="s">
        <v>734</v>
      </c>
      <c r="I45" s="37" t="str">
        <f>"https://danieleletro.com.br/produto/conector-de-derivacao-cunha-6-25mm-para-aterramento-5-8/"</f>
        <v>https://danieleletro.com.br/produto/conector-de-derivacao-cunha-6-25mm-para-aterramento-5-8/</v>
      </c>
    </row>
    <row r="46" spans="1:9" x14ac:dyDescent="0.25">
      <c r="A46" s="29" t="s">
        <v>11</v>
      </c>
      <c r="B46" s="29" t="s">
        <v>114</v>
      </c>
      <c r="C46" s="29" t="s">
        <v>34</v>
      </c>
      <c r="D46" s="37" t="s">
        <v>2632</v>
      </c>
      <c r="E46" s="29" t="s">
        <v>725</v>
      </c>
      <c r="F46" s="29" t="s">
        <v>36</v>
      </c>
      <c r="G46" s="29">
        <v>29.99</v>
      </c>
      <c r="H46" s="71" t="s">
        <v>740</v>
      </c>
      <c r="I46" s="37" t="str">
        <f>_xlfn._LONGTEXT("https://www.eletrotrafo.com.br/conector-cunha-p-aterramento-cabo-25-35mm-haste-5-8--cca-58-35-intelli-f-l--02010118/p?skuId=13336; https://eletricaserpal.com.br/produto/5741-conector-cunha-para-aterramento-cunha-cca-58-35; https://www.lampadinha.com.br/co","nector-tipo-cunha-cobre-cca-58-35-23640")</f>
        <v>https://www.eletrotrafo.com.br/conector-cunha-p-aterramento-cabo-25-35mm-haste-5-8--cca-58-35-intelli-f-l--02010118/p?skuId=13336; https://eletricaserpal.com.br/produto/5741-conector-cunha-para-aterramento-cunha-cca-58-35; https://www.lampadinha.com.br/conector-tipo-cunha-cobre-cca-58-35-23640</v>
      </c>
    </row>
    <row r="47" spans="1:9" x14ac:dyDescent="0.25">
      <c r="A47" s="29" t="s">
        <v>11</v>
      </c>
      <c r="B47" s="29" t="s">
        <v>114</v>
      </c>
      <c r="C47" s="29" t="s">
        <v>34</v>
      </c>
      <c r="D47" s="37" t="s">
        <v>2829</v>
      </c>
      <c r="E47" s="29" t="s">
        <v>750</v>
      </c>
      <c r="F47" s="29" t="s">
        <v>36</v>
      </c>
      <c r="I47" s="37" t="s">
        <v>37</v>
      </c>
    </row>
    <row r="48" spans="1:9" x14ac:dyDescent="0.25">
      <c r="A48" s="29" t="s">
        <v>11</v>
      </c>
      <c r="B48" s="29" t="s">
        <v>114</v>
      </c>
      <c r="C48" s="29" t="s">
        <v>34</v>
      </c>
      <c r="D48" s="37" t="s">
        <v>2795</v>
      </c>
      <c r="E48" s="29" t="s">
        <v>252</v>
      </c>
      <c r="F48" s="29" t="s">
        <v>36</v>
      </c>
      <c r="I48" s="37" t="s">
        <v>37</v>
      </c>
    </row>
    <row r="49" spans="1:9" x14ac:dyDescent="0.25">
      <c r="A49" s="29" t="s">
        <v>11</v>
      </c>
      <c r="B49" s="29" t="s">
        <v>114</v>
      </c>
      <c r="C49" s="29" t="s">
        <v>34</v>
      </c>
      <c r="D49" s="37" t="s">
        <v>2796</v>
      </c>
      <c r="E49" s="29" t="s">
        <v>253</v>
      </c>
      <c r="F49" s="29" t="s">
        <v>36</v>
      </c>
      <c r="I49" s="37" t="s">
        <v>37</v>
      </c>
    </row>
    <row r="50" spans="1:9" x14ac:dyDescent="0.25">
      <c r="A50" s="29" t="s">
        <v>11</v>
      </c>
      <c r="B50" s="29" t="s">
        <v>114</v>
      </c>
      <c r="C50" s="29" t="s">
        <v>34</v>
      </c>
      <c r="D50" s="37" t="s">
        <v>2797</v>
      </c>
      <c r="E50" s="29" t="s">
        <v>254</v>
      </c>
      <c r="F50" s="29" t="s">
        <v>36</v>
      </c>
      <c r="I50" s="37" t="s">
        <v>37</v>
      </c>
    </row>
    <row r="51" spans="1:9" x14ac:dyDescent="0.25">
      <c r="A51" s="29" t="s">
        <v>11</v>
      </c>
      <c r="B51" s="29" t="s">
        <v>114</v>
      </c>
      <c r="C51" s="29" t="s">
        <v>34</v>
      </c>
      <c r="D51" s="37" t="s">
        <v>2798</v>
      </c>
      <c r="E51" s="29" t="s">
        <v>251</v>
      </c>
      <c r="F51" s="29" t="s">
        <v>36</v>
      </c>
      <c r="I51" s="37" t="s">
        <v>37</v>
      </c>
    </row>
    <row r="52" spans="1:9" x14ac:dyDescent="0.25">
      <c r="A52" s="29" t="s">
        <v>11</v>
      </c>
      <c r="B52" s="29" t="s">
        <v>114</v>
      </c>
      <c r="C52" s="29" t="s">
        <v>34</v>
      </c>
      <c r="D52" s="37" t="s">
        <v>2799</v>
      </c>
      <c r="E52" s="29" t="s">
        <v>245</v>
      </c>
      <c r="F52" s="29" t="s">
        <v>36</v>
      </c>
      <c r="I52" s="37" t="s">
        <v>37</v>
      </c>
    </row>
    <row r="53" spans="1:9" x14ac:dyDescent="0.25">
      <c r="A53" s="29" t="s">
        <v>11</v>
      </c>
      <c r="B53" s="29" t="s">
        <v>114</v>
      </c>
      <c r="C53" s="29" t="s">
        <v>34</v>
      </c>
      <c r="D53" s="37" t="s">
        <v>2800</v>
      </c>
      <c r="E53" s="29" t="s">
        <v>244</v>
      </c>
      <c r="F53" s="29" t="s">
        <v>36</v>
      </c>
      <c r="I53" s="37" t="s">
        <v>37</v>
      </c>
    </row>
    <row r="54" spans="1:9" x14ac:dyDescent="0.25">
      <c r="A54" s="29" t="s">
        <v>11</v>
      </c>
      <c r="B54" s="29" t="s">
        <v>114</v>
      </c>
      <c r="C54" s="29" t="s">
        <v>34</v>
      </c>
      <c r="D54" s="37" t="s">
        <v>2801</v>
      </c>
      <c r="E54" s="29" t="s">
        <v>248</v>
      </c>
      <c r="F54" s="29" t="s">
        <v>36</v>
      </c>
      <c r="I54" s="37" t="s">
        <v>37</v>
      </c>
    </row>
    <row r="55" spans="1:9" x14ac:dyDescent="0.25">
      <c r="A55" s="29" t="s">
        <v>11</v>
      </c>
      <c r="B55" s="29" t="s">
        <v>114</v>
      </c>
      <c r="C55" s="29" t="s">
        <v>34</v>
      </c>
      <c r="D55" s="37" t="s">
        <v>2802</v>
      </c>
      <c r="E55" s="29" t="s">
        <v>249</v>
      </c>
      <c r="F55" s="29" t="s">
        <v>36</v>
      </c>
      <c r="I55" s="37" t="s">
        <v>37</v>
      </c>
    </row>
    <row r="56" spans="1:9" x14ac:dyDescent="0.25">
      <c r="A56" s="29" t="s">
        <v>11</v>
      </c>
      <c r="B56" s="29" t="s">
        <v>114</v>
      </c>
      <c r="C56" s="29" t="s">
        <v>34</v>
      </c>
      <c r="D56" s="37" t="s">
        <v>2073</v>
      </c>
      <c r="E56" s="29" t="s">
        <v>250</v>
      </c>
      <c r="F56" s="29" t="s">
        <v>36</v>
      </c>
      <c r="I56" s="37" t="s">
        <v>37</v>
      </c>
    </row>
    <row r="57" spans="1:9" x14ac:dyDescent="0.25">
      <c r="A57" s="29" t="s">
        <v>11</v>
      </c>
      <c r="B57" s="29" t="s">
        <v>114</v>
      </c>
      <c r="C57" s="29" t="s">
        <v>34</v>
      </c>
      <c r="D57" s="37" t="s">
        <v>2074</v>
      </c>
      <c r="E57" s="29" t="s">
        <v>247</v>
      </c>
      <c r="F57" s="29" t="s">
        <v>36</v>
      </c>
      <c r="I57" s="37" t="s">
        <v>37</v>
      </c>
    </row>
    <row r="58" spans="1:9" x14ac:dyDescent="0.25">
      <c r="A58" s="29" t="s">
        <v>11</v>
      </c>
      <c r="B58" s="29" t="s">
        <v>114</v>
      </c>
      <c r="C58" s="29" t="s">
        <v>34</v>
      </c>
      <c r="D58" s="37" t="s">
        <v>2075</v>
      </c>
      <c r="E58" s="29" t="s">
        <v>246</v>
      </c>
      <c r="F58" s="29" t="s">
        <v>36</v>
      </c>
      <c r="I58" s="37" t="s">
        <v>37</v>
      </c>
    </row>
    <row r="59" spans="1:9" x14ac:dyDescent="0.25">
      <c r="A59" s="29" t="s">
        <v>11</v>
      </c>
      <c r="B59" s="29" t="s">
        <v>114</v>
      </c>
      <c r="C59" s="29" t="s">
        <v>34</v>
      </c>
      <c r="D59" s="37" t="s">
        <v>835</v>
      </c>
      <c r="E59" s="29" t="s">
        <v>37</v>
      </c>
      <c r="F59" s="29" t="s">
        <v>36</v>
      </c>
      <c r="G59" s="29">
        <v>5.66</v>
      </c>
      <c r="H59" s="71" t="s">
        <v>203</v>
      </c>
      <c r="I59" s="37" t="str">
        <f>"https://www.eletrotrafo.com.br/conector-gar-p-aterramento-mod--pa-30-bronze-padrao-copel-31270001/p?skuId=4428"</f>
        <v>https://www.eletrotrafo.com.br/conector-gar-p-aterramento-mod--pa-30-bronze-padrao-copel-31270001/p?skuId=4428</v>
      </c>
    </row>
    <row r="60" spans="1:9" x14ac:dyDescent="0.25">
      <c r="A60" s="29" t="s">
        <v>11</v>
      </c>
      <c r="B60" s="29" t="s">
        <v>114</v>
      </c>
      <c r="C60" s="29" t="s">
        <v>34</v>
      </c>
      <c r="D60" s="37" t="s">
        <v>2633</v>
      </c>
      <c r="E60" s="29" t="s">
        <v>751</v>
      </c>
      <c r="F60" s="29" t="s">
        <v>36</v>
      </c>
      <c r="G60" s="29">
        <v>26.13</v>
      </c>
      <c r="H60" s="71" t="s">
        <v>734</v>
      </c>
      <c r="I60" s="37" t="str">
        <f>"https://www.eletrotrafo.com.br/conector-para-aterramento-cabo-cabo-2-2-0awg-35-70mm-sacc-70-70-intelli-70019459/p?skuId=19491; https://www.dimensional.com.br/conector-compressao-35-a-70-mm2---sacc7070---intelli/p"</f>
        <v>https://www.eletrotrafo.com.br/conector-para-aterramento-cabo-cabo-2-2-0awg-35-70mm-sacc-70-70-intelli-70019459/p?skuId=19491; https://www.dimensional.com.br/conector-compressao-35-a-70-mm2---sacc7070---intelli/p</v>
      </c>
    </row>
    <row r="61" spans="1:9" x14ac:dyDescent="0.25">
      <c r="A61" s="29" t="s">
        <v>11</v>
      </c>
      <c r="B61" s="29" t="s">
        <v>114</v>
      </c>
      <c r="C61" s="29" t="s">
        <v>34</v>
      </c>
      <c r="D61" s="37" t="s">
        <v>2634</v>
      </c>
      <c r="E61" s="29" t="s">
        <v>752</v>
      </c>
      <c r="F61" s="29" t="s">
        <v>36</v>
      </c>
      <c r="G61" s="29">
        <v>50.37</v>
      </c>
      <c r="H61" s="71" t="s">
        <v>734</v>
      </c>
      <c r="I61" s="37" t="str">
        <f>"https://www.eletrosul.com.br/materiais-eletricos/conector-aterramento-compressao-c-sacc-120-120"</f>
        <v>https://www.eletrosul.com.br/materiais-eletricos/conector-aterramento-compressao-c-sacc-120-120</v>
      </c>
    </row>
    <row r="62" spans="1:9" x14ac:dyDescent="0.25">
      <c r="A62" s="29" t="s">
        <v>11</v>
      </c>
      <c r="B62" s="29" t="s">
        <v>114</v>
      </c>
      <c r="C62" s="29" t="s">
        <v>34</v>
      </c>
      <c r="D62" s="37" t="s">
        <v>2635</v>
      </c>
      <c r="E62" s="29" t="s">
        <v>753</v>
      </c>
      <c r="F62" s="29" t="s">
        <v>36</v>
      </c>
      <c r="G62" s="29">
        <v>47.73</v>
      </c>
      <c r="H62" s="71" t="s">
        <v>734</v>
      </c>
      <c r="I62" s="37" t="str">
        <f>"https://www.eletrosul.com.br/materiais-eletricos/conector-aterramento-compressao-c-sacc-120-70"</f>
        <v>https://www.eletrosul.com.br/materiais-eletricos/conector-aterramento-compressao-c-sacc-120-70</v>
      </c>
    </row>
    <row r="63" spans="1:9" x14ac:dyDescent="0.25">
      <c r="A63" s="29" t="s">
        <v>11</v>
      </c>
      <c r="B63" s="29" t="s">
        <v>114</v>
      </c>
      <c r="C63" s="29" t="s">
        <v>34</v>
      </c>
      <c r="D63" s="37" t="s">
        <v>1168</v>
      </c>
      <c r="E63" s="29" t="s">
        <v>754</v>
      </c>
      <c r="F63" s="29" t="s">
        <v>36</v>
      </c>
      <c r="G63" s="29">
        <v>50.96</v>
      </c>
      <c r="H63" s="71" t="s">
        <v>203</v>
      </c>
      <c r="I63" s="37" t="str">
        <f>"https://www.eletrotrafo.com.br/conector-para-aterramento-cabo-haste-1-2--5-8--16-35mm-sacg-1258-35-intelli-02010152/p?skuId=19490"</f>
        <v>https://www.eletrotrafo.com.br/conector-para-aterramento-cabo-haste-1-2--5-8--16-35mm-sacg-1258-35-intelli-02010152/p?skuId=19490</v>
      </c>
    </row>
    <row r="64" spans="1:9" x14ac:dyDescent="0.25">
      <c r="A64" s="29" t="s">
        <v>11</v>
      </c>
      <c r="B64" s="29" t="s">
        <v>114</v>
      </c>
      <c r="C64" s="29" t="s">
        <v>34</v>
      </c>
      <c r="D64" s="37" t="s">
        <v>1169</v>
      </c>
      <c r="E64" s="29" t="s">
        <v>755</v>
      </c>
      <c r="F64" s="29" t="s">
        <v>36</v>
      </c>
      <c r="G64" s="29">
        <v>48.84</v>
      </c>
      <c r="H64" s="71" t="s">
        <v>203</v>
      </c>
      <c r="I64" s="37" t="str">
        <f>"https://www.eletrotrafo.com.br/conector-para-aterramento-cabo-haste-1-2--5-8--50-70mm-sacg-1258-70-intelli-02010151/p?skuId=19489"</f>
        <v>https://www.eletrotrafo.com.br/conector-para-aterramento-cabo-haste-1-2--5-8--50-70mm-sacg-1258-70-intelli-02010151/p?skuId=19489</v>
      </c>
    </row>
    <row r="65" spans="1:9" x14ac:dyDescent="0.25">
      <c r="A65" s="29" t="s">
        <v>11</v>
      </c>
      <c r="B65" s="29" t="s">
        <v>114</v>
      </c>
      <c r="C65" s="29" t="s">
        <v>34</v>
      </c>
      <c r="D65" s="37" t="s">
        <v>1170</v>
      </c>
      <c r="E65" s="29" t="s">
        <v>756</v>
      </c>
      <c r="F65" s="29" t="s">
        <v>36</v>
      </c>
      <c r="G65" s="29">
        <v>48</v>
      </c>
      <c r="H65" s="71" t="s">
        <v>734</v>
      </c>
      <c r="I65" s="37" t="str">
        <f>"https://loja.ccr.eng.br/products/conector-compressao-aterramento-cabo-haste-5-8-95-120mm-intelli-sacg-1258-150-13-11-03-008"</f>
        <v>https://loja.ccr.eng.br/products/conector-compressao-aterramento-cabo-haste-5-8-95-120mm-intelli-sacg-1258-150-13-11-03-008</v>
      </c>
    </row>
    <row r="66" spans="1:9" x14ac:dyDescent="0.25">
      <c r="A66" s="29" t="s">
        <v>11</v>
      </c>
      <c r="B66" s="29" t="s">
        <v>114</v>
      </c>
      <c r="C66" s="29" t="s">
        <v>34</v>
      </c>
      <c r="D66" s="37" t="s">
        <v>1171</v>
      </c>
      <c r="E66" s="29" t="s">
        <v>757</v>
      </c>
      <c r="F66" s="29" t="s">
        <v>36</v>
      </c>
      <c r="I66" s="37" t="s">
        <v>37</v>
      </c>
    </row>
    <row r="67" spans="1:9" x14ac:dyDescent="0.25">
      <c r="A67" s="29" t="s">
        <v>11</v>
      </c>
      <c r="B67" s="29" t="s">
        <v>114</v>
      </c>
      <c r="C67" s="29" t="s">
        <v>34</v>
      </c>
      <c r="D67" s="37" t="s">
        <v>1172</v>
      </c>
      <c r="E67" s="29" t="s">
        <v>758</v>
      </c>
      <c r="F67" s="29" t="s">
        <v>36</v>
      </c>
      <c r="I67" s="37" t="s">
        <v>37</v>
      </c>
    </row>
    <row r="68" spans="1:9" x14ac:dyDescent="0.25">
      <c r="A68" s="29" t="s">
        <v>11</v>
      </c>
      <c r="B68" s="29" t="s">
        <v>114</v>
      </c>
      <c r="C68" s="29" t="s">
        <v>34</v>
      </c>
      <c r="D68" s="37" t="s">
        <v>1173</v>
      </c>
      <c r="E68" s="29" t="s">
        <v>759</v>
      </c>
      <c r="F68" s="29" t="s">
        <v>36</v>
      </c>
      <c r="I68" s="37" t="s">
        <v>37</v>
      </c>
    </row>
    <row r="69" spans="1:9" x14ac:dyDescent="0.25">
      <c r="A69" s="29" t="s">
        <v>11</v>
      </c>
      <c r="B69" s="29" t="s">
        <v>114</v>
      </c>
      <c r="C69" s="29" t="s">
        <v>34</v>
      </c>
      <c r="D69" s="37" t="s">
        <v>2636</v>
      </c>
      <c r="E69" s="29" t="s">
        <v>728</v>
      </c>
      <c r="F69" s="29" t="s">
        <v>36</v>
      </c>
      <c r="I69" s="37" t="s">
        <v>37</v>
      </c>
    </row>
    <row r="70" spans="1:9" x14ac:dyDescent="0.25">
      <c r="A70" s="29" t="s">
        <v>11</v>
      </c>
      <c r="B70" s="29" t="s">
        <v>114</v>
      </c>
      <c r="C70" s="29" t="s">
        <v>34</v>
      </c>
      <c r="D70" s="37" t="s">
        <v>2637</v>
      </c>
      <c r="E70" s="29" t="s">
        <v>727</v>
      </c>
      <c r="F70" s="29" t="s">
        <v>36</v>
      </c>
      <c r="I70" s="37" t="s">
        <v>37</v>
      </c>
    </row>
    <row r="71" spans="1:9" x14ac:dyDescent="0.25">
      <c r="A71" s="29" t="s">
        <v>11</v>
      </c>
      <c r="B71" s="29" t="s">
        <v>114</v>
      </c>
      <c r="C71" s="29" t="s">
        <v>34</v>
      </c>
      <c r="D71" s="37" t="s">
        <v>2638</v>
      </c>
      <c r="E71" s="29" t="s">
        <v>726</v>
      </c>
      <c r="F71" s="29" t="s">
        <v>36</v>
      </c>
      <c r="I71" s="37" t="s">
        <v>37</v>
      </c>
    </row>
    <row r="72" spans="1:9" x14ac:dyDescent="0.25">
      <c r="A72" s="29" t="s">
        <v>11</v>
      </c>
      <c r="B72" s="29" t="s">
        <v>114</v>
      </c>
      <c r="C72" s="29" t="s">
        <v>34</v>
      </c>
      <c r="D72" s="37" t="s">
        <v>3616</v>
      </c>
      <c r="E72" s="29" t="s">
        <v>3615</v>
      </c>
      <c r="F72" s="29" t="s">
        <v>36</v>
      </c>
      <c r="G72" s="29">
        <v>49.99</v>
      </c>
      <c r="H72" s="71" t="s">
        <v>3594</v>
      </c>
      <c r="I72" s="37" t="str">
        <f>"https://www.dimensional.com.br/conector-paraf-fend-cu-al-150mm2-1859-intelli/p"</f>
        <v>https://www.dimensional.com.br/conector-paraf-fend-cu-al-150mm2-1859-intelli/p</v>
      </c>
    </row>
    <row r="73" spans="1:9" x14ac:dyDescent="0.25">
      <c r="A73" s="29" t="s">
        <v>11</v>
      </c>
      <c r="B73" s="29" t="s">
        <v>114</v>
      </c>
      <c r="C73" s="29" t="s">
        <v>34</v>
      </c>
      <c r="D73" s="37" t="s">
        <v>3612</v>
      </c>
      <c r="E73" s="29" t="s">
        <v>3611</v>
      </c>
      <c r="F73" s="29" t="s">
        <v>36</v>
      </c>
      <c r="G73" s="29">
        <v>9.2899999999999991</v>
      </c>
      <c r="H73" s="71" t="s">
        <v>3594</v>
      </c>
      <c r="I73" s="37" t="str">
        <f>"https://www.dimensional.com.br/conector-paraf-fend-cobre-bim-16mm2-pfb-pfb16-intelli/p"</f>
        <v>https://www.dimensional.com.br/conector-paraf-fend-cobre-bim-16mm2-pfb-pfb16-intelli/p</v>
      </c>
    </row>
    <row r="74" spans="1:9" x14ac:dyDescent="0.25">
      <c r="A74" s="29" t="s">
        <v>11</v>
      </c>
      <c r="B74" s="29" t="s">
        <v>114</v>
      </c>
      <c r="C74" s="29" t="s">
        <v>34</v>
      </c>
      <c r="D74" s="37" t="s">
        <v>3622</v>
      </c>
      <c r="E74" s="29" t="s">
        <v>3621</v>
      </c>
      <c r="F74" s="29" t="s">
        <v>36</v>
      </c>
      <c r="G74" s="29">
        <v>12.59</v>
      </c>
      <c r="H74" s="71" t="s">
        <v>3594</v>
      </c>
      <c r="I74" s="37" t="str">
        <f>"https://www.dimensional.com.br/conector-paraf-fend-cobre-bim-35mm2-pfb35-intelli/p"</f>
        <v>https://www.dimensional.com.br/conector-paraf-fend-cobre-bim-35mm2-pfb35-intelli/p</v>
      </c>
    </row>
    <row r="75" spans="1:9" x14ac:dyDescent="0.25">
      <c r="A75" s="29" t="s">
        <v>11</v>
      </c>
      <c r="B75" s="29" t="s">
        <v>114</v>
      </c>
      <c r="C75" s="29" t="s">
        <v>34</v>
      </c>
      <c r="D75" s="37" t="s">
        <v>3618</v>
      </c>
      <c r="E75" s="29" t="s">
        <v>3617</v>
      </c>
      <c r="F75" s="29" t="s">
        <v>36</v>
      </c>
      <c r="G75" s="29">
        <v>25.99</v>
      </c>
      <c r="H75" s="71" t="s">
        <v>3594</v>
      </c>
      <c r="I75" s="37" t="str">
        <f>"https://www.dimensional.com.br/conector-paraf-fend-cobre-10-70mm2-pfb-70-intelli/p"</f>
        <v>https://www.dimensional.com.br/conector-paraf-fend-cobre-10-70mm2-pfb-70-intelli/p</v>
      </c>
    </row>
    <row r="76" spans="1:9" x14ac:dyDescent="0.25">
      <c r="A76" s="29" t="s">
        <v>11</v>
      </c>
      <c r="B76" s="29" t="s">
        <v>114</v>
      </c>
      <c r="C76" s="29" t="s">
        <v>34</v>
      </c>
      <c r="D76" s="37" t="s">
        <v>3614</v>
      </c>
      <c r="E76" s="29" t="s">
        <v>3613</v>
      </c>
      <c r="F76" s="29" t="s">
        <v>36</v>
      </c>
      <c r="G76" s="29">
        <v>34.19</v>
      </c>
      <c r="H76" s="71" t="s">
        <v>3594</v>
      </c>
      <c r="I76" s="37" t="str">
        <f>"https://www.dimensional.com.br/conector-parafuso-fendido-split-bolt-cobre-eletrolitico-95mm2-pfb95-intelli/p"</f>
        <v>https://www.dimensional.com.br/conector-parafuso-fendido-split-bolt-cobre-eletrolitico-95mm2-pfb95-intelli/p</v>
      </c>
    </row>
    <row r="77" spans="1:9" x14ac:dyDescent="0.25">
      <c r="A77" s="29" t="s">
        <v>11</v>
      </c>
      <c r="B77" s="29" t="s">
        <v>114</v>
      </c>
      <c r="C77" s="29" t="s">
        <v>34</v>
      </c>
      <c r="D77" s="37" t="s">
        <v>3598</v>
      </c>
      <c r="E77" s="29" t="s">
        <v>3597</v>
      </c>
      <c r="F77" s="29" t="s">
        <v>36</v>
      </c>
      <c r="G77" s="29">
        <v>20.69</v>
      </c>
      <c r="H77" s="71" t="s">
        <v>3594</v>
      </c>
      <c r="I77" s="37" t="str">
        <f>"https://www.dimensional.com.br/conector-paraf-fend-rabicho-cobre-70mm2-pfr70-intelli/p"</f>
        <v>https://www.dimensional.com.br/conector-paraf-fend-rabicho-cobre-70mm2-pfr70-intelli/p</v>
      </c>
    </row>
    <row r="78" spans="1:9" x14ac:dyDescent="0.25">
      <c r="A78" s="29" t="s">
        <v>11</v>
      </c>
      <c r="B78" s="29" t="s">
        <v>114</v>
      </c>
      <c r="C78" s="29" t="s">
        <v>34</v>
      </c>
      <c r="D78" s="37" t="s">
        <v>3596</v>
      </c>
      <c r="E78" s="29" t="s">
        <v>3595</v>
      </c>
      <c r="F78" s="29" t="s">
        <v>36</v>
      </c>
      <c r="G78" s="29">
        <v>11.99</v>
      </c>
      <c r="H78" s="71" t="s">
        <v>3594</v>
      </c>
      <c r="I78" s="37" t="str">
        <f>"https://www.dimensional.com.br/conector-paraf-fend-rabicho-lt-6-16mm2-pfr16-intelli/p"</f>
        <v>https://www.dimensional.com.br/conector-paraf-fend-rabicho-lt-6-16mm2-pfr16-intelli/p</v>
      </c>
    </row>
    <row r="79" spans="1:9" x14ac:dyDescent="0.25">
      <c r="A79" s="29" t="s">
        <v>11</v>
      </c>
      <c r="B79" s="29" t="s">
        <v>114</v>
      </c>
      <c r="C79" s="29" t="s">
        <v>34</v>
      </c>
      <c r="D79" s="37" t="s">
        <v>3599</v>
      </c>
      <c r="E79" s="29" t="s">
        <v>3602</v>
      </c>
      <c r="F79" s="29" t="s">
        <v>36</v>
      </c>
      <c r="G79" s="29">
        <v>14.09</v>
      </c>
      <c r="H79" s="71" t="s">
        <v>3594</v>
      </c>
      <c r="I79" s="37" t="str">
        <f>"https://www.dimensional.com.br/conector-parafuso-fendido-rabicho-cobre-pfr35-intelli/p"</f>
        <v>https://www.dimensional.com.br/conector-parafuso-fendido-rabicho-cobre-pfr35-intelli/p</v>
      </c>
    </row>
    <row r="80" spans="1:9" x14ac:dyDescent="0.25">
      <c r="A80" s="29" t="s">
        <v>11</v>
      </c>
      <c r="B80" s="29" t="s">
        <v>114</v>
      </c>
      <c r="C80" s="29" t="s">
        <v>34</v>
      </c>
      <c r="D80" s="37" t="s">
        <v>3623</v>
      </c>
      <c r="E80" s="29" t="s">
        <v>3624</v>
      </c>
      <c r="F80" s="29" t="s">
        <v>36</v>
      </c>
      <c r="G80" s="29">
        <v>30.59</v>
      </c>
      <c r="H80" s="71" t="s">
        <v>3594</v>
      </c>
      <c r="I80" s="37" t="str">
        <f>"https://www.dimensional.com.br/conector-parafuso-fendido-rabicho-bronze-70-mm2-reforcado-17524-intelli/p"</f>
        <v>https://www.dimensional.com.br/conector-parafuso-fendido-rabicho-bronze-70-mm2-reforcado-17524-intelli/p</v>
      </c>
    </row>
    <row r="81" spans="1:9" x14ac:dyDescent="0.25">
      <c r="A81" s="29" t="s">
        <v>11</v>
      </c>
      <c r="B81" s="29" t="s">
        <v>114</v>
      </c>
      <c r="C81" s="29" t="s">
        <v>34</v>
      </c>
      <c r="D81" s="37" t="s">
        <v>3604</v>
      </c>
      <c r="E81" s="29" t="s">
        <v>3603</v>
      </c>
      <c r="F81" s="29" t="s">
        <v>36</v>
      </c>
      <c r="G81" s="29">
        <v>10.79</v>
      </c>
      <c r="H81" s="71" t="s">
        <v>3594</v>
      </c>
      <c r="I81" s="37" t="str">
        <f>"https://www.dimensional.com.br/conector-paraf-fend-rabicho-lt-6-35mm2-pfrs35-intelli/p"</f>
        <v>https://www.dimensional.com.br/conector-paraf-fend-rabicho-lt-6-35mm2-pfrs35-intelli/p</v>
      </c>
    </row>
    <row r="82" spans="1:9" x14ac:dyDescent="0.25">
      <c r="A82" s="29" t="s">
        <v>11</v>
      </c>
      <c r="B82" s="29" t="s">
        <v>114</v>
      </c>
      <c r="C82" s="29" t="s">
        <v>34</v>
      </c>
      <c r="D82" s="37" t="s">
        <v>3620</v>
      </c>
      <c r="E82" s="29" t="s">
        <v>3619</v>
      </c>
      <c r="F82" s="29" t="s">
        <v>36</v>
      </c>
      <c r="G82" s="29">
        <v>21.59</v>
      </c>
      <c r="H82" s="71" t="s">
        <v>3594</v>
      </c>
      <c r="I82" s="37" t="str">
        <f>"https://www.dimensional.com.br/conector-parafuso-fendido-sapata-bronze-35-mm2-reforcado-17516-intelli/p"</f>
        <v>https://www.dimensional.com.br/conector-parafuso-fendido-sapata-bronze-35-mm2-reforcado-17516-intelli/p</v>
      </c>
    </row>
    <row r="83" spans="1:9" x14ac:dyDescent="0.25">
      <c r="A83" s="29" t="s">
        <v>11</v>
      </c>
      <c r="B83" s="29" t="s">
        <v>114</v>
      </c>
      <c r="C83" s="29" t="s">
        <v>34</v>
      </c>
      <c r="D83" s="37" t="s">
        <v>3600</v>
      </c>
      <c r="E83" s="29" t="s">
        <v>3601</v>
      </c>
      <c r="F83" s="29" t="s">
        <v>36</v>
      </c>
      <c r="G83" s="29">
        <v>29.69</v>
      </c>
      <c r="H83" s="71" t="s">
        <v>3594</v>
      </c>
      <c r="I83" s="37" t="str">
        <f>"https://www.dimensional.com.br/conector-paraf-fend-sapata-cobre-70mm2-90gr-pfs7090-intelli/p"</f>
        <v>https://www.dimensional.com.br/conector-paraf-fend-sapata-cobre-70mm2-90gr-pfs7090-intelli/p</v>
      </c>
    </row>
    <row r="84" spans="1:9" x14ac:dyDescent="0.25">
      <c r="A84" s="29" t="s">
        <v>11</v>
      </c>
      <c r="B84" s="29" t="s">
        <v>114</v>
      </c>
      <c r="C84" s="29" t="s">
        <v>34</v>
      </c>
      <c r="D84" s="37" t="s">
        <v>1460</v>
      </c>
      <c r="E84" s="29" t="s">
        <v>406</v>
      </c>
      <c r="F84" s="29" t="s">
        <v>36</v>
      </c>
      <c r="G84" s="29">
        <v>6.5</v>
      </c>
      <c r="H84" s="71" t="s">
        <v>203</v>
      </c>
      <c r="I84" s="37" t="str">
        <f>"https://www.eletrotrafo.com.br/conector-split-bolt-10-mm-pf-10-intelli-02140002/p?skuId=4362"</f>
        <v>https://www.eletrotrafo.com.br/conector-split-bolt-10-mm-pf-10-intelli-02140002/p?skuId=4362</v>
      </c>
    </row>
    <row r="85" spans="1:9" x14ac:dyDescent="0.25">
      <c r="A85" s="29" t="s">
        <v>11</v>
      </c>
      <c r="B85" s="29" t="s">
        <v>114</v>
      </c>
      <c r="C85" s="29" t="s">
        <v>34</v>
      </c>
      <c r="D85" s="37" t="s">
        <v>1461</v>
      </c>
      <c r="E85" s="29" t="s">
        <v>412</v>
      </c>
      <c r="F85" s="29" t="s">
        <v>36</v>
      </c>
      <c r="G85" s="29">
        <v>38.869999999999997</v>
      </c>
      <c r="H85" s="71" t="s">
        <v>203</v>
      </c>
      <c r="I85" s="37" t="str">
        <f>"https://www.a3eletro.com.br/fios-e-cabos/acessorios-para-cabos/terminais-e-conectores/conector-split-bolt-pcabo-120mm-cobre; https://www.eletrotrafo.com.br/conector-split-bolt-10-mm-pf-10-intelli-02140002/p?skuId=4362"</f>
        <v>https://www.a3eletro.com.br/fios-e-cabos/acessorios-para-cabos/terminais-e-conectores/conector-split-bolt-pcabo-120mm-cobre; https://www.eletrotrafo.com.br/conector-split-bolt-10-mm-pf-10-intelli-02140002/p?skuId=4362</v>
      </c>
    </row>
    <row r="86" spans="1:9" x14ac:dyDescent="0.25">
      <c r="A86" s="29" t="s">
        <v>11</v>
      </c>
      <c r="B86" s="29" t="s">
        <v>114</v>
      </c>
      <c r="C86" s="29" t="s">
        <v>34</v>
      </c>
      <c r="D86" s="37" t="s">
        <v>1462</v>
      </c>
      <c r="E86" s="29" t="s">
        <v>413</v>
      </c>
      <c r="F86" s="29" t="s">
        <v>36</v>
      </c>
      <c r="G86" s="29">
        <v>44.78</v>
      </c>
      <c r="H86" s="71" t="s">
        <v>203</v>
      </c>
      <c r="I86" s="37" t="str">
        <f>"https://www.a3eletro.com.br/fios-e-cabos/acessorios-para-cabos/terminais-e-conectores/conector-split-bolt-pcabo-150mm-cobre; https://www.eletrotrafo.com.br/conector-split-bolt-10-mm-pf-10-intelli-02140002/p?skuId=4362"</f>
        <v>https://www.a3eletro.com.br/fios-e-cabos/acessorios-para-cabos/terminais-e-conectores/conector-split-bolt-pcabo-150mm-cobre; https://www.eletrotrafo.com.br/conector-split-bolt-10-mm-pf-10-intelli-02140002/p?skuId=4362</v>
      </c>
    </row>
    <row r="87" spans="1:9" x14ac:dyDescent="0.25">
      <c r="A87" s="29" t="s">
        <v>11</v>
      </c>
      <c r="B87" s="29" t="s">
        <v>114</v>
      </c>
      <c r="C87" s="29" t="s">
        <v>34</v>
      </c>
      <c r="D87" s="37" t="s">
        <v>1463</v>
      </c>
      <c r="E87" s="29" t="s">
        <v>407</v>
      </c>
      <c r="F87" s="29" t="s">
        <v>36</v>
      </c>
      <c r="G87" s="29">
        <v>9.0399999999999991</v>
      </c>
      <c r="H87" s="71" t="s">
        <v>203</v>
      </c>
      <c r="I87" s="37" t="str">
        <f>"https://www.a3eletro.com.br/fios-e-cabos/acessorios-para-cabos/terminais-e-conectores/conector-split-bolt-pcabo-16mm-cobre; https://www.eletrotrafo.com.br/conector-split-bolt-10-mm-pf-10-intelli-02140002/p?skuId=4362"</f>
        <v>https://www.a3eletro.com.br/fios-e-cabos/acessorios-para-cabos/terminais-e-conectores/conector-split-bolt-pcabo-16mm-cobre; https://www.eletrotrafo.com.br/conector-split-bolt-10-mm-pf-10-intelli-02140002/p?skuId=4362</v>
      </c>
    </row>
    <row r="88" spans="1:9" x14ac:dyDescent="0.25">
      <c r="A88" s="29" t="s">
        <v>11</v>
      </c>
      <c r="B88" s="29" t="s">
        <v>114</v>
      </c>
      <c r="C88" s="29" t="s">
        <v>34</v>
      </c>
      <c r="D88" s="37" t="s">
        <v>1464</v>
      </c>
      <c r="E88" s="29" t="s">
        <v>414</v>
      </c>
      <c r="F88" s="29" t="s">
        <v>36</v>
      </c>
      <c r="G88" s="29">
        <v>66.62</v>
      </c>
      <c r="H88" s="71" t="s">
        <v>203</v>
      </c>
      <c r="I88" s="37" t="str">
        <f>"https://www.a3eletro.com.br/fios-e-cabos/acessorios-para-cabos/terminais-e-conectores/conector-split-bolt-pcabo-185mm-cobre; https://www.eletrotrafo.com.br/conector-split-bolt-10-mm-pf-10-intelli-02140002/p?skuId=4362"</f>
        <v>https://www.a3eletro.com.br/fios-e-cabos/acessorios-para-cabos/terminais-e-conectores/conector-split-bolt-pcabo-185mm-cobre; https://www.eletrotrafo.com.br/conector-split-bolt-10-mm-pf-10-intelli-02140002/p?skuId=4362</v>
      </c>
    </row>
    <row r="89" spans="1:9" x14ac:dyDescent="0.25">
      <c r="A89" s="29" t="s">
        <v>11</v>
      </c>
      <c r="B89" s="29" t="s">
        <v>114</v>
      </c>
      <c r="C89" s="29" t="s">
        <v>34</v>
      </c>
      <c r="D89" s="37" t="s">
        <v>1465</v>
      </c>
      <c r="E89" s="29" t="s">
        <v>415</v>
      </c>
      <c r="F89" s="29" t="s">
        <v>36</v>
      </c>
      <c r="G89" s="29">
        <v>90.72</v>
      </c>
      <c r="H89" s="71" t="s">
        <v>203</v>
      </c>
      <c r="I89" s="37" t="str">
        <f>"https://www.a3eletro.com.br/fios-e-cabos/acessorios-para-cabos/terminais-e-conectores/conector-split-bolt-pcabo-240mm-cobre; https://www.eletrotrafo.com.br/conector-split-bolt-10-mm-pf-10-intelli-02140002/p?skuId=4362"</f>
        <v>https://www.a3eletro.com.br/fios-e-cabos/acessorios-para-cabos/terminais-e-conectores/conector-split-bolt-pcabo-240mm-cobre; https://www.eletrotrafo.com.br/conector-split-bolt-10-mm-pf-10-intelli-02140002/p?skuId=4362</v>
      </c>
    </row>
    <row r="90" spans="1:9" x14ac:dyDescent="0.25">
      <c r="A90" s="29" t="s">
        <v>11</v>
      </c>
      <c r="B90" s="29" t="s">
        <v>114</v>
      </c>
      <c r="C90" s="29" t="s">
        <v>34</v>
      </c>
      <c r="D90" s="37" t="s">
        <v>1466</v>
      </c>
      <c r="E90" s="29" t="s">
        <v>408</v>
      </c>
      <c r="F90" s="29" t="s">
        <v>36</v>
      </c>
      <c r="G90" s="29">
        <v>11.8</v>
      </c>
      <c r="H90" s="71" t="s">
        <v>203</v>
      </c>
      <c r="I90" s="37" t="str">
        <f>"https://www.a3eletro.com.br/fios-e-cabos/acessorios-para-cabos/terminais-e-conectores/conector-split-bolt-pcabo-25mm-cobre; https://www.eletrotrafo.com.br/conector-split-bolt-10-mm-pf-10-intelli-02140002/p?skuId=4362"</f>
        <v>https://www.a3eletro.com.br/fios-e-cabos/acessorios-para-cabos/terminais-e-conectores/conector-split-bolt-pcabo-25mm-cobre; https://www.eletrotrafo.com.br/conector-split-bolt-10-mm-pf-10-intelli-02140002/p?skuId=4362</v>
      </c>
    </row>
    <row r="91" spans="1:9" x14ac:dyDescent="0.25">
      <c r="A91" s="29" t="s">
        <v>11</v>
      </c>
      <c r="B91" s="29" t="s">
        <v>114</v>
      </c>
      <c r="C91" s="29" t="s">
        <v>34</v>
      </c>
      <c r="D91" s="37" t="s">
        <v>1467</v>
      </c>
      <c r="E91" s="29" t="s">
        <v>409</v>
      </c>
      <c r="F91" s="29" t="s">
        <v>36</v>
      </c>
      <c r="G91" s="29">
        <v>13.26</v>
      </c>
      <c r="H91" s="71" t="s">
        <v>203</v>
      </c>
      <c r="I91" s="37" t="str">
        <f>"https://www.a3eletro.com.br/fios-e-cabos/acessorios-para-cabos/terminais-e-conectores/conector-split-bolt-pcabo-35mm-cobre; https://www.eletrotrafo.com.br/conector-split-bolt-10-mm-pf-10-intelli-02140002/p?skuId=4362"</f>
        <v>https://www.a3eletro.com.br/fios-e-cabos/acessorios-para-cabos/terminais-e-conectores/conector-split-bolt-pcabo-35mm-cobre; https://www.eletrotrafo.com.br/conector-split-bolt-10-mm-pf-10-intelli-02140002/p?skuId=4362</v>
      </c>
    </row>
    <row r="92" spans="1:9" x14ac:dyDescent="0.25">
      <c r="A92" s="29" t="s">
        <v>11</v>
      </c>
      <c r="B92" s="29" t="s">
        <v>114</v>
      </c>
      <c r="C92" s="29" t="s">
        <v>34</v>
      </c>
      <c r="D92" s="37" t="s">
        <v>1468</v>
      </c>
      <c r="E92" s="29" t="s">
        <v>405</v>
      </c>
      <c r="F92" s="29" t="s">
        <v>36</v>
      </c>
      <c r="G92" s="29">
        <v>17.3</v>
      </c>
      <c r="H92" s="71" t="s">
        <v>203</v>
      </c>
      <c r="I92" s="37" t="str">
        <f>"https://www.a3eletro.com.br/fios-e-cabos/acessorios-para-cabos/terminais-e-conectores/conector-split-bolt-pcabo-50mm-cobre; https://www.eletrotrafo.com.br/conector-split-bolt-10-mm-pf-10-intelli-02140002/p?skuId=4362"</f>
        <v>https://www.a3eletro.com.br/fios-e-cabos/acessorios-para-cabos/terminais-e-conectores/conector-split-bolt-pcabo-50mm-cobre; https://www.eletrotrafo.com.br/conector-split-bolt-10-mm-pf-10-intelli-02140002/p?skuId=4362</v>
      </c>
    </row>
    <row r="93" spans="1:9" x14ac:dyDescent="0.25">
      <c r="A93" s="29" t="s">
        <v>11</v>
      </c>
      <c r="B93" s="29" t="s">
        <v>114</v>
      </c>
      <c r="C93" s="29" t="s">
        <v>34</v>
      </c>
      <c r="D93" s="37" t="s">
        <v>1469</v>
      </c>
      <c r="E93" s="29" t="s">
        <v>410</v>
      </c>
      <c r="F93" s="29" t="s">
        <v>36</v>
      </c>
      <c r="G93" s="29">
        <v>24.57</v>
      </c>
      <c r="H93" s="71" t="s">
        <v>203</v>
      </c>
      <c r="I93" s="37" t="str">
        <f>"https://www.a3eletro.com.br/fios-e-cabos/acessorios-para-cabos/terminais-e-conectores/conector-split-bolt-pcabo-70mm-cobre; https://www.eletrotrafo.com.br/conector-split-bolt-10-mm-pf-10-intelli-02140002/p?skuId=4362"</f>
        <v>https://www.a3eletro.com.br/fios-e-cabos/acessorios-para-cabos/terminais-e-conectores/conector-split-bolt-pcabo-70mm-cobre; https://www.eletrotrafo.com.br/conector-split-bolt-10-mm-pf-10-intelli-02140002/p?skuId=4362</v>
      </c>
    </row>
    <row r="94" spans="1:9" x14ac:dyDescent="0.25">
      <c r="A94" s="29" t="s">
        <v>11</v>
      </c>
      <c r="B94" s="29" t="s">
        <v>114</v>
      </c>
      <c r="C94" s="29" t="s">
        <v>34</v>
      </c>
      <c r="D94" s="37" t="s">
        <v>1470</v>
      </c>
      <c r="E94" s="29" t="s">
        <v>411</v>
      </c>
      <c r="F94" s="29" t="s">
        <v>36</v>
      </c>
      <c r="G94" s="29">
        <v>37.770000000000003</v>
      </c>
      <c r="H94" s="71" t="s">
        <v>203</v>
      </c>
      <c r="I94" s="37" t="str">
        <f>"https://www.a3eletro.com.br/fios-e-cabos/acessorios-para-cabos/terminais-e-conectores/conector-split-bolt-pcabo-95mm-cobre; https://www.eletrotrafo.com.br/conector-split-bolt-10-mm-pf-10-intelli-02140002/p?skuId=4362"</f>
        <v>https://www.a3eletro.com.br/fios-e-cabos/acessorios-para-cabos/terminais-e-conectores/conector-split-bolt-pcabo-95mm-cobre; https://www.eletrotrafo.com.br/conector-split-bolt-10-mm-pf-10-intelli-02140002/p?skuId=4362</v>
      </c>
    </row>
    <row r="95" spans="1:9" x14ac:dyDescent="0.25">
      <c r="A95" s="29" t="s">
        <v>11</v>
      </c>
      <c r="B95" s="29" t="s">
        <v>88</v>
      </c>
      <c r="C95" s="29" t="s">
        <v>34</v>
      </c>
      <c r="D95" s="37" t="s">
        <v>2651</v>
      </c>
      <c r="E95" s="29" t="s">
        <v>817</v>
      </c>
      <c r="F95" s="29" t="s">
        <v>36</v>
      </c>
      <c r="G95" s="29">
        <v>15.29</v>
      </c>
      <c r="H95" s="71" t="s">
        <v>813</v>
      </c>
      <c r="I95" s="37" t="str">
        <f>"https://www.dimensional.com.br/grampo-terra-haste-cabo-cobre-10-10mm2-1-2-acessorios-aco-zincado-ga12-intelli/p"</f>
        <v>https://www.dimensional.com.br/grampo-terra-haste-cabo-cobre-10-10mm2-1-2-acessorios-aco-zincado-ga12-intelli/p</v>
      </c>
    </row>
    <row r="96" spans="1:9" x14ac:dyDescent="0.25">
      <c r="A96" s="29" t="s">
        <v>11</v>
      </c>
      <c r="B96" s="29" t="s">
        <v>88</v>
      </c>
      <c r="C96" s="29" t="s">
        <v>34</v>
      </c>
      <c r="D96" s="37" t="s">
        <v>2652</v>
      </c>
      <c r="E96" s="29" t="s">
        <v>818</v>
      </c>
      <c r="F96" s="29" t="s">
        <v>36</v>
      </c>
      <c r="G96" s="29">
        <v>25.19</v>
      </c>
      <c r="H96" s="71" t="s">
        <v>3452</v>
      </c>
      <c r="I96" s="37" t="str">
        <f>"https://www.dimensional.com.br/grampo-terra-simples-cabo-bronze-10-50mm2-5-16-3-8-parafuso-ga38-intelli/p"</f>
        <v>https://www.dimensional.com.br/grampo-terra-simples-cabo-bronze-10-50mm2-5-16-3-8-parafuso-ga38-intelli/p</v>
      </c>
    </row>
    <row r="97" spans="1:9" x14ac:dyDescent="0.25">
      <c r="A97" s="29" t="s">
        <v>11</v>
      </c>
      <c r="B97" s="29" t="s">
        <v>88</v>
      </c>
      <c r="C97" s="29" t="s">
        <v>34</v>
      </c>
      <c r="D97" s="37" t="s">
        <v>2653</v>
      </c>
      <c r="E97" s="29" t="s">
        <v>826</v>
      </c>
      <c r="F97" s="29" t="s">
        <v>36</v>
      </c>
      <c r="I97" s="37" t="s">
        <v>37</v>
      </c>
    </row>
    <row r="98" spans="1:9" x14ac:dyDescent="0.25">
      <c r="A98" s="29" t="s">
        <v>11</v>
      </c>
      <c r="B98" s="29" t="s">
        <v>88</v>
      </c>
      <c r="C98" s="29" t="s">
        <v>34</v>
      </c>
      <c r="D98" s="37" t="s">
        <v>2654</v>
      </c>
      <c r="E98" s="29" t="s">
        <v>819</v>
      </c>
      <c r="F98" s="29" t="s">
        <v>36</v>
      </c>
      <c r="G98" s="29">
        <v>6.11</v>
      </c>
      <c r="H98" s="71" t="s">
        <v>3452</v>
      </c>
      <c r="I98" s="37" t="str">
        <f>"https://www.dimensional.com.br/grampo-terra-simples-haste-cabo-cobre-10-a-50-mm2-1-2-5-8-th1258-intelli/p"</f>
        <v>https://www.dimensional.com.br/grampo-terra-simples-haste-cabo-cobre-10-a-50-mm2-1-2-5-8-th1258-intelli/p</v>
      </c>
    </row>
    <row r="99" spans="1:9" x14ac:dyDescent="0.25">
      <c r="A99" s="29" t="s">
        <v>11</v>
      </c>
      <c r="B99" s="29" t="s">
        <v>88</v>
      </c>
      <c r="C99" s="29" t="s">
        <v>34</v>
      </c>
      <c r="D99" s="37" t="s">
        <v>2655</v>
      </c>
      <c r="E99" s="29" t="s">
        <v>823</v>
      </c>
      <c r="F99" s="29" t="s">
        <v>36</v>
      </c>
      <c r="G99" s="29">
        <v>11.86</v>
      </c>
      <c r="H99" s="71" t="s">
        <v>3452</v>
      </c>
      <c r="I99" s="37" t="str">
        <f>"https://www.santil.com.br/conector-para-haste-34-polegadas-th-34-intelli/p; https://express.nortel.com.br/th34-intelli/p"</f>
        <v>https://www.santil.com.br/conector-para-haste-34-polegadas-th-34-intelli/p; https://express.nortel.com.br/th34-intelli/p</v>
      </c>
    </row>
    <row r="100" spans="1:9" x14ac:dyDescent="0.25">
      <c r="A100" s="29" t="s">
        <v>11</v>
      </c>
      <c r="B100" s="29" t="s">
        <v>88</v>
      </c>
      <c r="C100" s="29" t="s">
        <v>34</v>
      </c>
      <c r="D100" s="37" t="s">
        <v>2656</v>
      </c>
      <c r="E100" s="29" t="s">
        <v>825</v>
      </c>
      <c r="F100" s="29" t="s">
        <v>36</v>
      </c>
      <c r="I100" s="37" t="s">
        <v>37</v>
      </c>
    </row>
    <row r="101" spans="1:9" x14ac:dyDescent="0.25">
      <c r="A101" s="29" t="s">
        <v>11</v>
      </c>
      <c r="B101" s="29" t="s">
        <v>88</v>
      </c>
      <c r="C101" s="29" t="s">
        <v>34</v>
      </c>
      <c r="D101" s="37" t="s">
        <v>2657</v>
      </c>
      <c r="E101" s="29" t="s">
        <v>821</v>
      </c>
      <c r="F101" s="29" t="s">
        <v>36</v>
      </c>
      <c r="G101" s="29">
        <v>7.82</v>
      </c>
      <c r="H101" s="71" t="s">
        <v>3452</v>
      </c>
      <c r="I101" s="37" t="str">
        <f>"https://www.dimensional.com.br/grampo-terra-simples-cobre-10-a-50-mm2-5-8-th58-intelli/p"</f>
        <v>https://www.dimensional.com.br/grampo-terra-simples-cobre-10-a-50-mm2-5-8-th58-intelli/p</v>
      </c>
    </row>
    <row r="102" spans="1:9" x14ac:dyDescent="0.25">
      <c r="A102" s="29" t="s">
        <v>11</v>
      </c>
      <c r="B102" s="29" t="s">
        <v>88</v>
      </c>
      <c r="C102" s="29" t="s">
        <v>34</v>
      </c>
      <c r="D102" s="37" t="s">
        <v>2658</v>
      </c>
      <c r="E102" s="29" t="s">
        <v>827</v>
      </c>
      <c r="F102" s="29" t="s">
        <v>36</v>
      </c>
      <c r="I102" s="37" t="s">
        <v>37</v>
      </c>
    </row>
    <row r="103" spans="1:9" x14ac:dyDescent="0.25">
      <c r="A103" s="29" t="s">
        <v>11</v>
      </c>
      <c r="B103" s="29" t="s">
        <v>88</v>
      </c>
      <c r="C103" s="29" t="s">
        <v>34</v>
      </c>
      <c r="D103" s="37" t="s">
        <v>2659</v>
      </c>
      <c r="E103" s="29" t="s">
        <v>820</v>
      </c>
      <c r="F103" s="29" t="s">
        <v>36</v>
      </c>
      <c r="G103" s="29">
        <v>28.16</v>
      </c>
      <c r="H103" s="71" t="s">
        <v>3452</v>
      </c>
      <c r="I103" s="37" t="str">
        <f>"https://casadopararaios.com.br/products/grampo-aterramento-reforcado-cabo-haste-1-2-5-8-10-70mm-intelli-th-12-58-r-13-11-03-004?utm_source=organic&amp;utm_campaign=&amp;utm_medium=&amp;utm_content=&amp;utm_term="</f>
        <v>https://casadopararaios.com.br/products/grampo-aterramento-reforcado-cabo-haste-1-2-5-8-10-70mm-intelli-th-12-58-r-13-11-03-004?utm_source=organic&amp;utm_campaign=&amp;utm_medium=&amp;utm_content=&amp;utm_term=</v>
      </c>
    </row>
    <row r="104" spans="1:9" x14ac:dyDescent="0.25">
      <c r="A104" s="29" t="s">
        <v>11</v>
      </c>
      <c r="B104" s="29" t="s">
        <v>88</v>
      </c>
      <c r="C104" s="29" t="s">
        <v>34</v>
      </c>
      <c r="D104" s="37" t="s">
        <v>2660</v>
      </c>
      <c r="E104" s="29" t="s">
        <v>824</v>
      </c>
      <c r="F104" s="29" t="s">
        <v>36</v>
      </c>
      <c r="I104" s="37" t="s">
        <v>37</v>
      </c>
    </row>
    <row r="105" spans="1:9" x14ac:dyDescent="0.25">
      <c r="A105" s="29" t="s">
        <v>11</v>
      </c>
      <c r="B105" s="29" t="s">
        <v>88</v>
      </c>
      <c r="C105" s="29" t="s">
        <v>34</v>
      </c>
      <c r="D105" s="37" t="s">
        <v>2661</v>
      </c>
      <c r="E105" s="29" t="s">
        <v>822</v>
      </c>
      <c r="F105" s="29" t="s">
        <v>36</v>
      </c>
      <c r="I105" s="37" t="s">
        <v>37</v>
      </c>
    </row>
    <row r="106" spans="1:9" x14ac:dyDescent="0.25">
      <c r="A106" s="29" t="s">
        <v>11</v>
      </c>
      <c r="B106" s="29" t="s">
        <v>88</v>
      </c>
      <c r="C106" s="29">
        <v>415</v>
      </c>
      <c r="D106" s="37" t="s">
        <v>2233</v>
      </c>
      <c r="E106" s="29" t="s">
        <v>37</v>
      </c>
      <c r="F106" s="29" t="s">
        <v>36</v>
      </c>
      <c r="G106" s="29">
        <v>26.94</v>
      </c>
      <c r="H106" s="71" t="s">
        <v>38</v>
      </c>
      <c r="I106" s="37" t="s">
        <v>207</v>
      </c>
    </row>
    <row r="107" spans="1:9" x14ac:dyDescent="0.25">
      <c r="A107" s="29" t="s">
        <v>11</v>
      </c>
      <c r="B107" s="29" t="s">
        <v>88</v>
      </c>
      <c r="C107" s="29">
        <v>38055</v>
      </c>
      <c r="D107" s="37" t="s">
        <v>2234</v>
      </c>
      <c r="E107" s="29" t="s">
        <v>37</v>
      </c>
      <c r="F107" s="29" t="s">
        <v>36</v>
      </c>
      <c r="G107" s="29">
        <v>5.96</v>
      </c>
      <c r="H107" s="71" t="s">
        <v>38</v>
      </c>
      <c r="I107" s="37" t="s">
        <v>207</v>
      </c>
    </row>
    <row r="108" spans="1:9" x14ac:dyDescent="0.25">
      <c r="A108" s="29" t="s">
        <v>11</v>
      </c>
      <c r="B108" s="29" t="s">
        <v>88</v>
      </c>
      <c r="C108" s="29">
        <v>416</v>
      </c>
      <c r="D108" s="37" t="s">
        <v>2235</v>
      </c>
      <c r="E108" s="29" t="s">
        <v>37</v>
      </c>
      <c r="F108" s="29" t="s">
        <v>36</v>
      </c>
      <c r="G108" s="29">
        <v>9.86</v>
      </c>
      <c r="H108" s="71" t="s">
        <v>38</v>
      </c>
      <c r="I108" s="37" t="s">
        <v>207</v>
      </c>
    </row>
    <row r="109" spans="1:9" x14ac:dyDescent="0.25">
      <c r="A109" s="29" t="s">
        <v>11</v>
      </c>
      <c r="B109" s="29" t="s">
        <v>88</v>
      </c>
      <c r="C109" s="29">
        <v>425</v>
      </c>
      <c r="D109" s="37" t="s">
        <v>2236</v>
      </c>
      <c r="E109" s="29" t="s">
        <v>37</v>
      </c>
      <c r="F109" s="29" t="s">
        <v>36</v>
      </c>
      <c r="G109" s="29">
        <v>6.11</v>
      </c>
      <c r="H109" s="71" t="s">
        <v>38</v>
      </c>
      <c r="I109" s="37" t="s">
        <v>207</v>
      </c>
    </row>
    <row r="110" spans="1:9" x14ac:dyDescent="0.25">
      <c r="A110" s="29" t="s">
        <v>11</v>
      </c>
      <c r="B110" s="29" t="s">
        <v>88</v>
      </c>
      <c r="C110" s="29">
        <v>426</v>
      </c>
      <c r="D110" s="37" t="s">
        <v>2237</v>
      </c>
      <c r="E110" s="29" t="s">
        <v>37</v>
      </c>
      <c r="F110" s="29" t="s">
        <v>36</v>
      </c>
      <c r="G110" s="29">
        <v>33.67</v>
      </c>
      <c r="H110" s="71" t="s">
        <v>38</v>
      </c>
      <c r="I110" s="37" t="s">
        <v>207</v>
      </c>
    </row>
    <row r="111" spans="1:9" x14ac:dyDescent="0.25">
      <c r="A111" s="29" t="s">
        <v>11</v>
      </c>
      <c r="B111" s="29" t="s">
        <v>88</v>
      </c>
      <c r="C111" s="29">
        <v>38056</v>
      </c>
      <c r="D111" s="37" t="s">
        <v>2238</v>
      </c>
      <c r="E111" s="29" t="s">
        <v>37</v>
      </c>
      <c r="F111" s="29" t="s">
        <v>36</v>
      </c>
      <c r="G111" s="29">
        <v>32.880000000000003</v>
      </c>
      <c r="H111" s="71" t="s">
        <v>38</v>
      </c>
      <c r="I111" s="37" t="s">
        <v>207</v>
      </c>
    </row>
    <row r="112" spans="1:9" x14ac:dyDescent="0.25">
      <c r="A112" s="29" t="s">
        <v>11</v>
      </c>
      <c r="B112" s="29" t="s">
        <v>88</v>
      </c>
      <c r="C112" s="29" t="s">
        <v>34</v>
      </c>
      <c r="D112" s="37" t="s">
        <v>3558</v>
      </c>
      <c r="E112" s="29" t="s">
        <v>3557</v>
      </c>
      <c r="F112" s="29" t="s">
        <v>36</v>
      </c>
      <c r="I112" s="37" t="s">
        <v>37</v>
      </c>
    </row>
    <row r="113" spans="1:9" x14ac:dyDescent="0.25">
      <c r="A113" s="29" t="s">
        <v>11</v>
      </c>
      <c r="B113" s="29" t="s">
        <v>88</v>
      </c>
      <c r="C113" s="29" t="s">
        <v>34</v>
      </c>
      <c r="D113" s="37" t="s">
        <v>3559</v>
      </c>
      <c r="E113" s="29" t="s">
        <v>3560</v>
      </c>
      <c r="F113" s="29" t="s">
        <v>36</v>
      </c>
      <c r="I113" s="37" t="s">
        <v>37</v>
      </c>
    </row>
    <row r="114" spans="1:9" x14ac:dyDescent="0.25">
      <c r="A114" s="29" t="s">
        <v>11</v>
      </c>
      <c r="B114" s="29" t="s">
        <v>88</v>
      </c>
      <c r="C114" s="29" t="s">
        <v>34</v>
      </c>
      <c r="D114" s="37" t="s">
        <v>3483</v>
      </c>
      <c r="E114" s="29" t="s">
        <v>704</v>
      </c>
      <c r="F114" s="29" t="s">
        <v>36</v>
      </c>
      <c r="I114" s="37" t="s">
        <v>37</v>
      </c>
    </row>
    <row r="115" spans="1:9" x14ac:dyDescent="0.25">
      <c r="A115" s="29" t="s">
        <v>11</v>
      </c>
      <c r="B115" s="29" t="s">
        <v>88</v>
      </c>
      <c r="C115" s="29" t="s">
        <v>34</v>
      </c>
      <c r="D115" s="37" t="s">
        <v>3484</v>
      </c>
      <c r="E115" s="29" t="s">
        <v>707</v>
      </c>
      <c r="F115" s="29" t="s">
        <v>36</v>
      </c>
      <c r="I115" s="37" t="s">
        <v>37</v>
      </c>
    </row>
    <row r="116" spans="1:9" x14ac:dyDescent="0.25">
      <c r="A116" s="29" t="s">
        <v>11</v>
      </c>
      <c r="B116" s="29" t="s">
        <v>88</v>
      </c>
      <c r="C116" s="29" t="s">
        <v>34</v>
      </c>
      <c r="D116" s="37" t="s">
        <v>3485</v>
      </c>
      <c r="E116" s="29" t="s">
        <v>697</v>
      </c>
      <c r="F116" s="29" t="s">
        <v>36</v>
      </c>
      <c r="I116" s="37" t="s">
        <v>37</v>
      </c>
    </row>
    <row r="117" spans="1:9" x14ac:dyDescent="0.25">
      <c r="A117" s="29" t="s">
        <v>11</v>
      </c>
      <c r="B117" s="29" t="s">
        <v>88</v>
      </c>
      <c r="C117" s="29" t="s">
        <v>34</v>
      </c>
      <c r="D117" s="37" t="s">
        <v>3486</v>
      </c>
      <c r="E117" s="29" t="s">
        <v>706</v>
      </c>
      <c r="F117" s="29" t="s">
        <v>36</v>
      </c>
      <c r="I117" s="37" t="s">
        <v>37</v>
      </c>
    </row>
    <row r="118" spans="1:9" x14ac:dyDescent="0.25">
      <c r="A118" s="29" t="s">
        <v>11</v>
      </c>
      <c r="B118" s="29" t="s">
        <v>88</v>
      </c>
      <c r="C118" s="29" t="s">
        <v>34</v>
      </c>
      <c r="D118" s="37" t="s">
        <v>3487</v>
      </c>
      <c r="E118" s="29" t="s">
        <v>713</v>
      </c>
      <c r="F118" s="29" t="s">
        <v>36</v>
      </c>
      <c r="I118" s="37" t="s">
        <v>37</v>
      </c>
    </row>
    <row r="119" spans="1:9" x14ac:dyDescent="0.25">
      <c r="A119" s="29" t="s">
        <v>11</v>
      </c>
      <c r="B119" s="29" t="s">
        <v>88</v>
      </c>
      <c r="C119" s="29" t="s">
        <v>34</v>
      </c>
      <c r="D119" s="37" t="s">
        <v>3488</v>
      </c>
      <c r="E119" s="29" t="s">
        <v>714</v>
      </c>
      <c r="F119" s="29" t="s">
        <v>36</v>
      </c>
      <c r="I119" s="37" t="s">
        <v>37</v>
      </c>
    </row>
    <row r="120" spans="1:9" x14ac:dyDescent="0.25">
      <c r="A120" s="29" t="s">
        <v>11</v>
      </c>
      <c r="B120" s="29" t="s">
        <v>88</v>
      </c>
      <c r="C120" s="29" t="s">
        <v>34</v>
      </c>
      <c r="D120" s="37" t="s">
        <v>3489</v>
      </c>
      <c r="E120" s="29" t="s">
        <v>701</v>
      </c>
      <c r="F120" s="29" t="s">
        <v>36</v>
      </c>
      <c r="I120" s="37" t="s">
        <v>37</v>
      </c>
    </row>
    <row r="121" spans="1:9" x14ac:dyDescent="0.25">
      <c r="A121" s="29" t="s">
        <v>11</v>
      </c>
      <c r="B121" s="29" t="s">
        <v>88</v>
      </c>
      <c r="C121" s="29" t="s">
        <v>34</v>
      </c>
      <c r="D121" s="37" t="s">
        <v>3490</v>
      </c>
      <c r="E121" s="29" t="s">
        <v>702</v>
      </c>
      <c r="F121" s="29" t="s">
        <v>36</v>
      </c>
      <c r="I121" s="37" t="s">
        <v>37</v>
      </c>
    </row>
    <row r="122" spans="1:9" x14ac:dyDescent="0.25">
      <c r="A122" s="29" t="s">
        <v>11</v>
      </c>
      <c r="B122" s="29" t="s">
        <v>88</v>
      </c>
      <c r="C122" s="29" t="s">
        <v>34</v>
      </c>
      <c r="D122" s="37" t="s">
        <v>3491</v>
      </c>
      <c r="E122" s="29" t="s">
        <v>708</v>
      </c>
      <c r="F122" s="29" t="s">
        <v>36</v>
      </c>
      <c r="I122" s="37" t="s">
        <v>37</v>
      </c>
    </row>
    <row r="123" spans="1:9" x14ac:dyDescent="0.25">
      <c r="A123" s="29" t="s">
        <v>11</v>
      </c>
      <c r="B123" s="29" t="s">
        <v>88</v>
      </c>
      <c r="C123" s="29" t="s">
        <v>34</v>
      </c>
      <c r="D123" s="37" t="s">
        <v>3492</v>
      </c>
      <c r="E123" s="29" t="s">
        <v>698</v>
      </c>
      <c r="F123" s="29" t="s">
        <v>36</v>
      </c>
      <c r="I123" s="37" t="s">
        <v>37</v>
      </c>
    </row>
    <row r="124" spans="1:9" x14ac:dyDescent="0.25">
      <c r="A124" s="29" t="s">
        <v>11</v>
      </c>
      <c r="B124" s="29" t="s">
        <v>88</v>
      </c>
      <c r="C124" s="29" t="s">
        <v>34</v>
      </c>
      <c r="D124" s="37" t="s">
        <v>3493</v>
      </c>
      <c r="E124" s="29" t="s">
        <v>710</v>
      </c>
      <c r="F124" s="29" t="s">
        <v>36</v>
      </c>
      <c r="I124" s="37" t="s">
        <v>37</v>
      </c>
    </row>
    <row r="125" spans="1:9" x14ac:dyDescent="0.25">
      <c r="A125" s="29" t="s">
        <v>11</v>
      </c>
      <c r="B125" s="29" t="s">
        <v>88</v>
      </c>
      <c r="C125" s="29" t="s">
        <v>34</v>
      </c>
      <c r="D125" s="37" t="s">
        <v>3494</v>
      </c>
      <c r="E125" s="29" t="s">
        <v>711</v>
      </c>
      <c r="F125" s="29" t="s">
        <v>36</v>
      </c>
      <c r="I125" s="37" t="s">
        <v>37</v>
      </c>
    </row>
    <row r="126" spans="1:9" x14ac:dyDescent="0.25">
      <c r="A126" s="29" t="s">
        <v>11</v>
      </c>
      <c r="B126" s="29" t="s">
        <v>88</v>
      </c>
      <c r="C126" s="29" t="s">
        <v>34</v>
      </c>
      <c r="D126" s="37" t="s">
        <v>3495</v>
      </c>
      <c r="E126" s="29" t="s">
        <v>715</v>
      </c>
      <c r="F126" s="29" t="s">
        <v>36</v>
      </c>
      <c r="I126" s="37" t="s">
        <v>37</v>
      </c>
    </row>
    <row r="127" spans="1:9" x14ac:dyDescent="0.25">
      <c r="A127" s="29" t="s">
        <v>11</v>
      </c>
      <c r="B127" s="29" t="s">
        <v>88</v>
      </c>
      <c r="C127" s="29" t="s">
        <v>34</v>
      </c>
      <c r="D127" s="37" t="s">
        <v>3496</v>
      </c>
      <c r="E127" s="29" t="s">
        <v>717</v>
      </c>
      <c r="F127" s="29" t="s">
        <v>36</v>
      </c>
      <c r="I127" s="37" t="s">
        <v>37</v>
      </c>
    </row>
    <row r="128" spans="1:9" x14ac:dyDescent="0.25">
      <c r="A128" s="29" t="s">
        <v>11</v>
      </c>
      <c r="B128" s="29" t="s">
        <v>88</v>
      </c>
      <c r="C128" s="29" t="s">
        <v>34</v>
      </c>
      <c r="D128" s="37" t="s">
        <v>3497</v>
      </c>
      <c r="E128" s="29" t="s">
        <v>718</v>
      </c>
      <c r="F128" s="29" t="s">
        <v>36</v>
      </c>
      <c r="I128" s="37" t="s">
        <v>37</v>
      </c>
    </row>
    <row r="129" spans="1:9" x14ac:dyDescent="0.25">
      <c r="A129" s="29" t="s">
        <v>11</v>
      </c>
      <c r="B129" s="29" t="s">
        <v>88</v>
      </c>
      <c r="C129" s="29" t="s">
        <v>34</v>
      </c>
      <c r="D129" s="37" t="s">
        <v>3498</v>
      </c>
      <c r="E129" s="29" t="s">
        <v>719</v>
      </c>
      <c r="F129" s="29" t="s">
        <v>36</v>
      </c>
      <c r="I129" s="37" t="s">
        <v>37</v>
      </c>
    </row>
    <row r="130" spans="1:9" x14ac:dyDescent="0.25">
      <c r="A130" s="29" t="s">
        <v>11</v>
      </c>
      <c r="B130" s="29" t="s">
        <v>88</v>
      </c>
      <c r="C130" s="29" t="s">
        <v>34</v>
      </c>
      <c r="D130" s="37" t="s">
        <v>3499</v>
      </c>
      <c r="E130" s="29" t="s">
        <v>703</v>
      </c>
      <c r="F130" s="29" t="s">
        <v>36</v>
      </c>
      <c r="I130" s="37" t="s">
        <v>37</v>
      </c>
    </row>
    <row r="131" spans="1:9" x14ac:dyDescent="0.25">
      <c r="A131" s="29" t="s">
        <v>11</v>
      </c>
      <c r="B131" s="29" t="s">
        <v>88</v>
      </c>
      <c r="C131" s="29" t="s">
        <v>34</v>
      </c>
      <c r="D131" s="37" t="s">
        <v>3500</v>
      </c>
      <c r="E131" s="29" t="s">
        <v>716</v>
      </c>
      <c r="F131" s="29" t="s">
        <v>36</v>
      </c>
      <c r="I131" s="37" t="s">
        <v>37</v>
      </c>
    </row>
    <row r="132" spans="1:9" x14ac:dyDescent="0.25">
      <c r="A132" s="29" t="s">
        <v>11</v>
      </c>
      <c r="B132" s="29" t="s">
        <v>88</v>
      </c>
      <c r="C132" s="29" t="s">
        <v>34</v>
      </c>
      <c r="D132" s="37" t="s">
        <v>3501</v>
      </c>
      <c r="E132" s="29" t="s">
        <v>720</v>
      </c>
      <c r="F132" s="29" t="s">
        <v>36</v>
      </c>
      <c r="I132" s="37" t="s">
        <v>37</v>
      </c>
    </row>
    <row r="133" spans="1:9" x14ac:dyDescent="0.25">
      <c r="A133" s="29" t="s">
        <v>11</v>
      </c>
      <c r="B133" s="29" t="s">
        <v>88</v>
      </c>
      <c r="C133" s="29" t="s">
        <v>34</v>
      </c>
      <c r="D133" s="37" t="s">
        <v>3502</v>
      </c>
      <c r="E133" s="29" t="s">
        <v>705</v>
      </c>
      <c r="F133" s="29" t="s">
        <v>36</v>
      </c>
      <c r="I133" s="37" t="s">
        <v>37</v>
      </c>
    </row>
    <row r="134" spans="1:9" x14ac:dyDescent="0.25">
      <c r="A134" s="29" t="s">
        <v>11</v>
      </c>
      <c r="B134" s="29" t="s">
        <v>88</v>
      </c>
      <c r="C134" s="29" t="s">
        <v>34</v>
      </c>
      <c r="D134" s="37" t="s">
        <v>3503</v>
      </c>
      <c r="E134" s="29" t="s">
        <v>709</v>
      </c>
      <c r="F134" s="29" t="s">
        <v>36</v>
      </c>
      <c r="I134" s="37" t="s">
        <v>37</v>
      </c>
    </row>
    <row r="135" spans="1:9" x14ac:dyDescent="0.25">
      <c r="A135" s="29" t="s">
        <v>11</v>
      </c>
      <c r="B135" s="29" t="s">
        <v>88</v>
      </c>
      <c r="C135" s="29" t="s">
        <v>34</v>
      </c>
      <c r="D135" s="37" t="s">
        <v>3504</v>
      </c>
      <c r="E135" s="29" t="s">
        <v>712</v>
      </c>
      <c r="F135" s="29" t="s">
        <v>36</v>
      </c>
      <c r="I135" s="37" t="s">
        <v>37</v>
      </c>
    </row>
    <row r="136" spans="1:9" x14ac:dyDescent="0.25">
      <c r="A136" s="29" t="s">
        <v>11</v>
      </c>
      <c r="B136" s="29" t="s">
        <v>88</v>
      </c>
      <c r="C136" s="29" t="s">
        <v>34</v>
      </c>
      <c r="D136" s="37" t="s">
        <v>3505</v>
      </c>
      <c r="E136" s="29" t="s">
        <v>721</v>
      </c>
      <c r="F136" s="29" t="s">
        <v>36</v>
      </c>
      <c r="I136" s="37" t="s">
        <v>37</v>
      </c>
    </row>
    <row r="137" spans="1:9" x14ac:dyDescent="0.25">
      <c r="A137" s="29" t="s">
        <v>11</v>
      </c>
      <c r="B137" s="29" t="s">
        <v>88</v>
      </c>
      <c r="C137" s="29" t="s">
        <v>34</v>
      </c>
      <c r="D137" s="37" t="s">
        <v>3506</v>
      </c>
      <c r="E137" s="29" t="s">
        <v>689</v>
      </c>
      <c r="F137" s="29" t="s">
        <v>36</v>
      </c>
      <c r="I137" s="37" t="s">
        <v>37</v>
      </c>
    </row>
    <row r="138" spans="1:9" x14ac:dyDescent="0.25">
      <c r="A138" s="29" t="s">
        <v>11</v>
      </c>
      <c r="B138" s="29" t="s">
        <v>88</v>
      </c>
      <c r="C138" s="29" t="s">
        <v>34</v>
      </c>
      <c r="D138" s="37" t="s">
        <v>3507</v>
      </c>
      <c r="E138" s="29" t="s">
        <v>690</v>
      </c>
      <c r="F138" s="29" t="s">
        <v>36</v>
      </c>
      <c r="I138" s="37" t="s">
        <v>37</v>
      </c>
    </row>
    <row r="139" spans="1:9" x14ac:dyDescent="0.25">
      <c r="A139" s="29" t="s">
        <v>11</v>
      </c>
      <c r="B139" s="29" t="s">
        <v>88</v>
      </c>
      <c r="C139" s="29" t="s">
        <v>34</v>
      </c>
      <c r="D139" s="37" t="s">
        <v>3508</v>
      </c>
      <c r="E139" s="29" t="s">
        <v>691</v>
      </c>
      <c r="F139" s="29" t="s">
        <v>36</v>
      </c>
      <c r="I139" s="37" t="s">
        <v>37</v>
      </c>
    </row>
    <row r="140" spans="1:9" x14ac:dyDescent="0.25">
      <c r="A140" s="29" t="s">
        <v>11</v>
      </c>
      <c r="B140" s="29" t="s">
        <v>88</v>
      </c>
      <c r="C140" s="29" t="s">
        <v>34</v>
      </c>
      <c r="D140" s="37" t="s">
        <v>3509</v>
      </c>
      <c r="E140" s="29" t="s">
        <v>694</v>
      </c>
      <c r="F140" s="29" t="s">
        <v>36</v>
      </c>
      <c r="I140" s="37" t="s">
        <v>37</v>
      </c>
    </row>
    <row r="141" spans="1:9" x14ac:dyDescent="0.25">
      <c r="A141" s="29" t="s">
        <v>11</v>
      </c>
      <c r="B141" s="29" t="s">
        <v>88</v>
      </c>
      <c r="C141" s="29" t="s">
        <v>34</v>
      </c>
      <c r="D141" s="37" t="s">
        <v>3510</v>
      </c>
      <c r="E141" s="29" t="s">
        <v>695</v>
      </c>
      <c r="F141" s="29" t="s">
        <v>36</v>
      </c>
      <c r="I141" s="37" t="s">
        <v>37</v>
      </c>
    </row>
    <row r="142" spans="1:9" x14ac:dyDescent="0.25">
      <c r="A142" s="29" t="s">
        <v>11</v>
      </c>
      <c r="B142" s="29" t="s">
        <v>88</v>
      </c>
      <c r="C142" s="29" t="s">
        <v>34</v>
      </c>
      <c r="D142" s="37" t="s">
        <v>3511</v>
      </c>
      <c r="E142" s="29" t="s">
        <v>696</v>
      </c>
      <c r="F142" s="29" t="s">
        <v>36</v>
      </c>
      <c r="I142" s="37" t="s">
        <v>37</v>
      </c>
    </row>
    <row r="143" spans="1:9" x14ac:dyDescent="0.25">
      <c r="A143" s="29" t="s">
        <v>11</v>
      </c>
      <c r="B143" s="29" t="s">
        <v>88</v>
      </c>
      <c r="C143" s="29" t="s">
        <v>34</v>
      </c>
      <c r="D143" s="37" t="s">
        <v>3512</v>
      </c>
      <c r="E143" s="29" t="s">
        <v>697</v>
      </c>
      <c r="F143" s="29" t="s">
        <v>36</v>
      </c>
      <c r="I143" s="37" t="s">
        <v>37</v>
      </c>
    </row>
    <row r="144" spans="1:9" x14ac:dyDescent="0.25">
      <c r="A144" s="29" t="s">
        <v>11</v>
      </c>
      <c r="B144" s="29" t="s">
        <v>88</v>
      </c>
      <c r="C144" s="29" t="s">
        <v>34</v>
      </c>
      <c r="D144" s="37" t="s">
        <v>3514</v>
      </c>
      <c r="E144" s="29" t="s">
        <v>692</v>
      </c>
      <c r="F144" s="29" t="s">
        <v>36</v>
      </c>
      <c r="I144" s="37" t="s">
        <v>37</v>
      </c>
    </row>
    <row r="145" spans="1:9" x14ac:dyDescent="0.25">
      <c r="A145" s="29" t="s">
        <v>11</v>
      </c>
      <c r="B145" s="29" t="s">
        <v>88</v>
      </c>
      <c r="C145" s="29" t="s">
        <v>34</v>
      </c>
      <c r="D145" s="37" t="s">
        <v>3515</v>
      </c>
      <c r="E145" s="29" t="s">
        <v>693</v>
      </c>
      <c r="F145" s="29" t="s">
        <v>36</v>
      </c>
      <c r="I145" s="37" t="s">
        <v>37</v>
      </c>
    </row>
    <row r="146" spans="1:9" x14ac:dyDescent="0.25">
      <c r="A146" s="29" t="s">
        <v>11</v>
      </c>
      <c r="B146" s="29" t="s">
        <v>88</v>
      </c>
      <c r="C146" s="29" t="s">
        <v>34</v>
      </c>
      <c r="D146" s="37" t="s">
        <v>3516</v>
      </c>
      <c r="E146" s="29" t="s">
        <v>698</v>
      </c>
      <c r="F146" s="29" t="s">
        <v>36</v>
      </c>
      <c r="G146" s="29">
        <v>125.09</v>
      </c>
      <c r="H146" s="71" t="s">
        <v>3452</v>
      </c>
      <c r="I146" s="37" t="str">
        <f>"https://www.dimensional.com.br/grampo-terra-duplo-cobre-1-cabo-16-70mm2-2-parafuso-m10-gtdu-ips-4-2-0awg-gtdu-intelli/p"</f>
        <v>https://www.dimensional.com.br/grampo-terra-duplo-cobre-1-cabo-16-70mm2-2-parafuso-m10-gtdu-ips-4-2-0awg-gtdu-intelli/p</v>
      </c>
    </row>
    <row r="147" spans="1:9" x14ac:dyDescent="0.25">
      <c r="A147" s="29" t="s">
        <v>11</v>
      </c>
      <c r="B147" s="29" t="s">
        <v>88</v>
      </c>
      <c r="C147" s="29" t="s">
        <v>34</v>
      </c>
      <c r="D147" s="37" t="s">
        <v>3517</v>
      </c>
      <c r="E147" s="29" t="s">
        <v>699</v>
      </c>
      <c r="F147" s="29" t="s">
        <v>36</v>
      </c>
      <c r="I147" s="37" t="s">
        <v>37</v>
      </c>
    </row>
    <row r="148" spans="1:9" x14ac:dyDescent="0.25">
      <c r="A148" s="29" t="s">
        <v>11</v>
      </c>
      <c r="B148" s="29" t="s">
        <v>88</v>
      </c>
      <c r="C148" s="29" t="s">
        <v>34</v>
      </c>
      <c r="D148" s="37" t="s">
        <v>3518</v>
      </c>
      <c r="E148" s="29" t="s">
        <v>700</v>
      </c>
      <c r="F148" s="29" t="s">
        <v>36</v>
      </c>
      <c r="I148" s="37" t="s">
        <v>37</v>
      </c>
    </row>
    <row r="149" spans="1:9" x14ac:dyDescent="0.25">
      <c r="A149" s="29" t="s">
        <v>11</v>
      </c>
      <c r="B149" s="29" t="s">
        <v>88</v>
      </c>
      <c r="C149" s="29" t="s">
        <v>34</v>
      </c>
      <c r="D149" s="37" t="s">
        <v>3519</v>
      </c>
      <c r="E149" s="29" t="s">
        <v>689</v>
      </c>
      <c r="F149" s="29" t="s">
        <v>36</v>
      </c>
      <c r="G149" s="29">
        <v>32.99</v>
      </c>
      <c r="H149" s="71" t="s">
        <v>3452</v>
      </c>
      <c r="I149" s="37" t="str">
        <f>"https://www.dimensional.com.br/grampo-terra-duplo-cu-4-8awg-5-8-3-4-gtdu3-8ips84-intelli/p"</f>
        <v>https://www.dimensional.com.br/grampo-terra-duplo-cu-4-8awg-5-8-3-4-gtdu3-8ips84-intelli/p</v>
      </c>
    </row>
    <row r="150" spans="1:9" x14ac:dyDescent="0.25">
      <c r="A150" s="29" t="s">
        <v>11</v>
      </c>
      <c r="B150" s="29" t="s">
        <v>88</v>
      </c>
      <c r="C150" s="29" t="s">
        <v>34</v>
      </c>
      <c r="D150" s="37" t="s">
        <v>3520</v>
      </c>
      <c r="E150" s="29" t="s">
        <v>690</v>
      </c>
      <c r="F150" s="29" t="s">
        <v>36</v>
      </c>
      <c r="G150" s="29">
        <v>32.39</v>
      </c>
      <c r="H150" s="71" t="s">
        <v>3452</v>
      </c>
      <c r="I150" s="37" t="str">
        <f>"https://www.dimensional.com.br/grampo-terra-duplo-cobre-25-a-70-mm2-acessorios-aco-zincado-gtdu38ips420-intelli/p"</f>
        <v>https://www.dimensional.com.br/grampo-terra-duplo-cobre-25-a-70-mm2-acessorios-aco-zincado-gtdu38ips420-intelli/p</v>
      </c>
    </row>
    <row r="151" spans="1:9" x14ac:dyDescent="0.25">
      <c r="A151" s="29" t="s">
        <v>11</v>
      </c>
      <c r="B151" s="29" t="s">
        <v>88</v>
      </c>
      <c r="C151" s="29" t="s">
        <v>34</v>
      </c>
      <c r="D151" s="37" t="s">
        <v>3513</v>
      </c>
      <c r="E151" s="29" t="s">
        <v>691</v>
      </c>
      <c r="F151" s="29" t="s">
        <v>36</v>
      </c>
      <c r="I151" s="37" t="s">
        <v>37</v>
      </c>
    </row>
    <row r="152" spans="1:9" x14ac:dyDescent="0.25">
      <c r="A152" s="29" t="s">
        <v>11</v>
      </c>
      <c r="B152" s="29" t="s">
        <v>88</v>
      </c>
      <c r="C152" s="29" t="s">
        <v>34</v>
      </c>
      <c r="D152" s="37" t="s">
        <v>3474</v>
      </c>
      <c r="E152" s="29" t="s">
        <v>3460</v>
      </c>
      <c r="F152" s="29" t="s">
        <v>36</v>
      </c>
      <c r="I152" s="37" t="s">
        <v>37</v>
      </c>
    </row>
    <row r="153" spans="1:9" x14ac:dyDescent="0.25">
      <c r="A153" s="29" t="s">
        <v>11</v>
      </c>
      <c r="B153" s="29" t="s">
        <v>88</v>
      </c>
      <c r="C153" s="29" t="s">
        <v>34</v>
      </c>
      <c r="D153" s="37" t="s">
        <v>3475</v>
      </c>
      <c r="E153" s="29" t="s">
        <v>3461</v>
      </c>
      <c r="F153" s="29" t="s">
        <v>36</v>
      </c>
      <c r="I153" s="37" t="s">
        <v>37</v>
      </c>
    </row>
    <row r="154" spans="1:9" x14ac:dyDescent="0.25">
      <c r="A154" s="29" t="s">
        <v>11</v>
      </c>
      <c r="B154" s="29" t="s">
        <v>88</v>
      </c>
      <c r="C154" s="29" t="s">
        <v>34</v>
      </c>
      <c r="D154" s="37" t="s">
        <v>3476</v>
      </c>
      <c r="E154" s="29" t="s">
        <v>3462</v>
      </c>
      <c r="F154" s="29" t="s">
        <v>36</v>
      </c>
      <c r="I154" s="37" t="s">
        <v>37</v>
      </c>
    </row>
    <row r="155" spans="1:9" x14ac:dyDescent="0.25">
      <c r="A155" s="29" t="s">
        <v>11</v>
      </c>
      <c r="B155" s="29" t="s">
        <v>88</v>
      </c>
      <c r="C155" s="29" t="s">
        <v>34</v>
      </c>
      <c r="D155" s="37" t="s">
        <v>3472</v>
      </c>
      <c r="E155" s="29" t="s">
        <v>3458</v>
      </c>
      <c r="F155" s="29" t="s">
        <v>36</v>
      </c>
      <c r="I155" s="37" t="s">
        <v>37</v>
      </c>
    </row>
    <row r="156" spans="1:9" x14ac:dyDescent="0.25">
      <c r="A156" s="29" t="s">
        <v>11</v>
      </c>
      <c r="B156" s="29" t="s">
        <v>88</v>
      </c>
      <c r="C156" s="29" t="s">
        <v>34</v>
      </c>
      <c r="D156" s="37" t="s">
        <v>3473</v>
      </c>
      <c r="E156" s="29" t="s">
        <v>3459</v>
      </c>
      <c r="F156" s="29" t="s">
        <v>36</v>
      </c>
      <c r="I156" s="37" t="s">
        <v>37</v>
      </c>
    </row>
    <row r="157" spans="1:9" x14ac:dyDescent="0.25">
      <c r="A157" s="29" t="s">
        <v>11</v>
      </c>
      <c r="B157" s="29" t="s">
        <v>88</v>
      </c>
      <c r="C157" s="29" t="s">
        <v>34</v>
      </c>
      <c r="D157" s="37" t="s">
        <v>3469</v>
      </c>
      <c r="E157" s="29" t="s">
        <v>3455</v>
      </c>
      <c r="F157" s="29" t="s">
        <v>36</v>
      </c>
      <c r="I157" s="37" t="s">
        <v>37</v>
      </c>
    </row>
    <row r="158" spans="1:9" x14ac:dyDescent="0.25">
      <c r="A158" s="29" t="s">
        <v>11</v>
      </c>
      <c r="B158" s="29" t="s">
        <v>88</v>
      </c>
      <c r="C158" s="29" t="s">
        <v>34</v>
      </c>
      <c r="D158" s="37" t="s">
        <v>3477</v>
      </c>
      <c r="E158" s="29" t="s">
        <v>3463</v>
      </c>
      <c r="F158" s="29" t="s">
        <v>36</v>
      </c>
      <c r="I158" s="37" t="s">
        <v>37</v>
      </c>
    </row>
    <row r="159" spans="1:9" x14ac:dyDescent="0.25">
      <c r="A159" s="29" t="s">
        <v>11</v>
      </c>
      <c r="B159" s="29" t="s">
        <v>88</v>
      </c>
      <c r="C159" s="29" t="s">
        <v>34</v>
      </c>
      <c r="D159" s="37" t="s">
        <v>3478</v>
      </c>
      <c r="E159" s="29" t="s">
        <v>3464</v>
      </c>
      <c r="F159" s="29" t="s">
        <v>36</v>
      </c>
      <c r="I159" s="37" t="s">
        <v>37</v>
      </c>
    </row>
    <row r="160" spans="1:9" x14ac:dyDescent="0.25">
      <c r="A160" s="29" t="s">
        <v>11</v>
      </c>
      <c r="B160" s="29" t="s">
        <v>88</v>
      </c>
      <c r="C160" s="29" t="s">
        <v>34</v>
      </c>
      <c r="D160" s="37" t="s">
        <v>3479</v>
      </c>
      <c r="E160" s="29" t="s">
        <v>3465</v>
      </c>
      <c r="F160" s="29" t="s">
        <v>36</v>
      </c>
      <c r="I160" s="37" t="s">
        <v>37</v>
      </c>
    </row>
    <row r="161" spans="1:9" x14ac:dyDescent="0.25">
      <c r="A161" s="29" t="s">
        <v>11</v>
      </c>
      <c r="B161" s="29" t="s">
        <v>88</v>
      </c>
      <c r="C161" s="29" t="s">
        <v>34</v>
      </c>
      <c r="D161" s="37" t="s">
        <v>3480</v>
      </c>
      <c r="E161" s="29" t="s">
        <v>3466</v>
      </c>
      <c r="F161" s="29" t="s">
        <v>36</v>
      </c>
      <c r="I161" s="37" t="s">
        <v>37</v>
      </c>
    </row>
    <row r="162" spans="1:9" x14ac:dyDescent="0.25">
      <c r="A162" s="29" t="s">
        <v>11</v>
      </c>
      <c r="B162" s="29" t="s">
        <v>88</v>
      </c>
      <c r="C162" s="29" t="s">
        <v>34</v>
      </c>
      <c r="D162" s="37" t="s">
        <v>3481</v>
      </c>
      <c r="E162" s="29" t="s">
        <v>3467</v>
      </c>
      <c r="F162" s="29" t="s">
        <v>36</v>
      </c>
      <c r="I162" s="37" t="s">
        <v>37</v>
      </c>
    </row>
    <row r="163" spans="1:9" x14ac:dyDescent="0.25">
      <c r="A163" s="29" t="s">
        <v>11</v>
      </c>
      <c r="B163" s="29" t="s">
        <v>88</v>
      </c>
      <c r="C163" s="29" t="s">
        <v>34</v>
      </c>
      <c r="D163" s="37" t="s">
        <v>3470</v>
      </c>
      <c r="E163" s="29" t="s">
        <v>3456</v>
      </c>
      <c r="F163" s="29" t="s">
        <v>36</v>
      </c>
      <c r="I163" s="37" t="s">
        <v>37</v>
      </c>
    </row>
    <row r="164" spans="1:9" x14ac:dyDescent="0.25">
      <c r="A164" s="29" t="s">
        <v>11</v>
      </c>
      <c r="B164" s="29" t="s">
        <v>88</v>
      </c>
      <c r="C164" s="29" t="s">
        <v>34</v>
      </c>
      <c r="D164" s="37" t="s">
        <v>3471</v>
      </c>
      <c r="E164" s="29" t="s">
        <v>3457</v>
      </c>
      <c r="F164" s="29" t="s">
        <v>36</v>
      </c>
      <c r="I164" s="37" t="s">
        <v>37</v>
      </c>
    </row>
    <row r="165" spans="1:9" x14ac:dyDescent="0.25">
      <c r="A165" s="29" t="s">
        <v>11</v>
      </c>
      <c r="B165" s="29" t="s">
        <v>88</v>
      </c>
      <c r="C165" s="29" t="s">
        <v>34</v>
      </c>
      <c r="D165" s="37" t="s">
        <v>3482</v>
      </c>
      <c r="E165" s="29" t="s">
        <v>3468</v>
      </c>
      <c r="F165" s="29" t="s">
        <v>36</v>
      </c>
      <c r="I165" s="37" t="s">
        <v>37</v>
      </c>
    </row>
    <row r="166" spans="1:9" x14ac:dyDescent="0.25">
      <c r="A166" s="29" t="s">
        <v>11</v>
      </c>
      <c r="B166" s="29" t="s">
        <v>88</v>
      </c>
      <c r="C166" s="29" t="s">
        <v>34</v>
      </c>
      <c r="D166" s="37" t="s">
        <v>3523</v>
      </c>
      <c r="E166" s="29" t="s">
        <v>3453</v>
      </c>
      <c r="F166" s="29" t="s">
        <v>36</v>
      </c>
      <c r="I166" s="37" t="s">
        <v>37</v>
      </c>
    </row>
    <row r="167" spans="1:9" x14ac:dyDescent="0.25">
      <c r="A167" s="29" t="s">
        <v>11</v>
      </c>
      <c r="B167" s="29" t="s">
        <v>88</v>
      </c>
      <c r="C167" s="29" t="s">
        <v>34</v>
      </c>
      <c r="D167" s="37" t="s">
        <v>3524</v>
      </c>
      <c r="E167" s="29" t="s">
        <v>3454</v>
      </c>
      <c r="F167" s="29" t="s">
        <v>36</v>
      </c>
      <c r="I167" s="37" t="s">
        <v>37</v>
      </c>
    </row>
    <row r="168" spans="1:9" x14ac:dyDescent="0.25">
      <c r="A168" s="29" t="s">
        <v>11</v>
      </c>
      <c r="B168" s="29" t="s">
        <v>88</v>
      </c>
      <c r="C168" s="29" t="s">
        <v>34</v>
      </c>
      <c r="D168" s="37" t="s">
        <v>3521</v>
      </c>
      <c r="E168" s="29" t="s">
        <v>3453</v>
      </c>
      <c r="F168" s="29" t="s">
        <v>36</v>
      </c>
      <c r="G168" s="29">
        <v>43.19</v>
      </c>
      <c r="H168" s="71" t="s">
        <v>3452</v>
      </c>
      <c r="I168" s="37" t="str">
        <f>"https://www.dimensional.com.br/grampo-terra-duplo-haste-tubo-cabo-bronze-4-a-2-0-awg-5-8-3-4-gtdu2c38ips420-intelli/p"</f>
        <v>https://www.dimensional.com.br/grampo-terra-duplo-haste-tubo-cabo-bronze-4-a-2-0-awg-5-8-3-4-gtdu2c38ips420-intelli/p</v>
      </c>
    </row>
    <row r="169" spans="1:9" x14ac:dyDescent="0.25">
      <c r="A169" s="29" t="s">
        <v>11</v>
      </c>
      <c r="B169" s="29" t="s">
        <v>88</v>
      </c>
      <c r="C169" s="29" t="s">
        <v>34</v>
      </c>
      <c r="D169" s="37" t="s">
        <v>3522</v>
      </c>
      <c r="E169" s="29" t="s">
        <v>3454</v>
      </c>
      <c r="F169" s="29" t="s">
        <v>36</v>
      </c>
      <c r="I169" s="37" t="s">
        <v>37</v>
      </c>
    </row>
    <row r="170" spans="1:9" x14ac:dyDescent="0.25">
      <c r="A170" s="29" t="s">
        <v>11</v>
      </c>
      <c r="B170" s="29" t="s">
        <v>88</v>
      </c>
      <c r="C170" s="29" t="s">
        <v>34</v>
      </c>
      <c r="D170" s="37" t="s">
        <v>3533</v>
      </c>
      <c r="E170" s="29" t="s">
        <v>3537</v>
      </c>
      <c r="F170" s="29" t="s">
        <v>36</v>
      </c>
      <c r="I170" s="37" t="s">
        <v>37</v>
      </c>
    </row>
    <row r="171" spans="1:9" x14ac:dyDescent="0.25">
      <c r="A171" s="29" t="s">
        <v>11</v>
      </c>
      <c r="B171" s="29" t="s">
        <v>88</v>
      </c>
      <c r="C171" s="29" t="s">
        <v>34</v>
      </c>
      <c r="D171" s="37" t="s">
        <v>3534</v>
      </c>
      <c r="E171" s="29" t="s">
        <v>3538</v>
      </c>
      <c r="F171" s="29" t="s">
        <v>36</v>
      </c>
      <c r="I171" s="37" t="s">
        <v>37</v>
      </c>
    </row>
    <row r="172" spans="1:9" x14ac:dyDescent="0.25">
      <c r="A172" s="29" t="s">
        <v>11</v>
      </c>
      <c r="B172" s="29" t="s">
        <v>88</v>
      </c>
      <c r="C172" s="29" t="s">
        <v>34</v>
      </c>
      <c r="D172" s="37" t="s">
        <v>3536</v>
      </c>
      <c r="E172" s="29" t="s">
        <v>3540</v>
      </c>
      <c r="F172" s="29" t="s">
        <v>36</v>
      </c>
      <c r="I172" s="37" t="s">
        <v>37</v>
      </c>
    </row>
    <row r="173" spans="1:9" x14ac:dyDescent="0.25">
      <c r="A173" s="29" t="s">
        <v>11</v>
      </c>
      <c r="B173" s="29" t="s">
        <v>88</v>
      </c>
      <c r="C173" s="29" t="s">
        <v>34</v>
      </c>
      <c r="D173" s="37" t="s">
        <v>3535</v>
      </c>
      <c r="E173" s="29" t="s">
        <v>3539</v>
      </c>
      <c r="F173" s="29" t="s">
        <v>36</v>
      </c>
      <c r="G173" s="29">
        <v>69.290000000000006</v>
      </c>
      <c r="H173" s="71" t="s">
        <v>3452</v>
      </c>
      <c r="I173" s="37" t="str">
        <f>"https://www.dimensional.com.br/grampo-terra-duplo-cu-70-120mm2-gtdb2-0250-intelli/p"</f>
        <v>https://www.dimensional.com.br/grampo-terra-duplo-cu-70-120mm2-gtdb2-0250-intelli/p</v>
      </c>
    </row>
    <row r="174" spans="1:9" x14ac:dyDescent="0.25">
      <c r="A174" s="29" t="s">
        <v>11</v>
      </c>
      <c r="B174" s="29" t="s">
        <v>88</v>
      </c>
      <c r="C174" s="29" t="s">
        <v>34</v>
      </c>
      <c r="D174" s="37" t="s">
        <v>3526</v>
      </c>
      <c r="E174" s="29" t="s">
        <v>3525</v>
      </c>
      <c r="F174" s="29" t="s">
        <v>36</v>
      </c>
      <c r="I174" s="37" t="s">
        <v>37</v>
      </c>
    </row>
    <row r="175" spans="1:9" x14ac:dyDescent="0.25">
      <c r="A175" s="29" t="s">
        <v>11</v>
      </c>
      <c r="B175" s="29" t="s">
        <v>88</v>
      </c>
      <c r="C175" s="29" t="s">
        <v>34</v>
      </c>
      <c r="D175" s="37" t="s">
        <v>3527</v>
      </c>
      <c r="E175" s="29" t="s">
        <v>3532</v>
      </c>
      <c r="F175" s="29" t="s">
        <v>36</v>
      </c>
      <c r="G175" s="29">
        <v>47.99</v>
      </c>
      <c r="H175" s="71" t="s">
        <v>3452</v>
      </c>
      <c r="I175" s="37" t="str">
        <f>"https://www.dimensional.com.br/grampo-terra-duplo-bz-4-2-0awg-5-8-3-4-gtdb2c42-0-intelli/p"</f>
        <v>https://www.dimensional.com.br/grampo-terra-duplo-bz-4-2-0awg-5-8-3-4-gtdb2c42-0-intelli/p</v>
      </c>
    </row>
    <row r="176" spans="1:9" x14ac:dyDescent="0.25">
      <c r="A176" s="29" t="s">
        <v>11</v>
      </c>
      <c r="B176" s="29" t="s">
        <v>88</v>
      </c>
      <c r="C176" s="29" t="s">
        <v>34</v>
      </c>
      <c r="D176" s="37" t="s">
        <v>3529</v>
      </c>
      <c r="E176" s="29" t="s">
        <v>3530</v>
      </c>
      <c r="F176" s="29" t="s">
        <v>36</v>
      </c>
      <c r="I176" s="37" t="s">
        <v>37</v>
      </c>
    </row>
    <row r="177" spans="1:9" x14ac:dyDescent="0.25">
      <c r="A177" s="29" t="s">
        <v>11</v>
      </c>
      <c r="B177" s="29" t="s">
        <v>88</v>
      </c>
      <c r="C177" s="29" t="s">
        <v>34</v>
      </c>
      <c r="D177" s="37" t="s">
        <v>3528</v>
      </c>
      <c r="E177" s="29" t="s">
        <v>3531</v>
      </c>
      <c r="F177" s="29" t="s">
        <v>36</v>
      </c>
      <c r="I177" s="37" t="s">
        <v>37</v>
      </c>
    </row>
    <row r="178" spans="1:9" x14ac:dyDescent="0.25">
      <c r="A178" s="29" t="s">
        <v>11</v>
      </c>
      <c r="B178" s="29" t="s">
        <v>88</v>
      </c>
      <c r="C178" s="29" t="s">
        <v>34</v>
      </c>
      <c r="D178" s="37" t="s">
        <v>3545</v>
      </c>
      <c r="E178" s="29" t="s">
        <v>3541</v>
      </c>
      <c r="F178" s="29" t="s">
        <v>36</v>
      </c>
      <c r="I178" s="37" t="s">
        <v>37</v>
      </c>
    </row>
    <row r="179" spans="1:9" x14ac:dyDescent="0.25">
      <c r="A179" s="29" t="s">
        <v>11</v>
      </c>
      <c r="B179" s="29" t="s">
        <v>88</v>
      </c>
      <c r="C179" s="29" t="s">
        <v>34</v>
      </c>
      <c r="D179" s="37" t="s">
        <v>3546</v>
      </c>
      <c r="E179" s="29" t="s">
        <v>3542</v>
      </c>
      <c r="F179" s="29" t="s">
        <v>36</v>
      </c>
      <c r="I179" s="37" t="s">
        <v>37</v>
      </c>
    </row>
    <row r="180" spans="1:9" x14ac:dyDescent="0.25">
      <c r="A180" s="29" t="s">
        <v>11</v>
      </c>
      <c r="B180" s="29" t="s">
        <v>88</v>
      </c>
      <c r="C180" s="29" t="s">
        <v>34</v>
      </c>
      <c r="D180" s="37" t="s">
        <v>3548</v>
      </c>
      <c r="E180" s="29" t="s">
        <v>3544</v>
      </c>
      <c r="F180" s="29" t="s">
        <v>36</v>
      </c>
      <c r="I180" s="37" t="s">
        <v>37</v>
      </c>
    </row>
    <row r="181" spans="1:9" x14ac:dyDescent="0.25">
      <c r="A181" s="29" t="s">
        <v>11</v>
      </c>
      <c r="B181" s="29" t="s">
        <v>88</v>
      </c>
      <c r="C181" s="29" t="s">
        <v>34</v>
      </c>
      <c r="D181" s="37" t="s">
        <v>3547</v>
      </c>
      <c r="E181" s="29" t="s">
        <v>3543</v>
      </c>
      <c r="F181" s="29" t="s">
        <v>36</v>
      </c>
      <c r="G181" s="29">
        <v>40.97</v>
      </c>
      <c r="H181" s="71" t="s">
        <v>3452</v>
      </c>
      <c r="I181" s="37" t="str">
        <f>"https://www.dimensional.com.br/grampo-terra-simples-bz-70-120mm2-gtsb-2-0-250-intelli/p"</f>
        <v>https://www.dimensional.com.br/grampo-terra-simples-bz-70-120mm2-gtsb-2-0-250-intelli/p</v>
      </c>
    </row>
    <row r="182" spans="1:9" x14ac:dyDescent="0.25">
      <c r="A182" s="29" t="s">
        <v>11</v>
      </c>
      <c r="B182" s="29" t="s">
        <v>88</v>
      </c>
      <c r="C182" s="29" t="s">
        <v>34</v>
      </c>
      <c r="D182" s="37" t="s">
        <v>3554</v>
      </c>
      <c r="E182" s="29" t="s">
        <v>3549</v>
      </c>
      <c r="F182" s="29" t="s">
        <v>36</v>
      </c>
      <c r="I182" s="37" t="s">
        <v>37</v>
      </c>
    </row>
    <row r="183" spans="1:9" x14ac:dyDescent="0.25">
      <c r="A183" s="29" t="s">
        <v>11</v>
      </c>
      <c r="B183" s="29" t="s">
        <v>88</v>
      </c>
      <c r="C183" s="29" t="s">
        <v>34</v>
      </c>
      <c r="D183" s="37" t="s">
        <v>3553</v>
      </c>
      <c r="E183" s="29" t="s">
        <v>3550</v>
      </c>
      <c r="F183" s="29" t="s">
        <v>36</v>
      </c>
      <c r="G183" s="29">
        <v>23.39</v>
      </c>
      <c r="H183" s="71" t="s">
        <v>3452</v>
      </c>
      <c r="I183" s="37" t="str">
        <f>"https://www.dimensional.com.br/grampo-terra-simples-bz-2cabos-4-2-0awg-gtsb2c4-2-0-intelli/p"</f>
        <v>https://www.dimensional.com.br/grampo-terra-simples-bz-2cabos-4-2-0awg-gtsb2c4-2-0-intelli/p</v>
      </c>
    </row>
    <row r="184" spans="1:9" x14ac:dyDescent="0.25">
      <c r="A184" s="29" t="s">
        <v>11</v>
      </c>
      <c r="B184" s="29" t="s">
        <v>88</v>
      </c>
      <c r="C184" s="29" t="s">
        <v>34</v>
      </c>
      <c r="D184" s="37" t="s">
        <v>3552</v>
      </c>
      <c r="E184" s="29" t="s">
        <v>3551</v>
      </c>
      <c r="F184" s="29" t="s">
        <v>36</v>
      </c>
      <c r="I184" s="37" t="s">
        <v>37</v>
      </c>
    </row>
    <row r="185" spans="1:9" x14ac:dyDescent="0.25">
      <c r="A185" s="29" t="s">
        <v>11</v>
      </c>
      <c r="B185" s="29" t="s">
        <v>87</v>
      </c>
      <c r="C185" s="29" t="s">
        <v>34</v>
      </c>
      <c r="D185" s="37" t="s">
        <v>675</v>
      </c>
      <c r="E185" s="29" t="s">
        <v>667</v>
      </c>
      <c r="F185" s="29" t="s">
        <v>36</v>
      </c>
      <c r="G185" s="29">
        <v>97.19</v>
      </c>
      <c r="H185" s="71" t="s">
        <v>734</v>
      </c>
      <c r="I185" s="37" t="str">
        <f>"https://www.dimensional.com.br/haste-aterramento-ponta-lisa-1-2-x-2400mm-a-cam-ih-81-intelli/p"</f>
        <v>https://www.dimensional.com.br/haste-aterramento-ponta-lisa-1-2-x-2400mm-a-cam-ih-81-intelli/p</v>
      </c>
    </row>
    <row r="186" spans="1:9" x14ac:dyDescent="0.25">
      <c r="A186" s="29" t="s">
        <v>11</v>
      </c>
      <c r="B186" s="29" t="s">
        <v>87</v>
      </c>
      <c r="C186" s="29" t="s">
        <v>34</v>
      </c>
      <c r="D186" s="37" t="s">
        <v>669</v>
      </c>
      <c r="E186" s="29" t="s">
        <v>661</v>
      </c>
      <c r="F186" s="29" t="s">
        <v>36</v>
      </c>
      <c r="I186" s="37" t="s">
        <v>37</v>
      </c>
    </row>
    <row r="187" spans="1:9" x14ac:dyDescent="0.25">
      <c r="A187" s="29" t="s">
        <v>11</v>
      </c>
      <c r="B187" s="29" t="s">
        <v>87</v>
      </c>
      <c r="C187" s="29" t="s">
        <v>34</v>
      </c>
      <c r="D187" s="37" t="s">
        <v>673</v>
      </c>
      <c r="E187" s="29" t="s">
        <v>665</v>
      </c>
      <c r="F187" s="29" t="s">
        <v>36</v>
      </c>
      <c r="G187" s="29">
        <v>156.59</v>
      </c>
      <c r="H187" s="71" t="s">
        <v>738</v>
      </c>
      <c r="I187" s="37" t="str">
        <f>"https://www.dimensional.com.br/haste-aterramento-ponta-lisa-3-4-2400-mm-baixa-camada-ih834-intelli-/p"</f>
        <v>https://www.dimensional.com.br/haste-aterramento-ponta-lisa-3-4-2400-mm-baixa-camada-ih834-intelli-/p</v>
      </c>
    </row>
    <row r="188" spans="1:9" x14ac:dyDescent="0.25">
      <c r="A188" s="29" t="s">
        <v>11</v>
      </c>
      <c r="B188" s="29" t="s">
        <v>87</v>
      </c>
      <c r="C188" s="29" t="s">
        <v>34</v>
      </c>
      <c r="D188" s="37" t="s">
        <v>671</v>
      </c>
      <c r="E188" s="29" t="s">
        <v>663</v>
      </c>
      <c r="F188" s="29" t="s">
        <v>36</v>
      </c>
      <c r="G188" s="29">
        <v>139.99</v>
      </c>
      <c r="H188" s="71" t="s">
        <v>734</v>
      </c>
      <c r="I188" s="37" t="str">
        <f>"https://www.dimensional.com.br/haste-aterramento-ponta-lisa-5-8-2438-mm-alta-camada-ih858ac-intelli/p"</f>
        <v>https://www.dimensional.com.br/haste-aterramento-ponta-lisa-5-8-2438-mm-alta-camada-ih858ac-intelli/p</v>
      </c>
    </row>
    <row r="189" spans="1:9" x14ac:dyDescent="0.25">
      <c r="A189" s="29" t="s">
        <v>11</v>
      </c>
      <c r="B189" s="29" t="s">
        <v>87</v>
      </c>
      <c r="C189" s="29" t="s">
        <v>34</v>
      </c>
      <c r="D189" s="37" t="s">
        <v>676</v>
      </c>
      <c r="E189" s="29" t="s">
        <v>668</v>
      </c>
      <c r="F189" s="29" t="s">
        <v>36</v>
      </c>
      <c r="I189" s="37" t="s">
        <v>37</v>
      </c>
    </row>
    <row r="190" spans="1:9" x14ac:dyDescent="0.25">
      <c r="A190" s="29" t="s">
        <v>11</v>
      </c>
      <c r="B190" s="29" t="s">
        <v>87</v>
      </c>
      <c r="C190" s="29" t="s">
        <v>34</v>
      </c>
      <c r="D190" s="37" t="s">
        <v>670</v>
      </c>
      <c r="E190" s="29" t="s">
        <v>662</v>
      </c>
      <c r="F190" s="29" t="s">
        <v>36</v>
      </c>
      <c r="G190" s="29">
        <v>127.79</v>
      </c>
      <c r="H190" s="71" t="s">
        <v>734</v>
      </c>
      <c r="I190" s="37" t="str">
        <f>"https://www.dimensional.com.br/haste-aterramento-ponta-lisa-1-2-x-3000mm-a-cam-ih1012-intelli/p"</f>
        <v>https://www.dimensional.com.br/haste-aterramento-ponta-lisa-1-2-x-3000mm-a-cam-ih1012-intelli/p</v>
      </c>
    </row>
    <row r="191" spans="1:9" x14ac:dyDescent="0.25">
      <c r="A191" s="29" t="s">
        <v>11</v>
      </c>
      <c r="B191" s="29" t="s">
        <v>87</v>
      </c>
      <c r="C191" s="29" t="s">
        <v>34</v>
      </c>
      <c r="D191" s="37" t="s">
        <v>674</v>
      </c>
      <c r="E191" s="29" t="s">
        <v>666</v>
      </c>
      <c r="F191" s="29" t="s">
        <v>36</v>
      </c>
      <c r="G191" s="29">
        <v>184.99</v>
      </c>
      <c r="H191" s="71" t="s">
        <v>734</v>
      </c>
      <c r="I191" s="37" t="str">
        <f>"https://www.dimensional.com.br/haste-aterramento-chanfrada-3-4-3000-mm-alta-camada-ih1034-intelli/p; https://www.jardimferramentas.com/product/haste-aterramento-chanfrada-3-4-3000-mm-alta-camada-ih1034-intelli/"</f>
        <v>https://www.dimensional.com.br/haste-aterramento-chanfrada-3-4-3000-mm-alta-camada-ih1034-intelli/p; https://www.jardimferramentas.com/product/haste-aterramento-chanfrada-3-4-3000-mm-alta-camada-ih1034-intelli/</v>
      </c>
    </row>
    <row r="192" spans="1:9" x14ac:dyDescent="0.25">
      <c r="A192" s="29" t="s">
        <v>11</v>
      </c>
      <c r="B192" s="29" t="s">
        <v>87</v>
      </c>
      <c r="C192" s="29" t="s">
        <v>34</v>
      </c>
      <c r="D192" s="37" t="s">
        <v>672</v>
      </c>
      <c r="E192" s="29" t="s">
        <v>664</v>
      </c>
      <c r="F192" s="29" t="s">
        <v>36</v>
      </c>
      <c r="G192" s="29">
        <v>137.69</v>
      </c>
      <c r="H192" s="71" t="s">
        <v>734</v>
      </c>
      <c r="I192" s="37" t="str">
        <f>"https://www.dimensional.com.br/haste-aterramento-ponta-lisa-5-8-3000-mm-alta-camada-ih1058-intelli/p"</f>
        <v>https://www.dimensional.com.br/haste-aterramento-ponta-lisa-5-8-3000-mm-alta-camada-ih1058-intelli/p</v>
      </c>
    </row>
    <row r="193" spans="1:9" x14ac:dyDescent="0.25">
      <c r="A193" s="29" t="s">
        <v>11</v>
      </c>
      <c r="B193" s="29" t="s">
        <v>87</v>
      </c>
      <c r="C193" s="29">
        <v>3378</v>
      </c>
      <c r="D193" s="37" t="s">
        <v>3050</v>
      </c>
      <c r="E193" s="29" t="s">
        <v>37</v>
      </c>
      <c r="F193" s="29" t="s">
        <v>36</v>
      </c>
      <c r="G193" s="29">
        <v>95.35</v>
      </c>
      <c r="H193" s="71" t="s">
        <v>38</v>
      </c>
      <c r="I193" s="37" t="s">
        <v>207</v>
      </c>
    </row>
    <row r="194" spans="1:9" x14ac:dyDescent="0.25">
      <c r="A194" s="29" t="s">
        <v>11</v>
      </c>
      <c r="B194" s="29" t="s">
        <v>87</v>
      </c>
      <c r="C194" s="29">
        <v>3380</v>
      </c>
      <c r="D194" s="37" t="s">
        <v>3051</v>
      </c>
      <c r="E194" s="29" t="s">
        <v>37</v>
      </c>
      <c r="F194" s="29" t="s">
        <v>36</v>
      </c>
      <c r="G194" s="29">
        <v>66.75</v>
      </c>
      <c r="H194" s="71" t="s">
        <v>38</v>
      </c>
      <c r="I194" s="37" t="s">
        <v>207</v>
      </c>
    </row>
    <row r="195" spans="1:9" x14ac:dyDescent="0.25">
      <c r="A195" s="29" t="s">
        <v>11</v>
      </c>
      <c r="B195" s="29" t="s">
        <v>87</v>
      </c>
      <c r="C195" s="29">
        <v>3379</v>
      </c>
      <c r="D195" s="37" t="s">
        <v>3052</v>
      </c>
      <c r="E195" s="29" t="s">
        <v>37</v>
      </c>
      <c r="F195" s="29" t="s">
        <v>36</v>
      </c>
      <c r="G195" s="29">
        <v>64.44</v>
      </c>
      <c r="H195" s="71" t="s">
        <v>38</v>
      </c>
      <c r="I195" s="37" t="s">
        <v>207</v>
      </c>
    </row>
    <row r="196" spans="1:9" x14ac:dyDescent="0.25">
      <c r="A196" s="29" t="s">
        <v>11</v>
      </c>
      <c r="B196" s="29" t="s">
        <v>87</v>
      </c>
      <c r="C196" s="29">
        <v>11991</v>
      </c>
      <c r="D196" s="37" t="s">
        <v>3053</v>
      </c>
      <c r="E196" s="29" t="s">
        <v>37</v>
      </c>
      <c r="F196" s="29" t="s">
        <v>36</v>
      </c>
      <c r="G196" s="29">
        <v>74.819999999999993</v>
      </c>
      <c r="H196" s="71" t="s">
        <v>38</v>
      </c>
      <c r="I196" s="37" t="s">
        <v>207</v>
      </c>
    </row>
    <row r="197" spans="1:9" x14ac:dyDescent="0.25">
      <c r="A197" s="29" t="s">
        <v>11</v>
      </c>
      <c r="B197" s="29" t="s">
        <v>87</v>
      </c>
      <c r="C197" s="29" t="s">
        <v>34</v>
      </c>
      <c r="D197" s="37" t="s">
        <v>685</v>
      </c>
      <c r="E197" s="29" t="s">
        <v>681</v>
      </c>
      <c r="F197" s="29" t="s">
        <v>36</v>
      </c>
      <c r="I197" s="37" t="s">
        <v>37</v>
      </c>
    </row>
    <row r="198" spans="1:9" x14ac:dyDescent="0.25">
      <c r="A198" s="29" t="s">
        <v>11</v>
      </c>
      <c r="B198" s="29" t="s">
        <v>87</v>
      </c>
      <c r="C198" s="29" t="s">
        <v>34</v>
      </c>
      <c r="D198" s="37" t="s">
        <v>687</v>
      </c>
      <c r="E198" s="29" t="s">
        <v>679</v>
      </c>
      <c r="F198" s="29" t="s">
        <v>36</v>
      </c>
      <c r="G198" s="29">
        <v>161.09</v>
      </c>
      <c r="H198" s="71" t="s">
        <v>738</v>
      </c>
      <c r="I198" s="37" t="str">
        <f>"https://www.dimensional.com.br/haste-aterramento-ponta-rosc-3-4-x-2400mm-a-cam-ihp834-intelli/p"</f>
        <v>https://www.dimensional.com.br/haste-aterramento-ponta-rosc-3-4-x-2400mm-a-cam-ihp834-intelli/p</v>
      </c>
    </row>
    <row r="199" spans="1:9" x14ac:dyDescent="0.25">
      <c r="A199" s="29" t="s">
        <v>11</v>
      </c>
      <c r="B199" s="29" t="s">
        <v>87</v>
      </c>
      <c r="C199" s="29" t="s">
        <v>34</v>
      </c>
      <c r="D199" s="37" t="s">
        <v>683</v>
      </c>
      <c r="E199" s="29" t="s">
        <v>677</v>
      </c>
      <c r="F199" s="29" t="s">
        <v>36</v>
      </c>
      <c r="G199" s="29">
        <v>116.99</v>
      </c>
      <c r="H199" s="71" t="s">
        <v>734</v>
      </c>
      <c r="I199" s="37" t="str">
        <f>"https://www.dimensional.com.br/haste-aterramento-ponta-rosc-5-8-x-2400mm-a-cam-ihp858-intelli/p"</f>
        <v>https://www.dimensional.com.br/haste-aterramento-ponta-rosc-5-8-x-2400mm-a-cam-ihp858-intelli/p</v>
      </c>
    </row>
    <row r="200" spans="1:9" x14ac:dyDescent="0.25">
      <c r="A200" s="29" t="s">
        <v>11</v>
      </c>
      <c r="B200" s="29" t="s">
        <v>87</v>
      </c>
      <c r="C200" s="29" t="s">
        <v>34</v>
      </c>
      <c r="D200" s="37" t="s">
        <v>686</v>
      </c>
      <c r="E200" s="29" t="s">
        <v>682</v>
      </c>
      <c r="F200" s="29" t="s">
        <v>36</v>
      </c>
      <c r="I200" s="37" t="s">
        <v>37</v>
      </c>
    </row>
    <row r="201" spans="1:9" x14ac:dyDescent="0.25">
      <c r="A201" s="29" t="s">
        <v>11</v>
      </c>
      <c r="B201" s="29" t="s">
        <v>87</v>
      </c>
      <c r="C201" s="29" t="s">
        <v>34</v>
      </c>
      <c r="D201" s="37" t="s">
        <v>688</v>
      </c>
      <c r="E201" s="29" t="s">
        <v>680</v>
      </c>
      <c r="F201" s="29" t="s">
        <v>36</v>
      </c>
      <c r="G201" s="29">
        <v>199.79</v>
      </c>
      <c r="H201" s="71" t="s">
        <v>738</v>
      </c>
      <c r="I201" s="37" t="str">
        <f>"https://www.dimensional.com.br/haste-aterramento-ponta-rosc-3-4-x-3000mm-a-cam-ihp1034-intelli/p"</f>
        <v>https://www.dimensional.com.br/haste-aterramento-ponta-rosc-3-4-x-3000mm-a-cam-ihp1034-intelli/p</v>
      </c>
    </row>
    <row r="202" spans="1:9" x14ac:dyDescent="0.25">
      <c r="A202" s="29" t="s">
        <v>11</v>
      </c>
      <c r="B202" s="29" t="s">
        <v>87</v>
      </c>
      <c r="C202" s="29" t="s">
        <v>34</v>
      </c>
      <c r="D202" s="37" t="s">
        <v>684</v>
      </c>
      <c r="E202" s="29" t="s">
        <v>678</v>
      </c>
      <c r="F202" s="29" t="s">
        <v>36</v>
      </c>
      <c r="G202" s="29">
        <v>145.79</v>
      </c>
      <c r="H202" s="71" t="s">
        <v>738</v>
      </c>
      <c r="I202" s="37" t="str">
        <f>"https://www.dimensional.com.br/haste-aterramento-ponta-rosc-5-8-x-3000mm-a-cam-ihp1058-intelli/p"</f>
        <v>https://www.dimensional.com.br/haste-aterramento-ponta-rosc-5-8-x-3000mm-a-cam-ihp1058-intelli/p</v>
      </c>
    </row>
    <row r="203" spans="1:9" x14ac:dyDescent="0.25">
      <c r="A203" s="29" t="s">
        <v>11</v>
      </c>
      <c r="B203" s="29" t="s">
        <v>87</v>
      </c>
      <c r="C203" s="29" t="s">
        <v>34</v>
      </c>
      <c r="D203" s="37" t="s">
        <v>1471</v>
      </c>
      <c r="E203" s="29" t="s">
        <v>731</v>
      </c>
      <c r="F203" s="29" t="s">
        <v>36</v>
      </c>
      <c r="I203" s="37" t="s">
        <v>37</v>
      </c>
    </row>
    <row r="204" spans="1:9" x14ac:dyDescent="0.25">
      <c r="A204" s="29" t="s">
        <v>11</v>
      </c>
      <c r="B204" s="29" t="s">
        <v>87</v>
      </c>
      <c r="C204" s="29" t="s">
        <v>34</v>
      </c>
      <c r="D204" s="37" t="s">
        <v>1472</v>
      </c>
      <c r="E204" s="29" t="s">
        <v>730</v>
      </c>
      <c r="F204" s="29" t="s">
        <v>36</v>
      </c>
      <c r="G204" s="29">
        <v>35.090000000000003</v>
      </c>
      <c r="H204" s="71" t="s">
        <v>738</v>
      </c>
      <c r="I204" s="37" t="str">
        <f>"https://www.dimensional.com.br/luva-emenda-haste-cu-unc-3-4-leh34r-intelli/p"</f>
        <v>https://www.dimensional.com.br/luva-emenda-haste-cu-unc-3-4-leh34r-intelli/p</v>
      </c>
    </row>
    <row r="205" spans="1:9" x14ac:dyDescent="0.25">
      <c r="A205" s="29" t="s">
        <v>11</v>
      </c>
      <c r="B205" s="29" t="s">
        <v>87</v>
      </c>
      <c r="C205" s="29" t="s">
        <v>34</v>
      </c>
      <c r="D205" s="37" t="s">
        <v>1473</v>
      </c>
      <c r="E205" s="29" t="s">
        <v>729</v>
      </c>
      <c r="F205" s="29" t="s">
        <v>36</v>
      </c>
      <c r="G205" s="29">
        <v>31.94</v>
      </c>
      <c r="H205" s="71" t="s">
        <v>738</v>
      </c>
      <c r="I205" s="37" t="str">
        <f>"https://www.dimensional.com.br/luva-emenda-haste-aterramento-cobre-unificada-grossa-unc-/p; https://www.jardimferramentas.com/product/luva-emenda-haste-aterramento-cobre-unificada-grossa-unc-leh58r-intelli/"</f>
        <v>https://www.dimensional.com.br/luva-emenda-haste-aterramento-cobre-unificada-grossa-unc-/p; https://www.jardimferramentas.com/product/luva-emenda-haste-aterramento-cobre-unificada-grossa-unc-leh58r-intelli/</v>
      </c>
    </row>
    <row r="206" spans="1:9" x14ac:dyDescent="0.25">
      <c r="A206" s="29" t="s">
        <v>12</v>
      </c>
      <c r="B206" s="29" t="s">
        <v>39</v>
      </c>
      <c r="C206" s="29" t="s">
        <v>34</v>
      </c>
      <c r="D206" s="37" t="s">
        <v>836</v>
      </c>
      <c r="E206" s="29" t="s">
        <v>798</v>
      </c>
      <c r="F206" s="29" t="s">
        <v>36</v>
      </c>
      <c r="G206" s="29">
        <v>3.1</v>
      </c>
      <c r="H206" s="71" t="s">
        <v>800</v>
      </c>
      <c r="I206" s="37" t="str">
        <f t="shared" ref="I206:I220" si="0">"https://www.infraeletrocalhas.com.br/fixacao.asp?produto=abracadeira-tirante-chumbador-arrruela-porca-parafuso"</f>
        <v>https://www.infraeletrocalhas.com.br/fixacao.asp?produto=abracadeira-tirante-chumbador-arrruela-porca-parafuso</v>
      </c>
    </row>
    <row r="207" spans="1:9" x14ac:dyDescent="0.25">
      <c r="A207" s="29" t="s">
        <v>12</v>
      </c>
      <c r="B207" s="29" t="s">
        <v>39</v>
      </c>
      <c r="C207" s="29" t="s">
        <v>34</v>
      </c>
      <c r="D207" s="37" t="s">
        <v>837</v>
      </c>
      <c r="E207" s="29" t="s">
        <v>798</v>
      </c>
      <c r="F207" s="29" t="s">
        <v>36</v>
      </c>
      <c r="G207" s="29">
        <v>3.9</v>
      </c>
      <c r="H207" s="71" t="s">
        <v>800</v>
      </c>
      <c r="I207" s="37" t="str">
        <f t="shared" si="0"/>
        <v>https://www.infraeletrocalhas.com.br/fixacao.asp?produto=abracadeira-tirante-chumbador-arrruela-porca-parafuso</v>
      </c>
    </row>
    <row r="208" spans="1:9" x14ac:dyDescent="0.25">
      <c r="A208" s="29" t="s">
        <v>12</v>
      </c>
      <c r="B208" s="29" t="s">
        <v>39</v>
      </c>
      <c r="C208" s="29" t="s">
        <v>34</v>
      </c>
      <c r="D208" s="37" t="s">
        <v>838</v>
      </c>
      <c r="E208" s="29" t="s">
        <v>798</v>
      </c>
      <c r="F208" s="29" t="s">
        <v>36</v>
      </c>
      <c r="G208" s="29">
        <v>3.5</v>
      </c>
      <c r="H208" s="71" t="s">
        <v>800</v>
      </c>
      <c r="I208" s="37" t="str">
        <f t="shared" si="0"/>
        <v>https://www.infraeletrocalhas.com.br/fixacao.asp?produto=abracadeira-tirante-chumbador-arrruela-porca-parafuso</v>
      </c>
    </row>
    <row r="209" spans="1:9" x14ac:dyDescent="0.25">
      <c r="A209" s="29" t="s">
        <v>12</v>
      </c>
      <c r="B209" s="29" t="s">
        <v>39</v>
      </c>
      <c r="C209" s="29" t="s">
        <v>34</v>
      </c>
      <c r="D209" s="37" t="s">
        <v>839</v>
      </c>
      <c r="E209" s="29" t="s">
        <v>798</v>
      </c>
      <c r="F209" s="29" t="s">
        <v>36</v>
      </c>
      <c r="G209" s="29">
        <v>2.9</v>
      </c>
      <c r="H209" s="71" t="s">
        <v>800</v>
      </c>
      <c r="I209" s="37" t="str">
        <f t="shared" si="0"/>
        <v>https://www.infraeletrocalhas.com.br/fixacao.asp?produto=abracadeira-tirante-chumbador-arrruela-porca-parafuso</v>
      </c>
    </row>
    <row r="210" spans="1:9" x14ac:dyDescent="0.25">
      <c r="A210" s="29" t="s">
        <v>12</v>
      </c>
      <c r="B210" s="29" t="s">
        <v>39</v>
      </c>
      <c r="C210" s="29" t="s">
        <v>34</v>
      </c>
      <c r="D210" s="37" t="s">
        <v>840</v>
      </c>
      <c r="E210" s="29" t="s">
        <v>798</v>
      </c>
      <c r="F210" s="29" t="s">
        <v>36</v>
      </c>
      <c r="G210" s="29">
        <v>4.5</v>
      </c>
      <c r="H210" s="71" t="s">
        <v>800</v>
      </c>
      <c r="I210" s="37" t="str">
        <f t="shared" si="0"/>
        <v>https://www.infraeletrocalhas.com.br/fixacao.asp?produto=abracadeira-tirante-chumbador-arrruela-porca-parafuso</v>
      </c>
    </row>
    <row r="211" spans="1:9" x14ac:dyDescent="0.25">
      <c r="A211" s="29" t="s">
        <v>12</v>
      </c>
      <c r="B211" s="29" t="s">
        <v>39</v>
      </c>
      <c r="C211" s="29" t="s">
        <v>34</v>
      </c>
      <c r="D211" s="37" t="s">
        <v>841</v>
      </c>
      <c r="E211" s="29" t="s">
        <v>798</v>
      </c>
      <c r="F211" s="29" t="s">
        <v>36</v>
      </c>
      <c r="G211" s="29">
        <v>5.3</v>
      </c>
      <c r="H211" s="71" t="s">
        <v>800</v>
      </c>
      <c r="I211" s="37" t="str">
        <f t="shared" si="0"/>
        <v>https://www.infraeletrocalhas.com.br/fixacao.asp?produto=abracadeira-tirante-chumbador-arrruela-porca-parafuso</v>
      </c>
    </row>
    <row r="212" spans="1:9" x14ac:dyDescent="0.25">
      <c r="A212" s="29" t="s">
        <v>12</v>
      </c>
      <c r="B212" s="29" t="s">
        <v>39</v>
      </c>
      <c r="C212" s="29" t="s">
        <v>34</v>
      </c>
      <c r="D212" s="37" t="s">
        <v>842</v>
      </c>
      <c r="E212" s="29" t="s">
        <v>798</v>
      </c>
      <c r="F212" s="29" t="s">
        <v>36</v>
      </c>
      <c r="G212" s="29">
        <v>3</v>
      </c>
      <c r="H212" s="71" t="s">
        <v>800</v>
      </c>
      <c r="I212" s="37" t="str">
        <f t="shared" si="0"/>
        <v>https://www.infraeletrocalhas.com.br/fixacao.asp?produto=abracadeira-tirante-chumbador-arrruela-porca-parafuso</v>
      </c>
    </row>
    <row r="213" spans="1:9" x14ac:dyDescent="0.25">
      <c r="A213" s="29" t="s">
        <v>12</v>
      </c>
      <c r="B213" s="29" t="s">
        <v>39</v>
      </c>
      <c r="C213" s="29" t="s">
        <v>34</v>
      </c>
      <c r="D213" s="37" t="s">
        <v>843</v>
      </c>
      <c r="E213" s="29" t="s">
        <v>798</v>
      </c>
      <c r="F213" s="29" t="s">
        <v>36</v>
      </c>
      <c r="G213" s="29">
        <v>2</v>
      </c>
      <c r="H213" s="71" t="s">
        <v>800</v>
      </c>
      <c r="I213" s="37" t="str">
        <f t="shared" si="0"/>
        <v>https://www.infraeletrocalhas.com.br/fixacao.asp?produto=abracadeira-tirante-chumbador-arrruela-porca-parafuso</v>
      </c>
    </row>
    <row r="214" spans="1:9" x14ac:dyDescent="0.25">
      <c r="A214" s="29" t="s">
        <v>12</v>
      </c>
      <c r="B214" s="29" t="s">
        <v>39</v>
      </c>
      <c r="C214" s="29" t="s">
        <v>34</v>
      </c>
      <c r="D214" s="37" t="s">
        <v>844</v>
      </c>
      <c r="E214" s="29" t="s">
        <v>798</v>
      </c>
      <c r="F214" s="29" t="s">
        <v>36</v>
      </c>
      <c r="G214" s="29">
        <v>4.25</v>
      </c>
      <c r="H214" s="71" t="s">
        <v>800</v>
      </c>
      <c r="I214" s="37" t="str">
        <f t="shared" si="0"/>
        <v>https://www.infraeletrocalhas.com.br/fixacao.asp?produto=abracadeira-tirante-chumbador-arrruela-porca-parafuso</v>
      </c>
    </row>
    <row r="215" spans="1:9" x14ac:dyDescent="0.25">
      <c r="A215" s="29" t="s">
        <v>12</v>
      </c>
      <c r="B215" s="29" t="s">
        <v>39</v>
      </c>
      <c r="C215" s="29" t="s">
        <v>34</v>
      </c>
      <c r="D215" s="37" t="s">
        <v>845</v>
      </c>
      <c r="E215" s="29" t="s">
        <v>798</v>
      </c>
      <c r="F215" s="29" t="s">
        <v>36</v>
      </c>
      <c r="G215" s="29">
        <v>2.5</v>
      </c>
      <c r="H215" s="71" t="s">
        <v>800</v>
      </c>
      <c r="I215" s="37" t="str">
        <f t="shared" si="0"/>
        <v>https://www.infraeletrocalhas.com.br/fixacao.asp?produto=abracadeira-tirante-chumbador-arrruela-porca-parafuso</v>
      </c>
    </row>
    <row r="216" spans="1:9" x14ac:dyDescent="0.25">
      <c r="A216" s="29" t="s">
        <v>12</v>
      </c>
      <c r="B216" s="29" t="s">
        <v>39</v>
      </c>
      <c r="C216" s="29" t="s">
        <v>34</v>
      </c>
      <c r="D216" s="37" t="s">
        <v>846</v>
      </c>
      <c r="E216" s="29" t="s">
        <v>798</v>
      </c>
      <c r="F216" s="29" t="s">
        <v>36</v>
      </c>
      <c r="G216" s="29">
        <v>1.2</v>
      </c>
      <c r="H216" s="71" t="s">
        <v>800</v>
      </c>
      <c r="I216" s="37" t="str">
        <f t="shared" si="0"/>
        <v>https://www.infraeletrocalhas.com.br/fixacao.asp?produto=abracadeira-tirante-chumbador-arrruela-porca-parafuso</v>
      </c>
    </row>
    <row r="217" spans="1:9" x14ac:dyDescent="0.25">
      <c r="A217" s="29" t="s">
        <v>12</v>
      </c>
      <c r="B217" s="29" t="s">
        <v>39</v>
      </c>
      <c r="C217" s="29" t="s">
        <v>34</v>
      </c>
      <c r="D217" s="37" t="s">
        <v>847</v>
      </c>
      <c r="E217" s="29" t="s">
        <v>798</v>
      </c>
      <c r="F217" s="29" t="s">
        <v>36</v>
      </c>
      <c r="G217" s="29">
        <v>4.3</v>
      </c>
      <c r="H217" s="71" t="s">
        <v>800</v>
      </c>
      <c r="I217" s="37" t="str">
        <f t="shared" si="0"/>
        <v>https://www.infraeletrocalhas.com.br/fixacao.asp?produto=abracadeira-tirante-chumbador-arrruela-porca-parafuso</v>
      </c>
    </row>
    <row r="218" spans="1:9" x14ac:dyDescent="0.25">
      <c r="A218" s="29" t="s">
        <v>12</v>
      </c>
      <c r="B218" s="29" t="s">
        <v>39</v>
      </c>
      <c r="C218" s="29" t="s">
        <v>34</v>
      </c>
      <c r="D218" s="37" t="s">
        <v>848</v>
      </c>
      <c r="E218" s="29" t="s">
        <v>798</v>
      </c>
      <c r="F218" s="29" t="s">
        <v>36</v>
      </c>
      <c r="G218" s="29">
        <v>4.5999999999999996</v>
      </c>
      <c r="H218" s="71" t="s">
        <v>800</v>
      </c>
      <c r="I218" s="37" t="str">
        <f t="shared" si="0"/>
        <v>https://www.infraeletrocalhas.com.br/fixacao.asp?produto=abracadeira-tirante-chumbador-arrruela-porca-parafuso</v>
      </c>
    </row>
    <row r="219" spans="1:9" x14ac:dyDescent="0.25">
      <c r="A219" s="29" t="s">
        <v>12</v>
      </c>
      <c r="B219" s="29" t="s">
        <v>39</v>
      </c>
      <c r="C219" s="29" t="s">
        <v>34</v>
      </c>
      <c r="D219" s="37" t="s">
        <v>849</v>
      </c>
      <c r="E219" s="29" t="s">
        <v>798</v>
      </c>
      <c r="F219" s="29" t="s">
        <v>36</v>
      </c>
      <c r="G219" s="29">
        <v>1.8</v>
      </c>
      <c r="H219" s="71" t="s">
        <v>800</v>
      </c>
      <c r="I219" s="37" t="str">
        <f t="shared" si="0"/>
        <v>https://www.infraeletrocalhas.com.br/fixacao.asp?produto=abracadeira-tirante-chumbador-arrruela-porca-parafuso</v>
      </c>
    </row>
    <row r="220" spans="1:9" x14ac:dyDescent="0.25">
      <c r="A220" s="29" t="s">
        <v>12</v>
      </c>
      <c r="B220" s="29" t="s">
        <v>39</v>
      </c>
      <c r="C220" s="29" t="s">
        <v>34</v>
      </c>
      <c r="D220" s="37" t="s">
        <v>850</v>
      </c>
      <c r="E220" s="29" t="s">
        <v>798</v>
      </c>
      <c r="F220" s="29" t="s">
        <v>36</v>
      </c>
      <c r="G220" s="29">
        <v>5.2</v>
      </c>
      <c r="H220" s="71" t="s">
        <v>800</v>
      </c>
      <c r="I220" s="37" t="str">
        <f t="shared" si="0"/>
        <v>https://www.infraeletrocalhas.com.br/fixacao.asp?produto=abracadeira-tirante-chumbador-arrruela-porca-parafuso</v>
      </c>
    </row>
    <row r="221" spans="1:9" x14ac:dyDescent="0.25">
      <c r="A221" s="29" t="s">
        <v>12</v>
      </c>
      <c r="B221" s="29" t="s">
        <v>39</v>
      </c>
      <c r="C221" s="29">
        <v>39131</v>
      </c>
      <c r="D221" s="37" t="s">
        <v>2076</v>
      </c>
      <c r="E221" s="29" t="s">
        <v>37</v>
      </c>
      <c r="F221" s="29" t="s">
        <v>36</v>
      </c>
      <c r="G221" s="29">
        <v>2.12</v>
      </c>
      <c r="H221" s="71" t="s">
        <v>38</v>
      </c>
      <c r="I221" s="37" t="s">
        <v>207</v>
      </c>
    </row>
    <row r="222" spans="1:9" x14ac:dyDescent="0.25">
      <c r="A222" s="29" t="s">
        <v>12</v>
      </c>
      <c r="B222" s="29" t="s">
        <v>39</v>
      </c>
      <c r="C222" s="29">
        <v>394</v>
      </c>
      <c r="D222" s="37" t="s">
        <v>2077</v>
      </c>
      <c r="E222" s="29" t="s">
        <v>37</v>
      </c>
      <c r="F222" s="29" t="s">
        <v>36</v>
      </c>
      <c r="G222" s="29">
        <v>2.15</v>
      </c>
      <c r="H222" s="71" t="s">
        <v>38</v>
      </c>
      <c r="I222" s="37" t="s">
        <v>207</v>
      </c>
    </row>
    <row r="223" spans="1:9" x14ac:dyDescent="0.25">
      <c r="A223" s="29" t="s">
        <v>12</v>
      </c>
      <c r="B223" s="29" t="s">
        <v>39</v>
      </c>
      <c r="C223" s="29">
        <v>39130</v>
      </c>
      <c r="D223" s="37" t="s">
        <v>2078</v>
      </c>
      <c r="E223" s="29" t="s">
        <v>37</v>
      </c>
      <c r="F223" s="29" t="s">
        <v>36</v>
      </c>
      <c r="G223" s="29">
        <v>1.94</v>
      </c>
      <c r="H223" s="71" t="s">
        <v>38</v>
      </c>
      <c r="I223" s="37" t="s">
        <v>207</v>
      </c>
    </row>
    <row r="224" spans="1:9" x14ac:dyDescent="0.25">
      <c r="A224" s="29" t="s">
        <v>12</v>
      </c>
      <c r="B224" s="29" t="s">
        <v>39</v>
      </c>
      <c r="C224" s="29">
        <v>395</v>
      </c>
      <c r="D224" s="37" t="s">
        <v>2079</v>
      </c>
      <c r="E224" s="29" t="s">
        <v>37</v>
      </c>
      <c r="F224" s="29" t="s">
        <v>36</v>
      </c>
      <c r="G224" s="29">
        <v>2.0699999999999998</v>
      </c>
      <c r="H224" s="71" t="s">
        <v>38</v>
      </c>
      <c r="I224" s="37" t="s">
        <v>207</v>
      </c>
    </row>
    <row r="225" spans="1:9" x14ac:dyDescent="0.25">
      <c r="A225" s="29" t="s">
        <v>12</v>
      </c>
      <c r="B225" s="29" t="s">
        <v>39</v>
      </c>
      <c r="C225" s="29">
        <v>39129</v>
      </c>
      <c r="D225" s="37" t="s">
        <v>2080</v>
      </c>
      <c r="E225" s="29" t="s">
        <v>37</v>
      </c>
      <c r="F225" s="29" t="s">
        <v>36</v>
      </c>
      <c r="G225" s="29">
        <v>1.19</v>
      </c>
      <c r="H225" s="71" t="s">
        <v>38</v>
      </c>
      <c r="I225" s="37" t="s">
        <v>207</v>
      </c>
    </row>
    <row r="226" spans="1:9" x14ac:dyDescent="0.25">
      <c r="A226" s="29" t="s">
        <v>12</v>
      </c>
      <c r="B226" s="29" t="s">
        <v>39</v>
      </c>
      <c r="C226" s="29">
        <v>393</v>
      </c>
      <c r="D226" s="37" t="s">
        <v>2081</v>
      </c>
      <c r="E226" s="29" t="s">
        <v>37</v>
      </c>
      <c r="F226" s="29" t="s">
        <v>36</v>
      </c>
      <c r="G226" s="29">
        <v>1.25</v>
      </c>
      <c r="H226" s="71" t="s">
        <v>38</v>
      </c>
      <c r="I226" s="37" t="s">
        <v>207</v>
      </c>
    </row>
    <row r="227" spans="1:9" x14ac:dyDescent="0.25">
      <c r="A227" s="29" t="s">
        <v>12</v>
      </c>
      <c r="B227" s="29" t="s">
        <v>39</v>
      </c>
      <c r="C227" s="29">
        <v>39127</v>
      </c>
      <c r="D227" s="37" t="s">
        <v>2082</v>
      </c>
      <c r="E227" s="29" t="s">
        <v>37</v>
      </c>
      <c r="F227" s="29" t="s">
        <v>36</v>
      </c>
      <c r="G227" s="29">
        <v>1.02</v>
      </c>
      <c r="H227" s="71" t="s">
        <v>38</v>
      </c>
      <c r="I227" s="37" t="s">
        <v>207</v>
      </c>
    </row>
    <row r="228" spans="1:9" x14ac:dyDescent="0.25">
      <c r="A228" s="29" t="s">
        <v>12</v>
      </c>
      <c r="B228" s="29" t="s">
        <v>39</v>
      </c>
      <c r="C228" s="29">
        <v>392</v>
      </c>
      <c r="D228" s="37" t="s">
        <v>2083</v>
      </c>
      <c r="E228" s="29" t="s">
        <v>37</v>
      </c>
      <c r="F228" s="29" t="s">
        <v>36</v>
      </c>
      <c r="G228" s="29">
        <v>1.05</v>
      </c>
      <c r="H228" s="71" t="s">
        <v>38</v>
      </c>
      <c r="I228" s="37" t="s">
        <v>207</v>
      </c>
    </row>
    <row r="229" spans="1:9" x14ac:dyDescent="0.25">
      <c r="A229" s="29" t="s">
        <v>12</v>
      </c>
      <c r="B229" s="29" t="s">
        <v>39</v>
      </c>
      <c r="C229" s="29">
        <v>39133</v>
      </c>
      <c r="D229" s="37" t="s">
        <v>2084</v>
      </c>
      <c r="E229" s="29" t="s">
        <v>37</v>
      </c>
      <c r="F229" s="29" t="s">
        <v>36</v>
      </c>
      <c r="G229" s="29">
        <v>2.79</v>
      </c>
      <c r="H229" s="71" t="s">
        <v>38</v>
      </c>
      <c r="I229" s="37" t="s">
        <v>207</v>
      </c>
    </row>
    <row r="230" spans="1:9" x14ac:dyDescent="0.25">
      <c r="A230" s="29" t="s">
        <v>12</v>
      </c>
      <c r="B230" s="29" t="s">
        <v>39</v>
      </c>
      <c r="C230" s="29">
        <v>397</v>
      </c>
      <c r="D230" s="37" t="s">
        <v>2085</v>
      </c>
      <c r="E230" s="29" t="s">
        <v>37</v>
      </c>
      <c r="F230" s="29" t="s">
        <v>36</v>
      </c>
      <c r="G230" s="29">
        <v>3.08</v>
      </c>
      <c r="H230" s="71" t="s">
        <v>38</v>
      </c>
      <c r="I230" s="37" t="s">
        <v>207</v>
      </c>
    </row>
    <row r="231" spans="1:9" x14ac:dyDescent="0.25">
      <c r="A231" s="29" t="s">
        <v>12</v>
      </c>
      <c r="B231" s="29" t="s">
        <v>39</v>
      </c>
      <c r="C231" s="29">
        <v>39132</v>
      </c>
      <c r="D231" s="37" t="s">
        <v>2086</v>
      </c>
      <c r="E231" s="29" t="s">
        <v>37</v>
      </c>
      <c r="F231" s="29" t="s">
        <v>36</v>
      </c>
      <c r="G231" s="29">
        <v>2.23</v>
      </c>
      <c r="H231" s="71" t="s">
        <v>38</v>
      </c>
      <c r="I231" s="37" t="s">
        <v>207</v>
      </c>
    </row>
    <row r="232" spans="1:9" x14ac:dyDescent="0.25">
      <c r="A232" s="29" t="s">
        <v>12</v>
      </c>
      <c r="B232" s="29" t="s">
        <v>39</v>
      </c>
      <c r="C232" s="29">
        <v>396</v>
      </c>
      <c r="D232" s="37" t="s">
        <v>2087</v>
      </c>
      <c r="E232" s="29" t="s">
        <v>37</v>
      </c>
      <c r="F232" s="29" t="s">
        <v>36</v>
      </c>
      <c r="G232" s="29">
        <v>2.39</v>
      </c>
      <c r="H232" s="71" t="s">
        <v>38</v>
      </c>
      <c r="I232" s="37" t="s">
        <v>207</v>
      </c>
    </row>
    <row r="233" spans="1:9" x14ac:dyDescent="0.25">
      <c r="A233" s="29" t="s">
        <v>12</v>
      </c>
      <c r="B233" s="29" t="s">
        <v>39</v>
      </c>
      <c r="C233" s="29">
        <v>39135</v>
      </c>
      <c r="D233" s="37" t="s">
        <v>2088</v>
      </c>
      <c r="E233" s="29" t="s">
        <v>37</v>
      </c>
      <c r="F233" s="29" t="s">
        <v>36</v>
      </c>
      <c r="G233" s="29">
        <v>4.46</v>
      </c>
      <c r="H233" s="71" t="s">
        <v>38</v>
      </c>
      <c r="I233" s="37" t="s">
        <v>207</v>
      </c>
    </row>
    <row r="234" spans="1:9" x14ac:dyDescent="0.25">
      <c r="A234" s="29" t="s">
        <v>12</v>
      </c>
      <c r="B234" s="29" t="s">
        <v>39</v>
      </c>
      <c r="C234" s="29">
        <v>39134</v>
      </c>
      <c r="D234" s="37" t="s">
        <v>2089</v>
      </c>
      <c r="E234" s="29" t="s">
        <v>37</v>
      </c>
      <c r="F234" s="29" t="s">
        <v>36</v>
      </c>
      <c r="G234" s="29">
        <v>3.72</v>
      </c>
      <c r="H234" s="71" t="s">
        <v>38</v>
      </c>
      <c r="I234" s="37" t="s">
        <v>207</v>
      </c>
    </row>
    <row r="235" spans="1:9" x14ac:dyDescent="0.25">
      <c r="A235" s="29" t="s">
        <v>12</v>
      </c>
      <c r="B235" s="29" t="s">
        <v>39</v>
      </c>
      <c r="C235" s="29">
        <v>398</v>
      </c>
      <c r="D235" s="37" t="s">
        <v>2090</v>
      </c>
      <c r="E235" s="29" t="s">
        <v>37</v>
      </c>
      <c r="F235" s="29" t="s">
        <v>36</v>
      </c>
      <c r="G235" s="29">
        <v>3.43</v>
      </c>
      <c r="H235" s="71" t="s">
        <v>38</v>
      </c>
      <c r="I235" s="37" t="s">
        <v>207</v>
      </c>
    </row>
    <row r="236" spans="1:9" x14ac:dyDescent="0.25">
      <c r="A236" s="29" t="s">
        <v>12</v>
      </c>
      <c r="B236" s="29" t="s">
        <v>39</v>
      </c>
      <c r="C236" s="29">
        <v>39128</v>
      </c>
      <c r="D236" s="37" t="s">
        <v>2091</v>
      </c>
      <c r="E236" s="29" t="s">
        <v>37</v>
      </c>
      <c r="F236" s="29" t="s">
        <v>36</v>
      </c>
      <c r="G236" s="29">
        <v>1.1100000000000001</v>
      </c>
      <c r="H236" s="71" t="s">
        <v>38</v>
      </c>
      <c r="I236" s="37" t="s">
        <v>207</v>
      </c>
    </row>
    <row r="237" spans="1:9" x14ac:dyDescent="0.25">
      <c r="A237" s="29" t="s">
        <v>12</v>
      </c>
      <c r="B237" s="29" t="s">
        <v>39</v>
      </c>
      <c r="C237" s="29">
        <v>400</v>
      </c>
      <c r="D237" s="37" t="s">
        <v>2092</v>
      </c>
      <c r="E237" s="29" t="s">
        <v>37</v>
      </c>
      <c r="F237" s="29" t="s">
        <v>36</v>
      </c>
      <c r="G237" s="29">
        <v>1.0900000000000001</v>
      </c>
      <c r="H237" s="71" t="s">
        <v>38</v>
      </c>
      <c r="I237" s="37" t="s">
        <v>207</v>
      </c>
    </row>
    <row r="238" spans="1:9" x14ac:dyDescent="0.25">
      <c r="A238" s="29" t="s">
        <v>12</v>
      </c>
      <c r="B238" s="29" t="s">
        <v>39</v>
      </c>
      <c r="C238" s="29">
        <v>39125</v>
      </c>
      <c r="D238" s="37" t="s">
        <v>2093</v>
      </c>
      <c r="E238" s="29" t="s">
        <v>37</v>
      </c>
      <c r="F238" s="29" t="s">
        <v>36</v>
      </c>
      <c r="G238" s="29">
        <v>1.1100000000000001</v>
      </c>
      <c r="H238" s="71" t="s">
        <v>38</v>
      </c>
      <c r="I238" s="37" t="s">
        <v>207</v>
      </c>
    </row>
    <row r="239" spans="1:9" x14ac:dyDescent="0.25">
      <c r="A239" s="29" t="s">
        <v>12</v>
      </c>
      <c r="B239" s="29" t="s">
        <v>39</v>
      </c>
      <c r="C239" s="29">
        <v>39126</v>
      </c>
      <c r="D239" s="37" t="s">
        <v>2094</v>
      </c>
      <c r="E239" s="29" t="s">
        <v>37</v>
      </c>
      <c r="F239" s="29" t="s">
        <v>36</v>
      </c>
      <c r="G239" s="29">
        <v>5.0199999999999996</v>
      </c>
      <c r="H239" s="71" t="s">
        <v>38</v>
      </c>
      <c r="I239" s="37" t="s">
        <v>207</v>
      </c>
    </row>
    <row r="240" spans="1:9" x14ac:dyDescent="0.25">
      <c r="A240" s="29" t="s">
        <v>12</v>
      </c>
      <c r="B240" s="29" t="s">
        <v>39</v>
      </c>
      <c r="C240" s="29">
        <v>399</v>
      </c>
      <c r="D240" s="37" t="s">
        <v>2095</v>
      </c>
      <c r="E240" s="29" t="s">
        <v>37</v>
      </c>
      <c r="F240" s="29" t="s">
        <v>36</v>
      </c>
      <c r="G240" s="29">
        <v>4.42</v>
      </c>
      <c r="H240" s="71" t="s">
        <v>38</v>
      </c>
      <c r="I240" s="37" t="s">
        <v>207</v>
      </c>
    </row>
    <row r="241" spans="1:9" x14ac:dyDescent="0.25">
      <c r="A241" s="29" t="s">
        <v>12</v>
      </c>
      <c r="B241" s="29" t="s">
        <v>39</v>
      </c>
      <c r="C241" s="29">
        <v>39158</v>
      </c>
      <c r="D241" s="37" t="s">
        <v>1831</v>
      </c>
      <c r="E241" s="29" t="s">
        <v>37</v>
      </c>
      <c r="F241" s="29" t="s">
        <v>36</v>
      </c>
      <c r="G241" s="29">
        <v>11.88</v>
      </c>
      <c r="H241" s="71" t="s">
        <v>38</v>
      </c>
      <c r="I241" s="37" t="s">
        <v>207</v>
      </c>
    </row>
    <row r="242" spans="1:9" x14ac:dyDescent="0.25">
      <c r="A242" s="29" t="s">
        <v>12</v>
      </c>
      <c r="B242" s="29" t="s">
        <v>39</v>
      </c>
      <c r="C242" s="29">
        <v>39141</v>
      </c>
      <c r="D242" s="37" t="s">
        <v>1832</v>
      </c>
      <c r="E242" s="29" t="s">
        <v>37</v>
      </c>
      <c r="F242" s="29" t="s">
        <v>36</v>
      </c>
      <c r="G242" s="29">
        <v>0.86</v>
      </c>
      <c r="H242" s="71" t="s">
        <v>38</v>
      </c>
      <c r="I242" s="37" t="s">
        <v>207</v>
      </c>
    </row>
    <row r="243" spans="1:9" x14ac:dyDescent="0.25">
      <c r="A243" s="29" t="s">
        <v>12</v>
      </c>
      <c r="B243" s="29" t="s">
        <v>39</v>
      </c>
      <c r="C243" s="29">
        <v>39140</v>
      </c>
      <c r="D243" s="37" t="s">
        <v>1833</v>
      </c>
      <c r="E243" s="29" t="s">
        <v>37</v>
      </c>
      <c r="F243" s="29" t="s">
        <v>36</v>
      </c>
      <c r="G243" s="29">
        <v>0.78</v>
      </c>
      <c r="H243" s="71" t="s">
        <v>38</v>
      </c>
      <c r="I243" s="37" t="s">
        <v>207</v>
      </c>
    </row>
    <row r="244" spans="1:9" x14ac:dyDescent="0.25">
      <c r="A244" s="29" t="s">
        <v>12</v>
      </c>
      <c r="B244" s="29" t="s">
        <v>39</v>
      </c>
      <c r="C244" s="29">
        <v>39139</v>
      </c>
      <c r="D244" s="37" t="s">
        <v>1834</v>
      </c>
      <c r="E244" s="29" t="s">
        <v>37</v>
      </c>
      <c r="F244" s="29" t="s">
        <v>36</v>
      </c>
      <c r="G244" s="29">
        <v>0.65</v>
      </c>
      <c r="H244" s="71" t="s">
        <v>38</v>
      </c>
      <c r="I244" s="37" t="s">
        <v>207</v>
      </c>
    </row>
    <row r="245" spans="1:9" x14ac:dyDescent="0.25">
      <c r="A245" s="29" t="s">
        <v>12</v>
      </c>
      <c r="B245" s="29" t="s">
        <v>39</v>
      </c>
      <c r="C245" s="29">
        <v>39137</v>
      </c>
      <c r="D245" s="37" t="s">
        <v>1835</v>
      </c>
      <c r="E245" s="29" t="s">
        <v>37</v>
      </c>
      <c r="F245" s="29" t="s">
        <v>36</v>
      </c>
      <c r="G245" s="29">
        <v>0.45</v>
      </c>
      <c r="H245" s="71" t="s">
        <v>38</v>
      </c>
      <c r="I245" s="37" t="s">
        <v>207</v>
      </c>
    </row>
    <row r="246" spans="1:9" x14ac:dyDescent="0.25">
      <c r="A246" s="29" t="s">
        <v>12</v>
      </c>
      <c r="B246" s="29" t="s">
        <v>39</v>
      </c>
      <c r="C246" s="29">
        <v>39143</v>
      </c>
      <c r="D246" s="37" t="s">
        <v>1836</v>
      </c>
      <c r="E246" s="29" t="s">
        <v>37</v>
      </c>
      <c r="F246" s="29" t="s">
        <v>36</v>
      </c>
      <c r="G246" s="29">
        <v>1.78</v>
      </c>
      <c r="H246" s="71" t="s">
        <v>38</v>
      </c>
      <c r="I246" s="37" t="s">
        <v>207</v>
      </c>
    </row>
    <row r="247" spans="1:9" x14ac:dyDescent="0.25">
      <c r="A247" s="29" t="s">
        <v>12</v>
      </c>
      <c r="B247" s="29" t="s">
        <v>39</v>
      </c>
      <c r="C247" s="29">
        <v>39142</v>
      </c>
      <c r="D247" s="37" t="s">
        <v>1837</v>
      </c>
      <c r="E247" s="29" t="s">
        <v>37</v>
      </c>
      <c r="F247" s="29" t="s">
        <v>36</v>
      </c>
      <c r="G247" s="29">
        <v>1.27</v>
      </c>
      <c r="H247" s="71" t="s">
        <v>38</v>
      </c>
      <c r="I247" s="37" t="s">
        <v>207</v>
      </c>
    </row>
    <row r="248" spans="1:9" x14ac:dyDescent="0.25">
      <c r="A248" s="29" t="s">
        <v>12</v>
      </c>
      <c r="B248" s="29" t="s">
        <v>39</v>
      </c>
      <c r="C248" s="29">
        <v>39144</v>
      </c>
      <c r="D248" s="37" t="s">
        <v>1838</v>
      </c>
      <c r="E248" s="29" t="s">
        <v>37</v>
      </c>
      <c r="F248" s="29" t="s">
        <v>36</v>
      </c>
      <c r="G248" s="29">
        <v>2.0699999999999998</v>
      </c>
      <c r="H248" s="71" t="s">
        <v>38</v>
      </c>
      <c r="I248" s="37" t="s">
        <v>207</v>
      </c>
    </row>
    <row r="249" spans="1:9" x14ac:dyDescent="0.25">
      <c r="A249" s="29" t="s">
        <v>12</v>
      </c>
      <c r="B249" s="29" t="s">
        <v>39</v>
      </c>
      <c r="C249" s="29">
        <v>39138</v>
      </c>
      <c r="D249" s="37" t="s">
        <v>1839</v>
      </c>
      <c r="E249" s="29" t="s">
        <v>37</v>
      </c>
      <c r="F249" s="29" t="s">
        <v>36</v>
      </c>
      <c r="G249" s="29">
        <v>0.47</v>
      </c>
      <c r="H249" s="71" t="s">
        <v>38</v>
      </c>
      <c r="I249" s="37" t="s">
        <v>207</v>
      </c>
    </row>
    <row r="250" spans="1:9" x14ac:dyDescent="0.25">
      <c r="A250" s="29" t="s">
        <v>12</v>
      </c>
      <c r="B250" s="29" t="s">
        <v>39</v>
      </c>
      <c r="C250" s="29">
        <v>39136</v>
      </c>
      <c r="D250" s="37" t="s">
        <v>1840</v>
      </c>
      <c r="E250" s="29" t="s">
        <v>37</v>
      </c>
      <c r="F250" s="29" t="s">
        <v>36</v>
      </c>
      <c r="G250" s="29">
        <v>0.31</v>
      </c>
      <c r="H250" s="71" t="s">
        <v>38</v>
      </c>
      <c r="I250" s="37" t="s">
        <v>207</v>
      </c>
    </row>
    <row r="251" spans="1:9" x14ac:dyDescent="0.25">
      <c r="A251" s="29" t="s">
        <v>12</v>
      </c>
      <c r="B251" s="29" t="s">
        <v>39</v>
      </c>
      <c r="C251" s="29">
        <v>39145</v>
      </c>
      <c r="D251" s="37" t="s">
        <v>1841</v>
      </c>
      <c r="E251" s="29" t="s">
        <v>37</v>
      </c>
      <c r="F251" s="29" t="s">
        <v>36</v>
      </c>
      <c r="G251" s="29">
        <v>3.41</v>
      </c>
      <c r="H251" s="71" t="s">
        <v>38</v>
      </c>
      <c r="I251" s="37" t="s">
        <v>207</v>
      </c>
    </row>
    <row r="252" spans="1:9" x14ac:dyDescent="0.25">
      <c r="A252" s="29" t="s">
        <v>12</v>
      </c>
      <c r="B252" s="29" t="s">
        <v>39</v>
      </c>
      <c r="C252" s="29" t="s">
        <v>34</v>
      </c>
      <c r="D252" s="37" t="s">
        <v>851</v>
      </c>
      <c r="E252" s="29" t="s">
        <v>798</v>
      </c>
      <c r="F252" s="29" t="s">
        <v>36</v>
      </c>
      <c r="G252" s="29">
        <v>2.25</v>
      </c>
      <c r="H252" s="71" t="s">
        <v>800</v>
      </c>
      <c r="I252" s="37" t="str">
        <f t="shared" ref="I252:I265" si="1">"https://www.infraeletrocalhas.com.br/fixacao.asp?produto=abracadeira-tirante-chumbador-arrruela-porca-parafuso"</f>
        <v>https://www.infraeletrocalhas.com.br/fixacao.asp?produto=abracadeira-tirante-chumbador-arrruela-porca-parafuso</v>
      </c>
    </row>
    <row r="253" spans="1:9" x14ac:dyDescent="0.25">
      <c r="A253" s="29" t="s">
        <v>12</v>
      </c>
      <c r="B253" s="29" t="s">
        <v>39</v>
      </c>
      <c r="C253" s="29" t="s">
        <v>34</v>
      </c>
      <c r="D253" s="37" t="s">
        <v>852</v>
      </c>
      <c r="E253" s="29" t="s">
        <v>798</v>
      </c>
      <c r="F253" s="29" t="s">
        <v>36</v>
      </c>
      <c r="G253" s="29">
        <v>4.05</v>
      </c>
      <c r="H253" s="71" t="s">
        <v>800</v>
      </c>
      <c r="I253" s="37" t="str">
        <f t="shared" si="1"/>
        <v>https://www.infraeletrocalhas.com.br/fixacao.asp?produto=abracadeira-tirante-chumbador-arrruela-porca-parafuso</v>
      </c>
    </row>
    <row r="254" spans="1:9" x14ac:dyDescent="0.25">
      <c r="A254" s="29" t="s">
        <v>12</v>
      </c>
      <c r="B254" s="29" t="s">
        <v>39</v>
      </c>
      <c r="C254" s="29" t="s">
        <v>34</v>
      </c>
      <c r="D254" s="37" t="s">
        <v>853</v>
      </c>
      <c r="E254" s="29" t="s">
        <v>798</v>
      </c>
      <c r="F254" s="29" t="s">
        <v>36</v>
      </c>
      <c r="G254" s="29">
        <v>3.5</v>
      </c>
      <c r="H254" s="71" t="s">
        <v>800</v>
      </c>
      <c r="I254" s="37" t="str">
        <f t="shared" si="1"/>
        <v>https://www.infraeletrocalhas.com.br/fixacao.asp?produto=abracadeira-tirante-chumbador-arrruela-porca-parafuso</v>
      </c>
    </row>
    <row r="255" spans="1:9" x14ac:dyDescent="0.25">
      <c r="A255" s="29" t="s">
        <v>12</v>
      </c>
      <c r="B255" s="29" t="s">
        <v>39</v>
      </c>
      <c r="C255" s="29" t="s">
        <v>34</v>
      </c>
      <c r="D255" s="37" t="s">
        <v>854</v>
      </c>
      <c r="E255" s="29" t="s">
        <v>798</v>
      </c>
      <c r="F255" s="29" t="s">
        <v>36</v>
      </c>
      <c r="G255" s="29">
        <v>2</v>
      </c>
      <c r="H255" s="71" t="s">
        <v>800</v>
      </c>
      <c r="I255" s="37" t="str">
        <f t="shared" si="1"/>
        <v>https://www.infraeletrocalhas.com.br/fixacao.asp?produto=abracadeira-tirante-chumbador-arrruela-porca-parafuso</v>
      </c>
    </row>
    <row r="256" spans="1:9" x14ac:dyDescent="0.25">
      <c r="A256" s="29" t="s">
        <v>12</v>
      </c>
      <c r="B256" s="29" t="s">
        <v>39</v>
      </c>
      <c r="C256" s="29" t="s">
        <v>34</v>
      </c>
      <c r="D256" s="37" t="s">
        <v>855</v>
      </c>
      <c r="E256" s="29" t="s">
        <v>798</v>
      </c>
      <c r="F256" s="29" t="s">
        <v>36</v>
      </c>
      <c r="G256" s="29">
        <v>5</v>
      </c>
      <c r="H256" s="71" t="s">
        <v>800</v>
      </c>
      <c r="I256" s="37" t="str">
        <f t="shared" si="1"/>
        <v>https://www.infraeletrocalhas.com.br/fixacao.asp?produto=abracadeira-tirante-chumbador-arrruela-porca-parafuso</v>
      </c>
    </row>
    <row r="257" spans="1:9" x14ac:dyDescent="0.25">
      <c r="A257" s="29" t="s">
        <v>12</v>
      </c>
      <c r="B257" s="29" t="s">
        <v>39</v>
      </c>
      <c r="C257" s="29" t="s">
        <v>34</v>
      </c>
      <c r="D257" s="37" t="s">
        <v>856</v>
      </c>
      <c r="E257" s="29" t="s">
        <v>798</v>
      </c>
      <c r="F257" s="29" t="s">
        <v>36</v>
      </c>
      <c r="G257" s="29">
        <v>5.6</v>
      </c>
      <c r="H257" s="71" t="s">
        <v>800</v>
      </c>
      <c r="I257" s="37" t="str">
        <f t="shared" si="1"/>
        <v>https://www.infraeletrocalhas.com.br/fixacao.asp?produto=abracadeira-tirante-chumbador-arrruela-porca-parafuso</v>
      </c>
    </row>
    <row r="258" spans="1:9" x14ac:dyDescent="0.25">
      <c r="A258" s="29" t="s">
        <v>12</v>
      </c>
      <c r="B258" s="29" t="s">
        <v>39</v>
      </c>
      <c r="C258" s="29" t="s">
        <v>34</v>
      </c>
      <c r="D258" s="37" t="s">
        <v>857</v>
      </c>
      <c r="E258" s="29" t="s">
        <v>798</v>
      </c>
      <c r="F258" s="29" t="s">
        <v>36</v>
      </c>
      <c r="G258" s="29">
        <v>2</v>
      </c>
      <c r="H258" s="71" t="s">
        <v>800</v>
      </c>
      <c r="I258" s="37" t="str">
        <f t="shared" si="1"/>
        <v>https://www.infraeletrocalhas.com.br/fixacao.asp?produto=abracadeira-tirante-chumbador-arrruela-porca-parafuso</v>
      </c>
    </row>
    <row r="259" spans="1:9" x14ac:dyDescent="0.25">
      <c r="A259" s="29" t="s">
        <v>12</v>
      </c>
      <c r="B259" s="29" t="s">
        <v>39</v>
      </c>
      <c r="C259" s="29" t="s">
        <v>34</v>
      </c>
      <c r="D259" s="37" t="s">
        <v>858</v>
      </c>
      <c r="E259" s="29" t="s">
        <v>798</v>
      </c>
      <c r="F259" s="29" t="s">
        <v>36</v>
      </c>
      <c r="G259" s="29">
        <v>6.2</v>
      </c>
      <c r="H259" s="71" t="s">
        <v>800</v>
      </c>
      <c r="I259" s="37" t="str">
        <f t="shared" si="1"/>
        <v>https://www.infraeletrocalhas.com.br/fixacao.asp?produto=abracadeira-tirante-chumbador-arrruela-porca-parafuso</v>
      </c>
    </row>
    <row r="260" spans="1:9" x14ac:dyDescent="0.25">
      <c r="A260" s="29" t="s">
        <v>12</v>
      </c>
      <c r="B260" s="29" t="s">
        <v>39</v>
      </c>
      <c r="C260" s="29" t="s">
        <v>34</v>
      </c>
      <c r="D260" s="37" t="s">
        <v>859</v>
      </c>
      <c r="E260" s="29" t="s">
        <v>798</v>
      </c>
      <c r="F260" s="29" t="s">
        <v>36</v>
      </c>
      <c r="G260" s="29">
        <v>1.2</v>
      </c>
      <c r="H260" s="71" t="s">
        <v>800</v>
      </c>
      <c r="I260" s="37" t="str">
        <f t="shared" si="1"/>
        <v>https://www.infraeletrocalhas.com.br/fixacao.asp?produto=abracadeira-tirante-chumbador-arrruela-porca-parafuso</v>
      </c>
    </row>
    <row r="261" spans="1:9" x14ac:dyDescent="0.25">
      <c r="A261" s="29" t="s">
        <v>12</v>
      </c>
      <c r="B261" s="29" t="s">
        <v>39</v>
      </c>
      <c r="C261" s="29" t="s">
        <v>34</v>
      </c>
      <c r="D261" s="37" t="s">
        <v>860</v>
      </c>
      <c r="E261" s="29" t="s">
        <v>798</v>
      </c>
      <c r="F261" s="29" t="s">
        <v>36</v>
      </c>
      <c r="G261" s="29">
        <v>1.8</v>
      </c>
      <c r="H261" s="71" t="s">
        <v>800</v>
      </c>
      <c r="I261" s="37" t="str">
        <f t="shared" si="1"/>
        <v>https://www.infraeletrocalhas.com.br/fixacao.asp?produto=abracadeira-tirante-chumbador-arrruela-porca-parafuso</v>
      </c>
    </row>
    <row r="262" spans="1:9" x14ac:dyDescent="0.25">
      <c r="A262" s="29" t="s">
        <v>12</v>
      </c>
      <c r="B262" s="29" t="s">
        <v>39</v>
      </c>
      <c r="C262" s="29" t="s">
        <v>34</v>
      </c>
      <c r="D262" s="37" t="s">
        <v>861</v>
      </c>
      <c r="E262" s="29" t="s">
        <v>798</v>
      </c>
      <c r="F262" s="29" t="s">
        <v>36</v>
      </c>
      <c r="G262" s="29">
        <v>1.5</v>
      </c>
      <c r="H262" s="71" t="s">
        <v>800</v>
      </c>
      <c r="I262" s="37" t="str">
        <f t="shared" si="1"/>
        <v>https://www.infraeletrocalhas.com.br/fixacao.asp?produto=abracadeira-tirante-chumbador-arrruela-porca-parafuso</v>
      </c>
    </row>
    <row r="263" spans="1:9" x14ac:dyDescent="0.25">
      <c r="A263" s="29" t="s">
        <v>12</v>
      </c>
      <c r="B263" s="29" t="s">
        <v>39</v>
      </c>
      <c r="C263" s="29" t="s">
        <v>34</v>
      </c>
      <c r="D263" s="37" t="s">
        <v>862</v>
      </c>
      <c r="E263" s="29" t="s">
        <v>798</v>
      </c>
      <c r="F263" s="29" t="s">
        <v>36</v>
      </c>
      <c r="G263" s="29">
        <v>0.8</v>
      </c>
      <c r="H263" s="71" t="s">
        <v>800</v>
      </c>
      <c r="I263" s="37" t="str">
        <f t="shared" si="1"/>
        <v>https://www.infraeletrocalhas.com.br/fixacao.asp?produto=abracadeira-tirante-chumbador-arrruela-porca-parafuso</v>
      </c>
    </row>
    <row r="264" spans="1:9" x14ac:dyDescent="0.25">
      <c r="A264" s="29" t="s">
        <v>12</v>
      </c>
      <c r="B264" s="29" t="s">
        <v>39</v>
      </c>
      <c r="C264" s="29" t="s">
        <v>34</v>
      </c>
      <c r="D264" s="37" t="s">
        <v>863</v>
      </c>
      <c r="E264" s="29" t="s">
        <v>798</v>
      </c>
      <c r="F264" s="29" t="s">
        <v>36</v>
      </c>
      <c r="G264" s="29">
        <v>2.5</v>
      </c>
      <c r="H264" s="71" t="s">
        <v>800</v>
      </c>
      <c r="I264" s="37" t="str">
        <f t="shared" si="1"/>
        <v>https://www.infraeletrocalhas.com.br/fixacao.asp?produto=abracadeira-tirante-chumbador-arrruela-porca-parafuso</v>
      </c>
    </row>
    <row r="265" spans="1:9" x14ac:dyDescent="0.25">
      <c r="A265" s="29" t="s">
        <v>12</v>
      </c>
      <c r="B265" s="29" t="s">
        <v>39</v>
      </c>
      <c r="C265" s="29" t="s">
        <v>34</v>
      </c>
      <c r="D265" s="37" t="s">
        <v>864</v>
      </c>
      <c r="E265" s="29" t="s">
        <v>798</v>
      </c>
      <c r="F265" s="29" t="s">
        <v>36</v>
      </c>
      <c r="G265" s="29">
        <v>1</v>
      </c>
      <c r="H265" s="71" t="s">
        <v>800</v>
      </c>
      <c r="I265" s="37" t="str">
        <f t="shared" si="1"/>
        <v>https://www.infraeletrocalhas.com.br/fixacao.asp?produto=abracadeira-tirante-chumbador-arrruela-porca-parafuso</v>
      </c>
    </row>
    <row r="266" spans="1:9" x14ac:dyDescent="0.25">
      <c r="A266" s="29" t="s">
        <v>12</v>
      </c>
      <c r="B266" s="29" t="s">
        <v>42</v>
      </c>
      <c r="C266" s="29">
        <v>42425</v>
      </c>
      <c r="D266" s="37" t="s">
        <v>2239</v>
      </c>
      <c r="E266" s="29" t="s">
        <v>37</v>
      </c>
      <c r="F266" s="29" t="s">
        <v>36</v>
      </c>
      <c r="G266" s="29">
        <v>2795.12</v>
      </c>
      <c r="H266" s="71" t="s">
        <v>38</v>
      </c>
      <c r="I266" s="37" t="s">
        <v>207</v>
      </c>
    </row>
    <row r="267" spans="1:9" x14ac:dyDescent="0.25">
      <c r="A267" s="29" t="s">
        <v>12</v>
      </c>
      <c r="B267" s="29" t="s">
        <v>42</v>
      </c>
      <c r="C267" s="29">
        <v>42422</v>
      </c>
      <c r="D267" s="37" t="s">
        <v>2240</v>
      </c>
      <c r="E267" s="29" t="s">
        <v>37</v>
      </c>
      <c r="F267" s="29" t="s">
        <v>36</v>
      </c>
      <c r="G267" s="29">
        <v>4149.45</v>
      </c>
      <c r="H267" s="71" t="s">
        <v>38</v>
      </c>
      <c r="I267" s="37" t="s">
        <v>207</v>
      </c>
    </row>
    <row r="268" spans="1:9" x14ac:dyDescent="0.25">
      <c r="A268" s="29" t="s">
        <v>12</v>
      </c>
      <c r="B268" s="29" t="s">
        <v>42</v>
      </c>
      <c r="C268" s="29">
        <v>43184</v>
      </c>
      <c r="D268" s="37" t="s">
        <v>2241</v>
      </c>
      <c r="E268" s="29" t="s">
        <v>37</v>
      </c>
      <c r="F268" s="29" t="s">
        <v>36</v>
      </c>
      <c r="G268" s="29">
        <v>5734.94</v>
      </c>
      <c r="H268" s="71" t="s">
        <v>38</v>
      </c>
      <c r="I268" s="37" t="s">
        <v>207</v>
      </c>
    </row>
    <row r="269" spans="1:9" x14ac:dyDescent="0.25">
      <c r="A269" s="29" t="s">
        <v>12</v>
      </c>
      <c r="B269" s="29" t="s">
        <v>42</v>
      </c>
      <c r="C269" s="29">
        <v>42424</v>
      </c>
      <c r="D269" s="37" t="s">
        <v>2242</v>
      </c>
      <c r="E269" s="29" t="s">
        <v>37</v>
      </c>
      <c r="F269" s="29" t="s">
        <v>36</v>
      </c>
      <c r="G269" s="29">
        <v>2496.29</v>
      </c>
      <c r="H269" s="71" t="s">
        <v>38</v>
      </c>
      <c r="I269" s="37" t="s">
        <v>207</v>
      </c>
    </row>
    <row r="270" spans="1:9" x14ac:dyDescent="0.25">
      <c r="A270" s="29" t="s">
        <v>12</v>
      </c>
      <c r="B270" s="29" t="s">
        <v>42</v>
      </c>
      <c r="C270" s="29">
        <v>42416</v>
      </c>
      <c r="D270" s="37" t="s">
        <v>2243</v>
      </c>
      <c r="E270" s="29" t="s">
        <v>37</v>
      </c>
      <c r="F270" s="29" t="s">
        <v>36</v>
      </c>
      <c r="G270" s="29">
        <v>10761.2</v>
      </c>
      <c r="H270" s="71" t="s">
        <v>38</v>
      </c>
      <c r="I270" s="37" t="s">
        <v>207</v>
      </c>
    </row>
    <row r="271" spans="1:9" x14ac:dyDescent="0.25">
      <c r="A271" s="29" t="s">
        <v>12</v>
      </c>
      <c r="B271" s="29" t="s">
        <v>42</v>
      </c>
      <c r="C271" s="29">
        <v>42417</v>
      </c>
      <c r="D271" s="37" t="s">
        <v>2244</v>
      </c>
      <c r="E271" s="29" t="s">
        <v>37</v>
      </c>
      <c r="F271" s="29" t="s">
        <v>36</v>
      </c>
      <c r="G271" s="29">
        <v>12064.19</v>
      </c>
      <c r="H271" s="71" t="s">
        <v>38</v>
      </c>
      <c r="I271" s="37" t="s">
        <v>207</v>
      </c>
    </row>
    <row r="272" spans="1:9" x14ac:dyDescent="0.25">
      <c r="A272" s="29" t="s">
        <v>12</v>
      </c>
      <c r="B272" s="29" t="s">
        <v>42</v>
      </c>
      <c r="C272" s="29">
        <v>42419</v>
      </c>
      <c r="D272" s="37" t="s">
        <v>2245</v>
      </c>
      <c r="E272" s="29" t="s">
        <v>37</v>
      </c>
      <c r="F272" s="29" t="s">
        <v>36</v>
      </c>
      <c r="G272" s="29">
        <v>13629.97</v>
      </c>
      <c r="H272" s="71" t="s">
        <v>38</v>
      </c>
      <c r="I272" s="37" t="s">
        <v>207</v>
      </c>
    </row>
    <row r="273" spans="1:9" x14ac:dyDescent="0.25">
      <c r="A273" s="29" t="s">
        <v>12</v>
      </c>
      <c r="B273" s="29" t="s">
        <v>42</v>
      </c>
      <c r="C273" s="29">
        <v>42420</v>
      </c>
      <c r="D273" s="37" t="s">
        <v>2246</v>
      </c>
      <c r="E273" s="29" t="s">
        <v>37</v>
      </c>
      <c r="F273" s="29" t="s">
        <v>36</v>
      </c>
      <c r="G273" s="29">
        <v>18733.39</v>
      </c>
      <c r="H273" s="71" t="s">
        <v>38</v>
      </c>
      <c r="I273" s="37" t="s">
        <v>207</v>
      </c>
    </row>
    <row r="274" spans="1:9" x14ac:dyDescent="0.25">
      <c r="A274" s="29" t="s">
        <v>12</v>
      </c>
      <c r="B274" s="29" t="s">
        <v>42</v>
      </c>
      <c r="C274" s="29">
        <v>42421</v>
      </c>
      <c r="D274" s="37" t="s">
        <v>2247</v>
      </c>
      <c r="E274" s="29" t="s">
        <v>37</v>
      </c>
      <c r="F274" s="29" t="s">
        <v>36</v>
      </c>
      <c r="G274" s="29">
        <v>22728.41</v>
      </c>
      <c r="H274" s="71" t="s">
        <v>38</v>
      </c>
      <c r="I274" s="37" t="s">
        <v>207</v>
      </c>
    </row>
    <row r="275" spans="1:9" x14ac:dyDescent="0.25">
      <c r="A275" s="29" t="s">
        <v>12</v>
      </c>
      <c r="B275" s="29" t="s">
        <v>42</v>
      </c>
      <c r="C275" s="29">
        <v>39556</v>
      </c>
      <c r="D275" s="37" t="s">
        <v>865</v>
      </c>
      <c r="E275" s="29" t="s">
        <v>37</v>
      </c>
      <c r="F275" s="29" t="s">
        <v>36</v>
      </c>
      <c r="G275" s="29">
        <v>7893.07</v>
      </c>
      <c r="H275" s="71" t="s">
        <v>38</v>
      </c>
      <c r="I275" s="37" t="s">
        <v>207</v>
      </c>
    </row>
    <row r="276" spans="1:9" x14ac:dyDescent="0.25">
      <c r="A276" s="29" t="s">
        <v>12</v>
      </c>
      <c r="B276" s="29" t="s">
        <v>42</v>
      </c>
      <c r="C276" s="29">
        <v>39557</v>
      </c>
      <c r="D276" s="37" t="s">
        <v>866</v>
      </c>
      <c r="E276" s="29" t="s">
        <v>37</v>
      </c>
      <c r="F276" s="29" t="s">
        <v>36</v>
      </c>
      <c r="G276" s="29">
        <v>8499.11</v>
      </c>
      <c r="H276" s="71" t="s">
        <v>38</v>
      </c>
      <c r="I276" s="37" t="s">
        <v>207</v>
      </c>
    </row>
    <row r="277" spans="1:9" x14ac:dyDescent="0.25">
      <c r="A277" s="29" t="s">
        <v>12</v>
      </c>
      <c r="B277" s="29" t="s">
        <v>42</v>
      </c>
      <c r="C277" s="29">
        <v>39559</v>
      </c>
      <c r="D277" s="37" t="s">
        <v>2248</v>
      </c>
      <c r="E277" s="29" t="s">
        <v>37</v>
      </c>
      <c r="F277" s="29" t="s">
        <v>36</v>
      </c>
      <c r="G277" s="29">
        <v>12560.05</v>
      </c>
      <c r="H277" s="71" t="s">
        <v>38</v>
      </c>
      <c r="I277" s="37" t="s">
        <v>207</v>
      </c>
    </row>
    <row r="278" spans="1:9" x14ac:dyDescent="0.25">
      <c r="A278" s="29" t="s">
        <v>12</v>
      </c>
      <c r="B278" s="29" t="s">
        <v>42</v>
      </c>
      <c r="C278" s="29">
        <v>39560</v>
      </c>
      <c r="D278" s="37" t="s">
        <v>2249</v>
      </c>
      <c r="E278" s="29" t="s">
        <v>37</v>
      </c>
      <c r="F278" s="29" t="s">
        <v>36</v>
      </c>
      <c r="G278" s="29">
        <v>14530.75</v>
      </c>
      <c r="H278" s="71" t="s">
        <v>38</v>
      </c>
      <c r="I278" s="37" t="s">
        <v>207</v>
      </c>
    </row>
    <row r="279" spans="1:9" x14ac:dyDescent="0.25">
      <c r="A279" s="29" t="s">
        <v>12</v>
      </c>
      <c r="B279" s="29" t="s">
        <v>42</v>
      </c>
      <c r="C279" s="29">
        <v>39561</v>
      </c>
      <c r="D279" s="37" t="s">
        <v>2250</v>
      </c>
      <c r="E279" s="29" t="s">
        <v>37</v>
      </c>
      <c r="F279" s="29" t="s">
        <v>36</v>
      </c>
      <c r="G279" s="29">
        <v>15201.02</v>
      </c>
      <c r="H279" s="71" t="s">
        <v>38</v>
      </c>
      <c r="I279" s="37" t="s">
        <v>207</v>
      </c>
    </row>
    <row r="280" spans="1:9" x14ac:dyDescent="0.25">
      <c r="A280" s="29" t="s">
        <v>12</v>
      </c>
      <c r="B280" s="29" t="s">
        <v>42</v>
      </c>
      <c r="C280" s="29">
        <v>43195</v>
      </c>
      <c r="D280" s="37" t="s">
        <v>867</v>
      </c>
      <c r="E280" s="29" t="s">
        <v>37</v>
      </c>
      <c r="F280" s="29" t="s">
        <v>36</v>
      </c>
      <c r="G280" s="29">
        <v>6596.29</v>
      </c>
      <c r="H280" s="71" t="s">
        <v>38</v>
      </c>
      <c r="I280" s="37" t="s">
        <v>207</v>
      </c>
    </row>
    <row r="281" spans="1:9" x14ac:dyDescent="0.25">
      <c r="A281" s="29" t="s">
        <v>12</v>
      </c>
      <c r="B281" s="29" t="s">
        <v>42</v>
      </c>
      <c r="C281" s="29">
        <v>43196</v>
      </c>
      <c r="D281" s="37" t="s">
        <v>868</v>
      </c>
      <c r="E281" s="29" t="s">
        <v>37</v>
      </c>
      <c r="F281" s="29" t="s">
        <v>36</v>
      </c>
      <c r="G281" s="29">
        <v>8175.15</v>
      </c>
      <c r="H281" s="71" t="s">
        <v>38</v>
      </c>
      <c r="I281" s="37" t="s">
        <v>207</v>
      </c>
    </row>
    <row r="282" spans="1:9" x14ac:dyDescent="0.25">
      <c r="A282" s="29" t="s">
        <v>12</v>
      </c>
      <c r="B282" s="29" t="s">
        <v>42</v>
      </c>
      <c r="C282" s="29">
        <v>43198</v>
      </c>
      <c r="D282" s="37" t="s">
        <v>869</v>
      </c>
      <c r="E282" s="29" t="s">
        <v>37</v>
      </c>
      <c r="F282" s="29" t="s">
        <v>36</v>
      </c>
      <c r="G282" s="29">
        <v>12148.09</v>
      </c>
      <c r="H282" s="71" t="s">
        <v>38</v>
      </c>
      <c r="I282" s="37" t="s">
        <v>207</v>
      </c>
    </row>
    <row r="283" spans="1:9" x14ac:dyDescent="0.25">
      <c r="A283" s="29" t="s">
        <v>12</v>
      </c>
      <c r="B283" s="29" t="s">
        <v>42</v>
      </c>
      <c r="C283" s="29">
        <v>43199</v>
      </c>
      <c r="D283" s="37" t="s">
        <v>870</v>
      </c>
      <c r="E283" s="29" t="s">
        <v>37</v>
      </c>
      <c r="F283" s="29" t="s">
        <v>36</v>
      </c>
      <c r="G283" s="29">
        <v>12593.23</v>
      </c>
      <c r="H283" s="71" t="s">
        <v>38</v>
      </c>
      <c r="I283" s="37" t="s">
        <v>207</v>
      </c>
    </row>
    <row r="284" spans="1:9" x14ac:dyDescent="0.25">
      <c r="A284" s="29" t="s">
        <v>12</v>
      </c>
      <c r="B284" s="29" t="s">
        <v>42</v>
      </c>
      <c r="C284" s="29">
        <v>43200</v>
      </c>
      <c r="D284" s="37" t="s">
        <v>871</v>
      </c>
      <c r="E284" s="29" t="s">
        <v>37</v>
      </c>
      <c r="F284" s="29" t="s">
        <v>36</v>
      </c>
      <c r="G284" s="29">
        <v>14451.65</v>
      </c>
      <c r="H284" s="71" t="s">
        <v>38</v>
      </c>
      <c r="I284" s="37" t="s">
        <v>207</v>
      </c>
    </row>
    <row r="285" spans="1:9" x14ac:dyDescent="0.25">
      <c r="A285" s="29" t="s">
        <v>12</v>
      </c>
      <c r="B285" s="29" t="s">
        <v>42</v>
      </c>
      <c r="C285" s="29">
        <v>43190</v>
      </c>
      <c r="D285" s="37" t="s">
        <v>2251</v>
      </c>
      <c r="E285" s="29" t="s">
        <v>37</v>
      </c>
      <c r="F285" s="29" t="s">
        <v>36</v>
      </c>
      <c r="G285" s="29">
        <v>2243.27</v>
      </c>
      <c r="H285" s="71" t="s">
        <v>38</v>
      </c>
      <c r="I285" s="37" t="s">
        <v>207</v>
      </c>
    </row>
    <row r="286" spans="1:9" x14ac:dyDescent="0.25">
      <c r="A286" s="29" t="s">
        <v>12</v>
      </c>
      <c r="B286" s="29" t="s">
        <v>42</v>
      </c>
      <c r="C286" s="29">
        <v>39555</v>
      </c>
      <c r="D286" s="37" t="s">
        <v>2252</v>
      </c>
      <c r="E286" s="29" t="s">
        <v>37</v>
      </c>
      <c r="F286" s="29" t="s">
        <v>36</v>
      </c>
      <c r="G286" s="29">
        <v>2426.64</v>
      </c>
      <c r="H286" s="71" t="s">
        <v>38</v>
      </c>
      <c r="I286" s="37" t="s">
        <v>207</v>
      </c>
    </row>
    <row r="287" spans="1:9" x14ac:dyDescent="0.25">
      <c r="A287" s="29" t="s">
        <v>12</v>
      </c>
      <c r="B287" s="29" t="s">
        <v>42</v>
      </c>
      <c r="C287" s="29">
        <v>43191</v>
      </c>
      <c r="D287" s="37" t="s">
        <v>2253</v>
      </c>
      <c r="E287" s="29" t="s">
        <v>37</v>
      </c>
      <c r="F287" s="29" t="s">
        <v>36</v>
      </c>
      <c r="G287" s="29">
        <v>3227.76</v>
      </c>
      <c r="H287" s="71" t="s">
        <v>38</v>
      </c>
      <c r="I287" s="37" t="s">
        <v>207</v>
      </c>
    </row>
    <row r="288" spans="1:9" x14ac:dyDescent="0.25">
      <c r="A288" s="29" t="s">
        <v>12</v>
      </c>
      <c r="B288" s="29" t="s">
        <v>42</v>
      </c>
      <c r="C288" s="29">
        <v>39548</v>
      </c>
      <c r="D288" s="37" t="s">
        <v>2254</v>
      </c>
      <c r="E288" s="29" t="s">
        <v>37</v>
      </c>
      <c r="F288" s="29" t="s">
        <v>36</v>
      </c>
      <c r="G288" s="29">
        <v>3599.45</v>
      </c>
      <c r="H288" s="71" t="s">
        <v>38</v>
      </c>
      <c r="I288" s="37" t="s">
        <v>207</v>
      </c>
    </row>
    <row r="289" spans="1:9" x14ac:dyDescent="0.25">
      <c r="A289" s="29" t="s">
        <v>12</v>
      </c>
      <c r="B289" s="29" t="s">
        <v>42</v>
      </c>
      <c r="C289" s="29">
        <v>43192</v>
      </c>
      <c r="D289" s="37" t="s">
        <v>2255</v>
      </c>
      <c r="E289" s="29" t="s">
        <v>37</v>
      </c>
      <c r="F289" s="29" t="s">
        <v>36</v>
      </c>
      <c r="G289" s="29">
        <v>4228.08</v>
      </c>
      <c r="H289" s="71" t="s">
        <v>38</v>
      </c>
      <c r="I289" s="37" t="s">
        <v>207</v>
      </c>
    </row>
    <row r="290" spans="1:9" x14ac:dyDescent="0.25">
      <c r="A290" s="29" t="s">
        <v>12</v>
      </c>
      <c r="B290" s="29" t="s">
        <v>42</v>
      </c>
      <c r="C290" s="29">
        <v>39554</v>
      </c>
      <c r="D290" s="37" t="s">
        <v>2256</v>
      </c>
      <c r="E290" s="29" t="s">
        <v>37</v>
      </c>
      <c r="F290" s="29" t="s">
        <v>36</v>
      </c>
      <c r="G290" s="29">
        <v>4759.74</v>
      </c>
      <c r="H290" s="71" t="s">
        <v>38</v>
      </c>
      <c r="I290" s="37" t="s">
        <v>207</v>
      </c>
    </row>
    <row r="291" spans="1:9" x14ac:dyDescent="0.25">
      <c r="A291" s="29" t="s">
        <v>12</v>
      </c>
      <c r="B291" s="29" t="s">
        <v>42</v>
      </c>
      <c r="C291" s="29">
        <v>43194</v>
      </c>
      <c r="D291" s="37" t="s">
        <v>2257</v>
      </c>
      <c r="E291" s="29" t="s">
        <v>37</v>
      </c>
      <c r="F291" s="29" t="s">
        <v>36</v>
      </c>
      <c r="G291" s="29">
        <v>1921.74</v>
      </c>
      <c r="H291" s="71" t="s">
        <v>38</v>
      </c>
      <c r="I291" s="37" t="s">
        <v>207</v>
      </c>
    </row>
    <row r="292" spans="1:9" x14ac:dyDescent="0.25">
      <c r="A292" s="29" t="s">
        <v>12</v>
      </c>
      <c r="B292" s="29" t="s">
        <v>42</v>
      </c>
      <c r="C292" s="29">
        <v>39551</v>
      </c>
      <c r="D292" s="37" t="s">
        <v>2258</v>
      </c>
      <c r="E292" s="29" t="s">
        <v>37</v>
      </c>
      <c r="F292" s="29" t="s">
        <v>36</v>
      </c>
      <c r="G292" s="29">
        <v>2116.04</v>
      </c>
      <c r="H292" s="71" t="s">
        <v>38</v>
      </c>
      <c r="I292" s="37" t="s">
        <v>207</v>
      </c>
    </row>
    <row r="293" spans="1:9" x14ac:dyDescent="0.25">
      <c r="A293" s="29" t="s">
        <v>12</v>
      </c>
      <c r="B293" s="29" t="s">
        <v>42</v>
      </c>
      <c r="C293" s="29">
        <v>43185</v>
      </c>
      <c r="D293" s="37" t="s">
        <v>872</v>
      </c>
      <c r="E293" s="29" t="s">
        <v>37</v>
      </c>
      <c r="F293" s="29" t="s">
        <v>36</v>
      </c>
      <c r="G293" s="29">
        <v>6013.41</v>
      </c>
      <c r="H293" s="71" t="s">
        <v>38</v>
      </c>
      <c r="I293" s="37" t="s">
        <v>207</v>
      </c>
    </row>
    <row r="294" spans="1:9" x14ac:dyDescent="0.25">
      <c r="A294" s="29" t="s">
        <v>12</v>
      </c>
      <c r="B294" s="29" t="s">
        <v>42</v>
      </c>
      <c r="C294" s="29">
        <v>43186</v>
      </c>
      <c r="D294" s="37" t="s">
        <v>873</v>
      </c>
      <c r="E294" s="29" t="s">
        <v>37</v>
      </c>
      <c r="F294" s="29" t="s">
        <v>36</v>
      </c>
      <c r="G294" s="29">
        <v>6342.94</v>
      </c>
      <c r="H294" s="71" t="s">
        <v>38</v>
      </c>
      <c r="I294" s="37" t="s">
        <v>207</v>
      </c>
    </row>
    <row r="295" spans="1:9" x14ac:dyDescent="0.25">
      <c r="A295" s="29" t="s">
        <v>12</v>
      </c>
      <c r="B295" s="29" t="s">
        <v>42</v>
      </c>
      <c r="C295" s="29">
        <v>43187</v>
      </c>
      <c r="D295" s="37" t="s">
        <v>874</v>
      </c>
      <c r="E295" s="29" t="s">
        <v>37</v>
      </c>
      <c r="F295" s="29" t="s">
        <v>36</v>
      </c>
      <c r="G295" s="29">
        <v>8417.14</v>
      </c>
      <c r="H295" s="71" t="s">
        <v>38</v>
      </c>
      <c r="I295" s="37" t="s">
        <v>207</v>
      </c>
    </row>
    <row r="296" spans="1:9" x14ac:dyDescent="0.25">
      <c r="A296" s="29" t="s">
        <v>12</v>
      </c>
      <c r="B296" s="29" t="s">
        <v>42</v>
      </c>
      <c r="C296" s="29">
        <v>43188</v>
      </c>
      <c r="D296" s="37" t="s">
        <v>875</v>
      </c>
      <c r="E296" s="29" t="s">
        <v>37</v>
      </c>
      <c r="F296" s="29" t="s">
        <v>36</v>
      </c>
      <c r="G296" s="29">
        <v>10198.48</v>
      </c>
      <c r="H296" s="71" t="s">
        <v>38</v>
      </c>
      <c r="I296" s="37" t="s">
        <v>207</v>
      </c>
    </row>
    <row r="297" spans="1:9" x14ac:dyDescent="0.25">
      <c r="A297" s="29" t="s">
        <v>12</v>
      </c>
      <c r="B297" s="29" t="s">
        <v>42</v>
      </c>
      <c r="C297" s="29">
        <v>43189</v>
      </c>
      <c r="D297" s="37" t="s">
        <v>876</v>
      </c>
      <c r="E297" s="29" t="s">
        <v>37</v>
      </c>
      <c r="F297" s="29" t="s">
        <v>36</v>
      </c>
      <c r="G297" s="29">
        <v>11471.59</v>
      </c>
      <c r="H297" s="71" t="s">
        <v>38</v>
      </c>
      <c r="I297" s="37" t="s">
        <v>207</v>
      </c>
    </row>
    <row r="298" spans="1:9" x14ac:dyDescent="0.25">
      <c r="A298" s="29" t="s">
        <v>12</v>
      </c>
      <c r="B298" s="29" t="s">
        <v>804</v>
      </c>
      <c r="C298" s="29" t="s">
        <v>34</v>
      </c>
      <c r="D298" s="37" t="s">
        <v>1174</v>
      </c>
      <c r="E298" s="29" t="s">
        <v>798</v>
      </c>
      <c r="F298" s="29" t="s">
        <v>36</v>
      </c>
      <c r="G298" s="29">
        <v>40.950000000000003</v>
      </c>
      <c r="H298" s="71" t="s">
        <v>800</v>
      </c>
      <c r="I298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99" spans="1:9" x14ac:dyDescent="0.25">
      <c r="A299" s="29" t="s">
        <v>12</v>
      </c>
      <c r="B299" s="29" t="s">
        <v>90</v>
      </c>
      <c r="C299" s="29">
        <v>39191</v>
      </c>
      <c r="D299" s="37" t="s">
        <v>1842</v>
      </c>
      <c r="E299" s="29" t="s">
        <v>37</v>
      </c>
      <c r="F299" s="29" t="s">
        <v>36</v>
      </c>
      <c r="G299" s="29">
        <v>20.47</v>
      </c>
      <c r="H299" s="71" t="s">
        <v>38</v>
      </c>
      <c r="I299" s="37" t="s">
        <v>207</v>
      </c>
    </row>
    <row r="300" spans="1:9" x14ac:dyDescent="0.25">
      <c r="A300" s="29" t="s">
        <v>12</v>
      </c>
      <c r="B300" s="29" t="s">
        <v>90</v>
      </c>
      <c r="C300" s="29">
        <v>39190</v>
      </c>
      <c r="D300" s="37" t="s">
        <v>1843</v>
      </c>
      <c r="E300" s="29" t="s">
        <v>37</v>
      </c>
      <c r="F300" s="29" t="s">
        <v>36</v>
      </c>
      <c r="G300" s="29">
        <v>21.38</v>
      </c>
      <c r="H300" s="71" t="s">
        <v>38</v>
      </c>
      <c r="I300" s="37" t="s">
        <v>207</v>
      </c>
    </row>
    <row r="301" spans="1:9" x14ac:dyDescent="0.25">
      <c r="A301" s="29" t="s">
        <v>12</v>
      </c>
      <c r="B301" s="29" t="s">
        <v>90</v>
      </c>
      <c r="C301" s="29">
        <v>39189</v>
      </c>
      <c r="D301" s="37" t="s">
        <v>1844</v>
      </c>
      <c r="E301" s="29" t="s">
        <v>37</v>
      </c>
      <c r="F301" s="29" t="s">
        <v>36</v>
      </c>
      <c r="G301" s="29">
        <v>22.63</v>
      </c>
      <c r="H301" s="71" t="s">
        <v>38</v>
      </c>
      <c r="I301" s="37" t="s">
        <v>207</v>
      </c>
    </row>
    <row r="302" spans="1:9" x14ac:dyDescent="0.25">
      <c r="A302" s="29" t="s">
        <v>12</v>
      </c>
      <c r="B302" s="29" t="s">
        <v>90</v>
      </c>
      <c r="C302" s="29">
        <v>39188</v>
      </c>
      <c r="D302" s="37" t="s">
        <v>1845</v>
      </c>
      <c r="E302" s="29" t="s">
        <v>37</v>
      </c>
      <c r="F302" s="29" t="s">
        <v>36</v>
      </c>
      <c r="G302" s="29">
        <v>16.66</v>
      </c>
      <c r="H302" s="71" t="s">
        <v>38</v>
      </c>
      <c r="I302" s="37" t="s">
        <v>207</v>
      </c>
    </row>
    <row r="303" spans="1:9" x14ac:dyDescent="0.25">
      <c r="A303" s="29" t="s">
        <v>12</v>
      </c>
      <c r="B303" s="29" t="s">
        <v>90</v>
      </c>
      <c r="C303" s="29">
        <v>39186</v>
      </c>
      <c r="D303" s="37" t="s">
        <v>1846</v>
      </c>
      <c r="E303" s="29" t="s">
        <v>37</v>
      </c>
      <c r="F303" s="29" t="s">
        <v>36</v>
      </c>
      <c r="G303" s="29">
        <v>20.239999999999998</v>
      </c>
      <c r="H303" s="71" t="s">
        <v>38</v>
      </c>
      <c r="I303" s="37" t="s">
        <v>207</v>
      </c>
    </row>
    <row r="304" spans="1:9" x14ac:dyDescent="0.25">
      <c r="A304" s="29" t="s">
        <v>12</v>
      </c>
      <c r="B304" s="29" t="s">
        <v>90</v>
      </c>
      <c r="C304" s="29">
        <v>39187</v>
      </c>
      <c r="D304" s="37" t="s">
        <v>1847</v>
      </c>
      <c r="E304" s="29" t="s">
        <v>37</v>
      </c>
      <c r="F304" s="29" t="s">
        <v>36</v>
      </c>
      <c r="G304" s="29">
        <v>17.46</v>
      </c>
      <c r="H304" s="71" t="s">
        <v>38</v>
      </c>
      <c r="I304" s="37" t="s">
        <v>207</v>
      </c>
    </row>
    <row r="305" spans="1:9" x14ac:dyDescent="0.25">
      <c r="A305" s="29" t="s">
        <v>12</v>
      </c>
      <c r="B305" s="29" t="s">
        <v>90</v>
      </c>
      <c r="C305" s="29">
        <v>39184</v>
      </c>
      <c r="D305" s="37" t="s">
        <v>1848</v>
      </c>
      <c r="E305" s="29" t="s">
        <v>37</v>
      </c>
      <c r="F305" s="29" t="s">
        <v>36</v>
      </c>
      <c r="G305" s="29">
        <v>6.57</v>
      </c>
      <c r="H305" s="71" t="s">
        <v>38</v>
      </c>
      <c r="I305" s="37" t="s">
        <v>207</v>
      </c>
    </row>
    <row r="306" spans="1:9" x14ac:dyDescent="0.25">
      <c r="A306" s="29" t="s">
        <v>12</v>
      </c>
      <c r="B306" s="29" t="s">
        <v>90</v>
      </c>
      <c r="C306" s="29">
        <v>39185</v>
      </c>
      <c r="D306" s="37" t="s">
        <v>1849</v>
      </c>
      <c r="E306" s="29" t="s">
        <v>37</v>
      </c>
      <c r="F306" s="29" t="s">
        <v>36</v>
      </c>
      <c r="G306" s="29">
        <v>5.99</v>
      </c>
      <c r="H306" s="71" t="s">
        <v>38</v>
      </c>
      <c r="I306" s="37" t="s">
        <v>207</v>
      </c>
    </row>
    <row r="307" spans="1:9" x14ac:dyDescent="0.25">
      <c r="A307" s="29" t="s">
        <v>12</v>
      </c>
      <c r="B307" s="29" t="s">
        <v>90</v>
      </c>
      <c r="C307" s="29">
        <v>39198</v>
      </c>
      <c r="D307" s="37" t="s">
        <v>1850</v>
      </c>
      <c r="E307" s="29" t="s">
        <v>37</v>
      </c>
      <c r="F307" s="29" t="s">
        <v>36</v>
      </c>
      <c r="G307" s="29">
        <v>67.14</v>
      </c>
      <c r="H307" s="71" t="s">
        <v>38</v>
      </c>
      <c r="I307" s="37" t="s">
        <v>207</v>
      </c>
    </row>
    <row r="308" spans="1:9" x14ac:dyDescent="0.25">
      <c r="A308" s="29" t="s">
        <v>12</v>
      </c>
      <c r="B308" s="29" t="s">
        <v>90</v>
      </c>
      <c r="C308" s="29">
        <v>39197</v>
      </c>
      <c r="D308" s="37" t="s">
        <v>1851</v>
      </c>
      <c r="E308" s="29" t="s">
        <v>37</v>
      </c>
      <c r="F308" s="29" t="s">
        <v>36</v>
      </c>
      <c r="G308" s="29">
        <v>70.14</v>
      </c>
      <c r="H308" s="71" t="s">
        <v>38</v>
      </c>
      <c r="I308" s="37" t="s">
        <v>207</v>
      </c>
    </row>
    <row r="309" spans="1:9" x14ac:dyDescent="0.25">
      <c r="A309" s="29" t="s">
        <v>12</v>
      </c>
      <c r="B309" s="29" t="s">
        <v>90</v>
      </c>
      <c r="C309" s="29">
        <v>39196</v>
      </c>
      <c r="D309" s="37" t="s">
        <v>1852</v>
      </c>
      <c r="E309" s="29" t="s">
        <v>37</v>
      </c>
      <c r="F309" s="29" t="s">
        <v>36</v>
      </c>
      <c r="G309" s="29">
        <v>72.33</v>
      </c>
      <c r="H309" s="71" t="s">
        <v>38</v>
      </c>
      <c r="I309" s="37" t="s">
        <v>207</v>
      </c>
    </row>
    <row r="310" spans="1:9" x14ac:dyDescent="0.25">
      <c r="A310" s="29" t="s">
        <v>12</v>
      </c>
      <c r="B310" s="29" t="s">
        <v>90</v>
      </c>
      <c r="C310" s="29">
        <v>39199</v>
      </c>
      <c r="D310" s="37" t="s">
        <v>1853</v>
      </c>
      <c r="E310" s="29" t="s">
        <v>37</v>
      </c>
      <c r="F310" s="29" t="s">
        <v>36</v>
      </c>
      <c r="G310" s="29">
        <v>64.61</v>
      </c>
      <c r="H310" s="71" t="s">
        <v>38</v>
      </c>
      <c r="I310" s="37" t="s">
        <v>207</v>
      </c>
    </row>
    <row r="311" spans="1:9" x14ac:dyDescent="0.25">
      <c r="A311" s="29" t="s">
        <v>12</v>
      </c>
      <c r="B311" s="29" t="s">
        <v>90</v>
      </c>
      <c r="C311" s="29">
        <v>39195</v>
      </c>
      <c r="D311" s="37" t="s">
        <v>1854</v>
      </c>
      <c r="E311" s="29" t="s">
        <v>37</v>
      </c>
      <c r="F311" s="29" t="s">
        <v>36</v>
      </c>
      <c r="G311" s="29">
        <v>37.29</v>
      </c>
      <c r="H311" s="71" t="s">
        <v>38</v>
      </c>
      <c r="I311" s="37" t="s">
        <v>207</v>
      </c>
    </row>
    <row r="312" spans="1:9" x14ac:dyDescent="0.25">
      <c r="A312" s="29" t="s">
        <v>12</v>
      </c>
      <c r="B312" s="29" t="s">
        <v>90</v>
      </c>
      <c r="C312" s="29">
        <v>39194</v>
      </c>
      <c r="D312" s="37" t="s">
        <v>1855</v>
      </c>
      <c r="E312" s="29" t="s">
        <v>37</v>
      </c>
      <c r="F312" s="29" t="s">
        <v>36</v>
      </c>
      <c r="G312" s="29">
        <v>39.909999999999997</v>
      </c>
      <c r="H312" s="71" t="s">
        <v>38</v>
      </c>
      <c r="I312" s="37" t="s">
        <v>207</v>
      </c>
    </row>
    <row r="313" spans="1:9" x14ac:dyDescent="0.25">
      <c r="A313" s="29" t="s">
        <v>12</v>
      </c>
      <c r="B313" s="29" t="s">
        <v>90</v>
      </c>
      <c r="C313" s="29">
        <v>39193</v>
      </c>
      <c r="D313" s="37" t="s">
        <v>1856</v>
      </c>
      <c r="E313" s="29" t="s">
        <v>37</v>
      </c>
      <c r="F313" s="29" t="s">
        <v>36</v>
      </c>
      <c r="G313" s="29">
        <v>43.74</v>
      </c>
      <c r="H313" s="71" t="s">
        <v>38</v>
      </c>
      <c r="I313" s="37" t="s">
        <v>207</v>
      </c>
    </row>
    <row r="314" spans="1:9" x14ac:dyDescent="0.25">
      <c r="A314" s="29" t="s">
        <v>12</v>
      </c>
      <c r="B314" s="29" t="s">
        <v>90</v>
      </c>
      <c r="C314" s="29">
        <v>39192</v>
      </c>
      <c r="D314" s="37" t="s">
        <v>1857</v>
      </c>
      <c r="E314" s="29" t="s">
        <v>37</v>
      </c>
      <c r="F314" s="29" t="s">
        <v>36</v>
      </c>
      <c r="G314" s="29">
        <v>45.5</v>
      </c>
      <c r="H314" s="71" t="s">
        <v>38</v>
      </c>
      <c r="I314" s="37" t="s">
        <v>207</v>
      </c>
    </row>
    <row r="315" spans="1:9" x14ac:dyDescent="0.25">
      <c r="A315" s="29" t="s">
        <v>12</v>
      </c>
      <c r="B315" s="29" t="s">
        <v>90</v>
      </c>
      <c r="C315" s="29">
        <v>39201</v>
      </c>
      <c r="D315" s="37" t="s">
        <v>1858</v>
      </c>
      <c r="E315" s="29" t="s">
        <v>37</v>
      </c>
      <c r="F315" s="29" t="s">
        <v>36</v>
      </c>
      <c r="G315" s="29">
        <v>80.27</v>
      </c>
      <c r="H315" s="71" t="s">
        <v>38</v>
      </c>
      <c r="I315" s="37" t="s">
        <v>207</v>
      </c>
    </row>
    <row r="316" spans="1:9" x14ac:dyDescent="0.25">
      <c r="A316" s="29" t="s">
        <v>12</v>
      </c>
      <c r="B316" s="29" t="s">
        <v>90</v>
      </c>
      <c r="C316" s="29">
        <v>39200</v>
      </c>
      <c r="D316" s="37" t="s">
        <v>1859</v>
      </c>
      <c r="E316" s="29" t="s">
        <v>37</v>
      </c>
      <c r="F316" s="29" t="s">
        <v>36</v>
      </c>
      <c r="G316" s="29">
        <v>80.92</v>
      </c>
      <c r="H316" s="71" t="s">
        <v>38</v>
      </c>
      <c r="I316" s="37" t="s">
        <v>207</v>
      </c>
    </row>
    <row r="317" spans="1:9" x14ac:dyDescent="0.25">
      <c r="A317" s="29" t="s">
        <v>12</v>
      </c>
      <c r="B317" s="29" t="s">
        <v>90</v>
      </c>
      <c r="C317" s="29">
        <v>39203</v>
      </c>
      <c r="D317" s="37" t="s">
        <v>1860</v>
      </c>
      <c r="E317" s="29" t="s">
        <v>37</v>
      </c>
      <c r="F317" s="29" t="s">
        <v>36</v>
      </c>
      <c r="G317" s="29">
        <v>65.34</v>
      </c>
      <c r="H317" s="71" t="s">
        <v>38</v>
      </c>
      <c r="I317" s="37" t="s">
        <v>207</v>
      </c>
    </row>
    <row r="318" spans="1:9" x14ac:dyDescent="0.25">
      <c r="A318" s="29" t="s">
        <v>12</v>
      </c>
      <c r="B318" s="29" t="s">
        <v>90</v>
      </c>
      <c r="C318" s="29">
        <v>39202</v>
      </c>
      <c r="D318" s="37" t="s">
        <v>1861</v>
      </c>
      <c r="E318" s="29" t="s">
        <v>37</v>
      </c>
      <c r="F318" s="29" t="s">
        <v>36</v>
      </c>
      <c r="G318" s="29">
        <v>76.75</v>
      </c>
      <c r="H318" s="71" t="s">
        <v>38</v>
      </c>
      <c r="I318" s="37" t="s">
        <v>207</v>
      </c>
    </row>
    <row r="319" spans="1:9" x14ac:dyDescent="0.25">
      <c r="A319" s="29" t="s">
        <v>12</v>
      </c>
      <c r="B319" s="29" t="s">
        <v>90</v>
      </c>
      <c r="C319" s="29">
        <v>39920</v>
      </c>
      <c r="D319" s="37" t="s">
        <v>1862</v>
      </c>
      <c r="E319" s="29" t="s">
        <v>37</v>
      </c>
      <c r="F319" s="29" t="s">
        <v>36</v>
      </c>
      <c r="G319" s="29">
        <v>5.51</v>
      </c>
      <c r="H319" s="71" t="s">
        <v>38</v>
      </c>
      <c r="I319" s="37" t="s">
        <v>207</v>
      </c>
    </row>
    <row r="320" spans="1:9" x14ac:dyDescent="0.25">
      <c r="A320" s="29" t="s">
        <v>12</v>
      </c>
      <c r="B320" s="29" t="s">
        <v>90</v>
      </c>
      <c r="C320" s="29">
        <v>39205</v>
      </c>
      <c r="D320" s="37" t="s">
        <v>1863</v>
      </c>
      <c r="E320" s="29" t="s">
        <v>37</v>
      </c>
      <c r="F320" s="29" t="s">
        <v>36</v>
      </c>
      <c r="G320" s="29">
        <v>128.05000000000001</v>
      </c>
      <c r="H320" s="71" t="s">
        <v>38</v>
      </c>
      <c r="I320" s="37" t="s">
        <v>207</v>
      </c>
    </row>
    <row r="321" spans="1:9" x14ac:dyDescent="0.25">
      <c r="A321" s="29" t="s">
        <v>12</v>
      </c>
      <c r="B321" s="29" t="s">
        <v>90</v>
      </c>
      <c r="C321" s="29">
        <v>39204</v>
      </c>
      <c r="D321" s="37" t="s">
        <v>1864</v>
      </c>
      <c r="E321" s="29" t="s">
        <v>37</v>
      </c>
      <c r="F321" s="29" t="s">
        <v>36</v>
      </c>
      <c r="G321" s="29">
        <v>131.15</v>
      </c>
      <c r="H321" s="71" t="s">
        <v>38</v>
      </c>
      <c r="I321" s="37" t="s">
        <v>207</v>
      </c>
    </row>
    <row r="322" spans="1:9" x14ac:dyDescent="0.25">
      <c r="A322" s="29" t="s">
        <v>12</v>
      </c>
      <c r="B322" s="29" t="s">
        <v>90</v>
      </c>
      <c r="C322" s="29">
        <v>39206</v>
      </c>
      <c r="D322" s="37" t="s">
        <v>1865</v>
      </c>
      <c r="E322" s="29" t="s">
        <v>37</v>
      </c>
      <c r="F322" s="29" t="s">
        <v>36</v>
      </c>
      <c r="G322" s="29">
        <v>124.42</v>
      </c>
      <c r="H322" s="71" t="s">
        <v>38</v>
      </c>
      <c r="I322" s="37" t="s">
        <v>207</v>
      </c>
    </row>
    <row r="323" spans="1:9" x14ac:dyDescent="0.25">
      <c r="A323" s="29" t="s">
        <v>12</v>
      </c>
      <c r="B323" s="29" t="s">
        <v>90</v>
      </c>
      <c r="C323" s="29">
        <v>39178</v>
      </c>
      <c r="D323" s="37" t="s">
        <v>1866</v>
      </c>
      <c r="E323" s="29" t="s">
        <v>37</v>
      </c>
      <c r="F323" s="29" t="s">
        <v>36</v>
      </c>
      <c r="G323" s="29">
        <v>2.21</v>
      </c>
      <c r="H323" s="71" t="s">
        <v>38</v>
      </c>
      <c r="I323" s="37" t="s">
        <v>207</v>
      </c>
    </row>
    <row r="324" spans="1:9" x14ac:dyDescent="0.25">
      <c r="A324" s="29" t="s">
        <v>12</v>
      </c>
      <c r="B324" s="29" t="s">
        <v>90</v>
      </c>
      <c r="C324" s="29">
        <v>39177</v>
      </c>
      <c r="D324" s="37" t="s">
        <v>1867</v>
      </c>
      <c r="E324" s="29" t="s">
        <v>37</v>
      </c>
      <c r="F324" s="29" t="s">
        <v>36</v>
      </c>
      <c r="G324" s="29">
        <v>2</v>
      </c>
      <c r="H324" s="71" t="s">
        <v>38</v>
      </c>
      <c r="I324" s="37" t="s">
        <v>207</v>
      </c>
    </row>
    <row r="325" spans="1:9" x14ac:dyDescent="0.25">
      <c r="A325" s="29" t="s">
        <v>12</v>
      </c>
      <c r="B325" s="29" t="s">
        <v>90</v>
      </c>
      <c r="C325" s="29">
        <v>39176</v>
      </c>
      <c r="D325" s="37" t="s">
        <v>1868</v>
      </c>
      <c r="E325" s="29" t="s">
        <v>37</v>
      </c>
      <c r="F325" s="29" t="s">
        <v>36</v>
      </c>
      <c r="G325" s="29">
        <v>1.31</v>
      </c>
      <c r="H325" s="71" t="s">
        <v>38</v>
      </c>
      <c r="I325" s="37" t="s">
        <v>207</v>
      </c>
    </row>
    <row r="326" spans="1:9" x14ac:dyDescent="0.25">
      <c r="A326" s="29" t="s">
        <v>12</v>
      </c>
      <c r="B326" s="29" t="s">
        <v>90</v>
      </c>
      <c r="C326" s="29">
        <v>39174</v>
      </c>
      <c r="D326" s="37" t="s">
        <v>1869</v>
      </c>
      <c r="E326" s="29" t="s">
        <v>37</v>
      </c>
      <c r="F326" s="29" t="s">
        <v>36</v>
      </c>
      <c r="G326" s="29">
        <v>1</v>
      </c>
      <c r="H326" s="71" t="s">
        <v>38</v>
      </c>
      <c r="I326" s="37" t="s">
        <v>207</v>
      </c>
    </row>
    <row r="327" spans="1:9" x14ac:dyDescent="0.25">
      <c r="A327" s="29" t="s">
        <v>12</v>
      </c>
      <c r="B327" s="29" t="s">
        <v>90</v>
      </c>
      <c r="C327" s="29">
        <v>39180</v>
      </c>
      <c r="D327" s="37" t="s">
        <v>1870</v>
      </c>
      <c r="E327" s="29" t="s">
        <v>37</v>
      </c>
      <c r="F327" s="29" t="s">
        <v>36</v>
      </c>
      <c r="G327" s="29">
        <v>6.01</v>
      </c>
      <c r="H327" s="71" t="s">
        <v>38</v>
      </c>
      <c r="I327" s="37" t="s">
        <v>207</v>
      </c>
    </row>
    <row r="328" spans="1:9" x14ac:dyDescent="0.25">
      <c r="A328" s="29" t="s">
        <v>12</v>
      </c>
      <c r="B328" s="29" t="s">
        <v>90</v>
      </c>
      <c r="C328" s="29">
        <v>39179</v>
      </c>
      <c r="D328" s="37" t="s">
        <v>1871</v>
      </c>
      <c r="E328" s="29" t="s">
        <v>37</v>
      </c>
      <c r="F328" s="29" t="s">
        <v>36</v>
      </c>
      <c r="G328" s="29">
        <v>5.32</v>
      </c>
      <c r="H328" s="71" t="s">
        <v>38</v>
      </c>
      <c r="I328" s="37" t="s">
        <v>207</v>
      </c>
    </row>
    <row r="329" spans="1:9" x14ac:dyDescent="0.25">
      <c r="A329" s="29" t="s">
        <v>12</v>
      </c>
      <c r="B329" s="29" t="s">
        <v>90</v>
      </c>
      <c r="C329" s="29">
        <v>39181</v>
      </c>
      <c r="D329" s="37" t="s">
        <v>1872</v>
      </c>
      <c r="E329" s="29" t="s">
        <v>37</v>
      </c>
      <c r="F329" s="29" t="s">
        <v>36</v>
      </c>
      <c r="G329" s="29">
        <v>8.06</v>
      </c>
      <c r="H329" s="71" t="s">
        <v>38</v>
      </c>
      <c r="I329" s="37" t="s">
        <v>207</v>
      </c>
    </row>
    <row r="330" spans="1:9" x14ac:dyDescent="0.25">
      <c r="A330" s="29" t="s">
        <v>12</v>
      </c>
      <c r="B330" s="29" t="s">
        <v>90</v>
      </c>
      <c r="C330" s="29">
        <v>39175</v>
      </c>
      <c r="D330" s="37" t="s">
        <v>1873</v>
      </c>
      <c r="E330" s="29" t="s">
        <v>37</v>
      </c>
      <c r="F330" s="29" t="s">
        <v>36</v>
      </c>
      <c r="G330" s="29">
        <v>1.22</v>
      </c>
      <c r="H330" s="71" t="s">
        <v>38</v>
      </c>
      <c r="I330" s="37" t="s">
        <v>207</v>
      </c>
    </row>
    <row r="331" spans="1:9" x14ac:dyDescent="0.25">
      <c r="A331" s="29" t="s">
        <v>12</v>
      </c>
      <c r="B331" s="29" t="s">
        <v>90</v>
      </c>
      <c r="C331" s="29">
        <v>39217</v>
      </c>
      <c r="D331" s="37" t="s">
        <v>1874</v>
      </c>
      <c r="E331" s="29" t="s">
        <v>37</v>
      </c>
      <c r="F331" s="29" t="s">
        <v>36</v>
      </c>
      <c r="G331" s="29">
        <v>0.94</v>
      </c>
      <c r="H331" s="71" t="s">
        <v>38</v>
      </c>
      <c r="I331" s="37" t="s">
        <v>207</v>
      </c>
    </row>
    <row r="332" spans="1:9" x14ac:dyDescent="0.25">
      <c r="A332" s="29" t="s">
        <v>12</v>
      </c>
      <c r="B332" s="29" t="s">
        <v>90</v>
      </c>
      <c r="C332" s="29">
        <v>39182</v>
      </c>
      <c r="D332" s="37" t="s">
        <v>1875</v>
      </c>
      <c r="E332" s="29" t="s">
        <v>37</v>
      </c>
      <c r="F332" s="29" t="s">
        <v>36</v>
      </c>
      <c r="G332" s="29">
        <v>11.33</v>
      </c>
      <c r="H332" s="71" t="s">
        <v>38</v>
      </c>
      <c r="I332" s="37" t="s">
        <v>207</v>
      </c>
    </row>
    <row r="333" spans="1:9" x14ac:dyDescent="0.25">
      <c r="A333" s="29" t="s">
        <v>12</v>
      </c>
      <c r="B333" s="29" t="s">
        <v>50</v>
      </c>
      <c r="C333" s="29" t="s">
        <v>34</v>
      </c>
      <c r="D333" s="37" t="s">
        <v>3158</v>
      </c>
      <c r="E333" s="29" t="s">
        <v>37</v>
      </c>
      <c r="F333" s="29" t="s">
        <v>36</v>
      </c>
      <c r="I333" s="37" t="str">
        <f>"https://www.romagnole.com.br/categorias_produtos/subestacoes/"</f>
        <v>https://www.romagnole.com.br/categorias_produtos/subestacoes/</v>
      </c>
    </row>
    <row r="334" spans="1:9" x14ac:dyDescent="0.25">
      <c r="A334" s="29" t="s">
        <v>12</v>
      </c>
      <c r="B334" s="29" t="s">
        <v>50</v>
      </c>
      <c r="C334" s="29" t="s">
        <v>34</v>
      </c>
      <c r="D334" s="37" t="s">
        <v>3159</v>
      </c>
      <c r="E334" s="29" t="s">
        <v>51</v>
      </c>
      <c r="F334" s="29" t="s">
        <v>36</v>
      </c>
      <c r="I334" s="37" t="s">
        <v>37</v>
      </c>
    </row>
    <row r="335" spans="1:9" x14ac:dyDescent="0.25">
      <c r="A335" s="29" t="s">
        <v>12</v>
      </c>
      <c r="B335" s="29" t="s">
        <v>128</v>
      </c>
      <c r="C335" s="29" t="s">
        <v>34</v>
      </c>
      <c r="D335" s="37" t="s">
        <v>3160</v>
      </c>
      <c r="E335" s="29" t="s">
        <v>234</v>
      </c>
      <c r="F335" s="29" t="s">
        <v>44</v>
      </c>
      <c r="G335" s="29">
        <v>10.28</v>
      </c>
      <c r="H335" s="71" t="s">
        <v>205</v>
      </c>
      <c r="I335" s="37" t="str">
        <f>_xlfn._LONGTEXT("https://www.lojaeletrica.com.br/cabo-1kv-10mm-hepr-90-classe-5-flexivel-azul-vendido-no-metro.html; https://www.dimensional.com.br/cabo-flexivel-1kv-90g-hepr-10mm2-azul1361361/p; https://www.eletrotrafo.com.br/cabo-1kv-flex-15mm2-90g-hepr-nbr7286-pt--siln","ax-sil-00750066/p?skuId=20408")</f>
        <v>https://www.lojaeletrica.com.br/cabo-1kv-10mm-hepr-90-classe-5-flexivel-azul-vendido-no-metro.html; https://www.dimensional.com.br/cabo-flexivel-1kv-90g-hepr-10mm2-azul1361361/p; https://www.eletrotrafo.com.br/cabo-1kv-flex-15mm2-90g-hepr-nbr7286-pt--silnax-sil-00750066/p?skuId=20408</v>
      </c>
    </row>
    <row r="336" spans="1:9" x14ac:dyDescent="0.25">
      <c r="A336" s="29" t="s">
        <v>12</v>
      </c>
      <c r="B336" s="29" t="s">
        <v>128</v>
      </c>
      <c r="C336" s="29" t="s">
        <v>34</v>
      </c>
      <c r="D336" s="37" t="s">
        <v>3161</v>
      </c>
      <c r="E336" s="29" t="s">
        <v>206</v>
      </c>
      <c r="F336" s="29" t="s">
        <v>44</v>
      </c>
      <c r="G336" s="29">
        <v>10.3</v>
      </c>
      <c r="H336" s="71" t="s">
        <v>205</v>
      </c>
      <c r="I336" s="37" t="str">
        <f>_xlfn._LONGTEXT("https://www.lojaeletrica.com.br/cabo-1kv-10mm-hepr-90-classe-5-flexivel-preto-sil-vendido-no-metro.html; https://www.dimensional.com.br/cabo-flexivel-1kv-90g-hepr-10mm2-preto1361362/p; https://www.eletrotrafo.com.br/cabo-1kv-flex-15mm2-90g-hepr-nbr7286-pt","--silnax-sil-00750066/p?skuId=20408")</f>
        <v>https://www.lojaeletrica.com.br/cabo-1kv-10mm-hepr-90-classe-5-flexivel-preto-sil-vendido-no-metro.html; https://www.dimensional.com.br/cabo-flexivel-1kv-90g-hepr-10mm2-preto1361362/p; https://www.eletrotrafo.com.br/cabo-1kv-flex-15mm2-90g-hepr-nbr7286-pt--silnax-sil-00750066/p?skuId=20408</v>
      </c>
    </row>
    <row r="337" spans="1:9" x14ac:dyDescent="0.25">
      <c r="A337" s="29" t="s">
        <v>12</v>
      </c>
      <c r="B337" s="29" t="s">
        <v>128</v>
      </c>
      <c r="C337" s="29" t="s">
        <v>34</v>
      </c>
      <c r="D337" s="37" t="s">
        <v>3162</v>
      </c>
      <c r="E337" s="29" t="s">
        <v>234</v>
      </c>
      <c r="F337" s="29" t="s">
        <v>44</v>
      </c>
      <c r="G337" s="29">
        <v>9.5299999999999994</v>
      </c>
      <c r="H337" s="71" t="s">
        <v>205</v>
      </c>
      <c r="I337" s="37" t="str">
        <f>"https://www.lojaeletrica.com.br/cabo-1kv-10mm-hepr-90-classe-5-flexivel-verde-vendido-no-metro.html; https://www.dimensional.com.br/cabo-flexivel-1kv-90g-hepr-10mm2-verde1361363/p"</f>
        <v>https://www.lojaeletrica.com.br/cabo-1kv-10mm-hepr-90-classe-5-flexivel-verde-vendido-no-metro.html; https://www.dimensional.com.br/cabo-flexivel-1kv-90g-hepr-10mm2-verde1361363/p</v>
      </c>
    </row>
    <row r="338" spans="1:9" x14ac:dyDescent="0.25">
      <c r="A338" s="29" t="s">
        <v>12</v>
      </c>
      <c r="B338" s="29" t="s">
        <v>128</v>
      </c>
      <c r="C338" s="29" t="s">
        <v>34</v>
      </c>
      <c r="D338" s="37" t="s">
        <v>3163</v>
      </c>
      <c r="E338" s="29" t="s">
        <v>234</v>
      </c>
      <c r="F338" s="29" t="s">
        <v>44</v>
      </c>
      <c r="G338" s="29">
        <v>117.4</v>
      </c>
      <c r="H338" s="71" t="s">
        <v>205</v>
      </c>
      <c r="I338" s="37" t="str">
        <f>_xlfn._LONGTEXT("https://www.lojaeletrica.com.br/cabo-1kv-120mm-hepr-90-classe-5-flexivel-azul-vendido-no-metro.html; https://www.dimensional.com.br/cabo-flexivel-1kv-90g-hepr-120mm2-azul1361381/p; https://www.eletrotrafo.com.br/cabo-1kv-flex-15mm2-90g-hepr-nbr7286-pt--si","lnax-sil-00750066/p?skuId=20408")</f>
        <v>https://www.lojaeletrica.com.br/cabo-1kv-120mm-hepr-90-classe-5-flexivel-azul-vendido-no-metro.html; https://www.dimensional.com.br/cabo-flexivel-1kv-90g-hepr-120mm2-azul1361381/p; https://www.eletrotrafo.com.br/cabo-1kv-flex-15mm2-90g-hepr-nbr7286-pt--silnax-sil-00750066/p?skuId=20408</v>
      </c>
    </row>
    <row r="339" spans="1:9" x14ac:dyDescent="0.25">
      <c r="A339" s="29" t="s">
        <v>12</v>
      </c>
      <c r="B339" s="29" t="s">
        <v>128</v>
      </c>
      <c r="C339" s="29" t="s">
        <v>34</v>
      </c>
      <c r="D339" s="37" t="s">
        <v>3164</v>
      </c>
      <c r="E339" s="29" t="s">
        <v>234</v>
      </c>
      <c r="F339" s="29" t="s">
        <v>44</v>
      </c>
      <c r="G339" s="29">
        <v>117.4</v>
      </c>
      <c r="H339" s="71" t="s">
        <v>205</v>
      </c>
      <c r="I339" s="37" t="str">
        <f>_xlfn._LONGTEXT("https://www.lojaeletrica.com.br/cabo-1kv-120mm-hepr-90-classe-5-flexivel-preto-vendido-no-metro.html; https://www.dimensional.com.br/cabo-flexivel-1kv-90g-hepr-120mm2-preto1361382/p; https://www.eletrotrafo.com.br/cabo-1kv-flex-15mm2-90g-hepr-nbr7286-pt--","silnax-sil-00750066/p?skuId=20408")</f>
        <v>https://www.lojaeletrica.com.br/cabo-1kv-120mm-hepr-90-classe-5-flexivel-preto-vendido-no-metro.html; https://www.dimensional.com.br/cabo-flexivel-1kv-90g-hepr-120mm2-preto1361382/p; https://www.eletrotrafo.com.br/cabo-1kv-flex-15mm2-90g-hepr-nbr7286-pt--silnax-sil-00750066/p?skuId=20408</v>
      </c>
    </row>
    <row r="340" spans="1:9" x14ac:dyDescent="0.25">
      <c r="A340" s="29" t="s">
        <v>12</v>
      </c>
      <c r="B340" s="29" t="s">
        <v>128</v>
      </c>
      <c r="C340" s="29" t="s">
        <v>34</v>
      </c>
      <c r="D340" s="37" t="s">
        <v>3165</v>
      </c>
      <c r="E340" s="29" t="s">
        <v>234</v>
      </c>
      <c r="F340" s="29" t="s">
        <v>44</v>
      </c>
      <c r="G340" s="29">
        <v>112.42</v>
      </c>
      <c r="H340" s="71" t="s">
        <v>205</v>
      </c>
      <c r="I340" s="37" t="str">
        <f>"https://www.lojaeletrica.com.br/cabo-1kv-120mm-hepr-90-classe-5-flexivel-verde-vendido-no-metro.html; https://www.dimensional.com.br/cabo-flexivel-1kv-90g-hepr-120mm2-verde1361383/p"</f>
        <v>https://www.lojaeletrica.com.br/cabo-1kv-120mm-hepr-90-classe-5-flexivel-verde-vendido-no-metro.html; https://www.dimensional.com.br/cabo-flexivel-1kv-90g-hepr-120mm2-verde1361383/p</v>
      </c>
    </row>
    <row r="341" spans="1:9" x14ac:dyDescent="0.25">
      <c r="A341" s="29" t="s">
        <v>12</v>
      </c>
      <c r="B341" s="29" t="s">
        <v>128</v>
      </c>
      <c r="C341" s="29" t="s">
        <v>34</v>
      </c>
      <c r="D341" s="37" t="s">
        <v>3166</v>
      </c>
      <c r="E341" s="29" t="s">
        <v>234</v>
      </c>
      <c r="F341" s="29" t="s">
        <v>44</v>
      </c>
      <c r="G341" s="29">
        <v>146.30000000000001</v>
      </c>
      <c r="H341" s="71" t="s">
        <v>205</v>
      </c>
      <c r="I341" s="37" t="str">
        <f>_xlfn._LONGTEXT("https://www.lojaeletrica.com.br/cabo-1kv-150mm-hepr-90-classe-5-flexivel-azul-vendido-no-metro.html; https://www.dimensional.com.br/cabo-flexivel-1kv-90g-hepr-150mm2-azul1361384/p; https://www.eletrotrafo.com.br/cabo-1kv-flex-15mm2-90g-hepr-nbr7286-pt--si","lnax-sil-00750066/p?skuId=20408")</f>
        <v>https://www.lojaeletrica.com.br/cabo-1kv-150mm-hepr-90-classe-5-flexivel-azul-vendido-no-metro.html; https://www.dimensional.com.br/cabo-flexivel-1kv-90g-hepr-150mm2-azul1361384/p; https://www.eletrotrafo.com.br/cabo-1kv-flex-15mm2-90g-hepr-nbr7286-pt--silnax-sil-00750066/p?skuId=20408</v>
      </c>
    </row>
    <row r="342" spans="1:9" x14ac:dyDescent="0.25">
      <c r="A342" s="29" t="s">
        <v>12</v>
      </c>
      <c r="B342" s="29" t="s">
        <v>128</v>
      </c>
      <c r="C342" s="29" t="s">
        <v>34</v>
      </c>
      <c r="D342" s="37" t="s">
        <v>3167</v>
      </c>
      <c r="E342" s="29" t="s">
        <v>234</v>
      </c>
      <c r="F342" s="29" t="s">
        <v>44</v>
      </c>
      <c r="G342" s="29">
        <v>145.85</v>
      </c>
      <c r="H342" s="71" t="s">
        <v>205</v>
      </c>
      <c r="I342" s="37" t="str">
        <f>_xlfn._LONGTEXT("https://www.lojaeletrica.com.br/cabo-1kv-150mm-hepr-90-classe-5-flexivel-preto-vendido-no-metro.html; https://www.dimensional.com.br/cabo-flexivel-1kv-90g-hepr-150mm2-preto1361385/p; https://www.eletrotrafo.com.br/cabo-1kv-flex-15mm2-90g-hepr-nbr7286-pt--","silnax-sil-00750066/p?skuId=20408")</f>
        <v>https://www.lojaeletrica.com.br/cabo-1kv-150mm-hepr-90-classe-5-flexivel-preto-vendido-no-metro.html; https://www.dimensional.com.br/cabo-flexivel-1kv-90g-hepr-150mm2-preto1361385/p; https://www.eletrotrafo.com.br/cabo-1kv-flex-15mm2-90g-hepr-nbr7286-pt--silnax-sil-00750066/p?skuId=20408</v>
      </c>
    </row>
    <row r="343" spans="1:9" x14ac:dyDescent="0.25">
      <c r="A343" s="29" t="s">
        <v>12</v>
      </c>
      <c r="B343" s="29" t="s">
        <v>128</v>
      </c>
      <c r="C343" s="29" t="s">
        <v>34</v>
      </c>
      <c r="D343" s="37" t="s">
        <v>3168</v>
      </c>
      <c r="E343" s="29" t="s">
        <v>234</v>
      </c>
      <c r="F343" s="29" t="s">
        <v>44</v>
      </c>
      <c r="G343" s="29">
        <v>138.52000000000001</v>
      </c>
      <c r="H343" s="71" t="s">
        <v>205</v>
      </c>
      <c r="I343" s="37" t="str">
        <f>"https://www.lojaeletrica.com.br/cabo-1kv-150mm-hepr-90-classe-5-flexivel-verde-vendido-no-metro.html; https://www.dimensional.com.br/cabo-flexivel-1kv-90g-hepr-150mm2-verde1361386/p"</f>
        <v>https://www.lojaeletrica.com.br/cabo-1kv-150mm-hepr-90-classe-5-flexivel-verde-vendido-no-metro.html; https://www.dimensional.com.br/cabo-flexivel-1kv-90g-hepr-150mm2-verde1361386/p</v>
      </c>
    </row>
    <row r="344" spans="1:9" x14ac:dyDescent="0.25">
      <c r="A344" s="29" t="s">
        <v>12</v>
      </c>
      <c r="B344" s="29" t="s">
        <v>128</v>
      </c>
      <c r="C344" s="29" t="s">
        <v>34</v>
      </c>
      <c r="D344" s="37" t="s">
        <v>3169</v>
      </c>
      <c r="E344" s="29" t="s">
        <v>234</v>
      </c>
      <c r="F344" s="29" t="s">
        <v>44</v>
      </c>
      <c r="G344" s="29">
        <v>16.12</v>
      </c>
      <c r="H344" s="71" t="s">
        <v>205</v>
      </c>
      <c r="I344" s="37" t="str">
        <f>_xlfn._LONGTEXT("https://www.lojaeletrica.com.br/cabo-1kv-16mm-hepr-90-classe-5-flexivel-azul-vendido-no-metro.html; https://www.dimensional.com.br/cabo-flexivel-1kv-90g-hepr-16mm2-azul1361364/p; https://www.eletrotrafo.com.br/cabo-1kv-flex-15mm2-90g-hepr-nbr7286-pt--siln","ax-sil-00750066/p?skuId=20408")</f>
        <v>https://www.lojaeletrica.com.br/cabo-1kv-16mm-hepr-90-classe-5-flexivel-azul-vendido-no-metro.html; https://www.dimensional.com.br/cabo-flexivel-1kv-90g-hepr-16mm2-azul1361364/p; https://www.eletrotrafo.com.br/cabo-1kv-flex-15mm2-90g-hepr-nbr7286-pt--silnax-sil-00750066/p?skuId=20408</v>
      </c>
    </row>
    <row r="345" spans="1:9" x14ac:dyDescent="0.25">
      <c r="A345" s="29" t="s">
        <v>12</v>
      </c>
      <c r="B345" s="29" t="s">
        <v>128</v>
      </c>
      <c r="C345" s="29" t="s">
        <v>34</v>
      </c>
      <c r="D345" s="37" t="s">
        <v>3170</v>
      </c>
      <c r="E345" s="29" t="s">
        <v>234</v>
      </c>
      <c r="F345" s="29" t="s">
        <v>44</v>
      </c>
      <c r="G345" s="29">
        <v>16.850000000000001</v>
      </c>
      <c r="H345" s="71" t="s">
        <v>205</v>
      </c>
      <c r="I345" s="37" t="str">
        <f>"https://www.lojaeletrica.com.br/cabo-1kv-16mm-hepr-90-classe-5-flexivel-preto-vendido-no-metro.html; https://www.eletrotrafo.com.br/cabo-1kv-flex-15mm2-90g-hepr-nbr7286-pt--silnax-sil-00750066/p?skuId=20408"</f>
        <v>https://www.lojaeletrica.com.br/cabo-1kv-16mm-hepr-90-classe-5-flexivel-preto-vendido-no-metro.html; https://www.eletrotrafo.com.br/cabo-1kv-flex-15mm2-90g-hepr-nbr7286-pt--silnax-sil-00750066/p?skuId=20408</v>
      </c>
    </row>
    <row r="346" spans="1:9" x14ac:dyDescent="0.25">
      <c r="A346" s="29" t="s">
        <v>12</v>
      </c>
      <c r="B346" s="29" t="s">
        <v>128</v>
      </c>
      <c r="C346" s="29" t="s">
        <v>34</v>
      </c>
      <c r="D346" s="37" t="s">
        <v>3171</v>
      </c>
      <c r="E346" s="29" t="s">
        <v>234</v>
      </c>
      <c r="F346" s="29" t="s">
        <v>44</v>
      </c>
      <c r="G346" s="29">
        <v>16.850000000000001</v>
      </c>
      <c r="H346" s="71" t="s">
        <v>205</v>
      </c>
      <c r="I346" s="37" t="str">
        <f>"https://www.lojaeletrica.com.br/cabo-1kv-16mm-hepr-90-classe-5-flexivel-verde-vendido-no-metro.html; https://www.eletrotrafo.com.br/cabo-1kv-flex-15mm2-90g-hepr-nbr7286-pt--silnax-sil-00750066/p?skuId=20408"</f>
        <v>https://www.lojaeletrica.com.br/cabo-1kv-16mm-hepr-90-classe-5-flexivel-verde-vendido-no-metro.html; https://www.eletrotrafo.com.br/cabo-1kv-flex-15mm2-90g-hepr-nbr7286-pt--silnax-sil-00750066/p?skuId=20408</v>
      </c>
    </row>
    <row r="347" spans="1:9" x14ac:dyDescent="0.25">
      <c r="A347" s="29" t="s">
        <v>12</v>
      </c>
      <c r="B347" s="29" t="s">
        <v>128</v>
      </c>
      <c r="C347" s="29" t="s">
        <v>34</v>
      </c>
      <c r="D347" s="37" t="s">
        <v>3172</v>
      </c>
      <c r="E347" s="29" t="s">
        <v>234</v>
      </c>
      <c r="F347" s="29" t="s">
        <v>44</v>
      </c>
      <c r="G347" s="29">
        <v>174.11</v>
      </c>
      <c r="H347" s="71" t="s">
        <v>205</v>
      </c>
      <c r="I347" s="37" t="str">
        <f>_xlfn._LONGTEXT("https://www.lojaeletrica.com.br/cabo-1kv-185mm-hepr-90-classe-5-flexivel-azul-vendido-no-metro.html; https://www.dimensional.com.br/cabo-flexivel-1kv-90g-hepr-185mm2-azul1361387/p; https://www.eletrotrafo.com.br/cabo-1kv-flex-15mm2-90g-hepr-nbr7286-pt--si","lnax-sil-00750066/p?skuId=20408")</f>
        <v>https://www.lojaeletrica.com.br/cabo-1kv-185mm-hepr-90-classe-5-flexivel-azul-vendido-no-metro.html; https://www.dimensional.com.br/cabo-flexivel-1kv-90g-hepr-185mm2-azul1361387/p; https://www.eletrotrafo.com.br/cabo-1kv-flex-15mm2-90g-hepr-nbr7286-pt--silnax-sil-00750066/p?skuId=20408</v>
      </c>
    </row>
    <row r="348" spans="1:9" x14ac:dyDescent="0.25">
      <c r="A348" s="29" t="s">
        <v>12</v>
      </c>
      <c r="B348" s="29" t="s">
        <v>128</v>
      </c>
      <c r="C348" s="29" t="s">
        <v>34</v>
      </c>
      <c r="D348" s="37" t="s">
        <v>3173</v>
      </c>
      <c r="E348" s="29" t="s">
        <v>234</v>
      </c>
      <c r="F348" s="29" t="s">
        <v>44</v>
      </c>
      <c r="G348" s="29">
        <v>174.11</v>
      </c>
      <c r="H348" s="71" t="s">
        <v>205</v>
      </c>
      <c r="I348" s="37" t="str">
        <f>_xlfn._LONGTEXT("https://www.lojaeletrica.com.br/cabo-1kv-185mm-hepr-90-classe-5-flexivel-preto-vendido-no-metro.html; https://www.dimensional.com.br/cabo-flexivel-1kv-90g-hepr-185mm2-preto1361388/p; https://www.eletrotrafo.com.br/cabo-1kv-flex-15mm2-90g-hepr-nbr7286-pt--","silnax-sil-00750066/p?skuId=20408")</f>
        <v>https://www.lojaeletrica.com.br/cabo-1kv-185mm-hepr-90-classe-5-flexivel-preto-vendido-no-metro.html; https://www.dimensional.com.br/cabo-flexivel-1kv-90g-hepr-185mm2-preto1361388/p; https://www.eletrotrafo.com.br/cabo-1kv-flex-15mm2-90g-hepr-nbr7286-pt--silnax-sil-00750066/p?skuId=20408</v>
      </c>
    </row>
    <row r="349" spans="1:9" x14ac:dyDescent="0.25">
      <c r="A349" s="29" t="s">
        <v>12</v>
      </c>
      <c r="B349" s="29" t="s">
        <v>128</v>
      </c>
      <c r="C349" s="29" t="s">
        <v>34</v>
      </c>
      <c r="D349" s="37" t="s">
        <v>3174</v>
      </c>
      <c r="E349" s="29" t="s">
        <v>234</v>
      </c>
      <c r="F349" s="29" t="s">
        <v>44</v>
      </c>
      <c r="G349" s="29">
        <v>168.33</v>
      </c>
      <c r="H349" s="71" t="s">
        <v>205</v>
      </c>
      <c r="I349" s="37" t="str">
        <f>"https://www.lojaeletrica.com.br/cabo-1kv-185mm-hepr-90-classe-5-flexivel-verde-vendido-no-metro.html; https://www.dimensional.com.br/cabo-flexivel-1kv-90g-hepr-185mm2-verde1361389/p"</f>
        <v>https://www.lojaeletrica.com.br/cabo-1kv-185mm-hepr-90-classe-5-flexivel-verde-vendido-no-metro.html; https://www.dimensional.com.br/cabo-flexivel-1kv-90g-hepr-185mm2-verde1361389/p</v>
      </c>
    </row>
    <row r="350" spans="1:9" x14ac:dyDescent="0.25">
      <c r="A350" s="29" t="s">
        <v>12</v>
      </c>
      <c r="B350" s="29" t="s">
        <v>128</v>
      </c>
      <c r="C350" s="29" t="s">
        <v>34</v>
      </c>
      <c r="D350" s="37" t="s">
        <v>3175</v>
      </c>
      <c r="E350" s="29" t="s">
        <v>234</v>
      </c>
      <c r="F350" s="29" t="s">
        <v>44</v>
      </c>
      <c r="G350" s="29">
        <v>237.85</v>
      </c>
      <c r="H350" s="71" t="s">
        <v>205</v>
      </c>
      <c r="I350" s="37" t="str">
        <f>_xlfn._LONGTEXT("https://www.lojaeletrica.com.br/cabo-1kv-240mm-hepr-90-classe-5-flexivel-azul-vendido-no-metro.html; https://www.dimensional.com.br/cabo-flexivel-1kv-90g-hepr-240mm2-azul1361390/p; https://www.eletrotrafo.com.br/cabo-1kv-flex-15mm2-90g-hepr-nbr7286-pt--si","lnax-sil-00750066/p?skuId=20408")</f>
        <v>https://www.lojaeletrica.com.br/cabo-1kv-240mm-hepr-90-classe-5-flexivel-azul-vendido-no-metro.html; https://www.dimensional.com.br/cabo-flexivel-1kv-90g-hepr-240mm2-azul1361390/p; https://www.eletrotrafo.com.br/cabo-1kv-flex-15mm2-90g-hepr-nbr7286-pt--silnax-sil-00750066/p?skuId=20408</v>
      </c>
    </row>
    <row r="351" spans="1:9" x14ac:dyDescent="0.25">
      <c r="A351" s="29" t="s">
        <v>12</v>
      </c>
      <c r="B351" s="29" t="s">
        <v>128</v>
      </c>
      <c r="C351" s="29" t="s">
        <v>34</v>
      </c>
      <c r="D351" s="37" t="s">
        <v>3176</v>
      </c>
      <c r="E351" s="29" t="s">
        <v>234</v>
      </c>
      <c r="F351" s="29" t="s">
        <v>44</v>
      </c>
      <c r="G351" s="29">
        <v>238.98</v>
      </c>
      <c r="H351" s="71" t="s">
        <v>205</v>
      </c>
      <c r="I351" s="37" t="str">
        <f>_xlfn._LONGTEXT("https://www.lojaeletrica.com.br/cabo-1kv-240mm-hepr-90-classe-5-flexivel-preto-vendido-no-metro.html; https://www.dimensional.com.br/cabo-flexivel-1kv-90g-hepr-240mm2-preto1361391/p; https://www.eletrotrafo.com.br/cabo-1kv-flex-15mm2-90g-hepr-nbr7286-pt--","silnax-sil-00750066/p?skuId=20408")</f>
        <v>https://www.lojaeletrica.com.br/cabo-1kv-240mm-hepr-90-classe-5-flexivel-preto-vendido-no-metro.html; https://www.dimensional.com.br/cabo-flexivel-1kv-90g-hepr-240mm2-preto1361391/p; https://www.eletrotrafo.com.br/cabo-1kv-flex-15mm2-90g-hepr-nbr7286-pt--silnax-sil-00750066/p?skuId=20408</v>
      </c>
    </row>
    <row r="352" spans="1:9" x14ac:dyDescent="0.25">
      <c r="A352" s="29" t="s">
        <v>12</v>
      </c>
      <c r="B352" s="29" t="s">
        <v>128</v>
      </c>
      <c r="C352" s="29" t="s">
        <v>34</v>
      </c>
      <c r="D352" s="37" t="s">
        <v>3177</v>
      </c>
      <c r="E352" s="29" t="s">
        <v>234</v>
      </c>
      <c r="F352" s="29" t="s">
        <v>44</v>
      </c>
      <c r="G352" s="29">
        <v>223.63</v>
      </c>
      <c r="H352" s="71" t="s">
        <v>205</v>
      </c>
      <c r="I352" s="37" t="str">
        <f>"https://www.lojaeletrica.com.br/cabo-1kv-240mm-hepr-90-classe-5-flexivel-verde-vendido-no-metro.html; https://www.dimensional.com.br/cabo-flexivel-1kv-90g-hepr-240mm2-verde1361392/p"</f>
        <v>https://www.lojaeletrica.com.br/cabo-1kv-240mm-hepr-90-classe-5-flexivel-verde-vendido-no-metro.html; https://www.dimensional.com.br/cabo-flexivel-1kv-90g-hepr-240mm2-verde1361392/p</v>
      </c>
    </row>
    <row r="353" spans="1:9" x14ac:dyDescent="0.25">
      <c r="A353" s="29" t="s">
        <v>12</v>
      </c>
      <c r="B353" s="29" t="s">
        <v>128</v>
      </c>
      <c r="C353" s="29" t="s">
        <v>34</v>
      </c>
      <c r="D353" s="37" t="s">
        <v>3178</v>
      </c>
      <c r="E353" s="29" t="s">
        <v>234</v>
      </c>
      <c r="F353" s="29" t="s">
        <v>44</v>
      </c>
      <c r="G353" s="29">
        <v>24.77</v>
      </c>
      <c r="H353" s="71" t="s">
        <v>205</v>
      </c>
      <c r="I353" s="37" t="str">
        <f>_xlfn._LONGTEXT("https://www.lojaeletrica.com.br/cabo-1kv-25mm-hepr-90-classe-5-flexivel-azul-vendido-no-metro.html; https://www.dimensional.com.br/cabo-flexivel-1kv-90g-hepr-25mm2-azul1361366/p; https://www.eletrotrafo.com.br/cabo-1kv-flex-15mm2-90g-hepr-nbr7286-pt--siln","ax-sil-00750066/p?skuId=20408")</f>
        <v>https://www.lojaeletrica.com.br/cabo-1kv-25mm-hepr-90-classe-5-flexivel-azul-vendido-no-metro.html; https://www.dimensional.com.br/cabo-flexivel-1kv-90g-hepr-25mm2-azul1361366/p; https://www.eletrotrafo.com.br/cabo-1kv-flex-15mm2-90g-hepr-nbr7286-pt--silnax-sil-00750066/p?skuId=20408</v>
      </c>
    </row>
    <row r="354" spans="1:9" x14ac:dyDescent="0.25">
      <c r="A354" s="29" t="s">
        <v>12</v>
      </c>
      <c r="B354" s="29" t="s">
        <v>128</v>
      </c>
      <c r="C354" s="29" t="s">
        <v>34</v>
      </c>
      <c r="D354" s="37" t="s">
        <v>3179</v>
      </c>
      <c r="E354" s="29" t="s">
        <v>234</v>
      </c>
      <c r="F354" s="29" t="s">
        <v>44</v>
      </c>
      <c r="G354" s="29">
        <v>24.77</v>
      </c>
      <c r="H354" s="71" t="s">
        <v>205</v>
      </c>
      <c r="I354" s="37" t="str">
        <f>_xlfn._LONGTEXT("https://www.lojaeletrica.com.br/cabo-1kv-25mm-hepr-90-classe-5-flexivel-preto-vendido-no-metro.html; https://www.dimensional.com.br/cabo-flexivel-1kv-90g-hepr-25mm2-preto1361367/p; https://www.eletrotrafo.com.br/cabo-1kv-flex-15mm2-90g-hepr-nbr7286-pt--si","lnax-sil-00750066/p?skuId=20408")</f>
        <v>https://www.lojaeletrica.com.br/cabo-1kv-25mm-hepr-90-classe-5-flexivel-preto-vendido-no-metro.html; https://www.dimensional.com.br/cabo-flexivel-1kv-90g-hepr-25mm2-preto1361367/p; https://www.eletrotrafo.com.br/cabo-1kv-flex-15mm2-90g-hepr-nbr7286-pt--silnax-sil-00750066/p?skuId=20408</v>
      </c>
    </row>
    <row r="355" spans="1:9" x14ac:dyDescent="0.25">
      <c r="A355" s="29" t="s">
        <v>12</v>
      </c>
      <c r="B355" s="29" t="s">
        <v>128</v>
      </c>
      <c r="C355" s="29" t="s">
        <v>34</v>
      </c>
      <c r="D355" s="37" t="s">
        <v>3180</v>
      </c>
      <c r="E355" s="29" t="s">
        <v>234</v>
      </c>
      <c r="F355" s="29" t="s">
        <v>44</v>
      </c>
      <c r="G355" s="29">
        <v>22.58</v>
      </c>
      <c r="H355" s="71" t="s">
        <v>205</v>
      </c>
      <c r="I355" s="37" t="str">
        <f>"https://www.lojaeletrica.com.br/cabo-1kv-25mm-hepr-90-classe-5-flexivel-verde-vendido-no-metro.html; https://www.dimensional.com.br/cabo-flexivel-1kv-90g-hepr-25mm2-verde1361368/p"</f>
        <v>https://www.lojaeletrica.com.br/cabo-1kv-25mm-hepr-90-classe-5-flexivel-verde-vendido-no-metro.html; https://www.dimensional.com.br/cabo-flexivel-1kv-90g-hepr-25mm2-verde1361368/p</v>
      </c>
    </row>
    <row r="356" spans="1:9" x14ac:dyDescent="0.25">
      <c r="A356" s="29" t="s">
        <v>12</v>
      </c>
      <c r="B356" s="29" t="s">
        <v>128</v>
      </c>
      <c r="C356" s="29" t="s">
        <v>34</v>
      </c>
      <c r="D356" s="37" t="s">
        <v>3181</v>
      </c>
      <c r="E356" s="29" t="s">
        <v>234</v>
      </c>
      <c r="F356" s="29" t="s">
        <v>44</v>
      </c>
      <c r="G356" s="29">
        <v>380.63</v>
      </c>
      <c r="H356" s="71" t="s">
        <v>205</v>
      </c>
      <c r="I356" s="37" t="str">
        <f>"https://www.lojaeletrica.com.br/cabo-1kv-300mm-hepr-90-classe-5-flexivel-azul-vendido-no-metro.html"</f>
        <v>https://www.lojaeletrica.com.br/cabo-1kv-300mm-hepr-90-classe-5-flexivel-azul-vendido-no-metro.html</v>
      </c>
    </row>
    <row r="357" spans="1:9" x14ac:dyDescent="0.25">
      <c r="A357" s="29" t="s">
        <v>12</v>
      </c>
      <c r="B357" s="29" t="s">
        <v>128</v>
      </c>
      <c r="C357" s="29" t="s">
        <v>34</v>
      </c>
      <c r="D357" s="37" t="s">
        <v>3182</v>
      </c>
      <c r="E357" s="29" t="s">
        <v>234</v>
      </c>
      <c r="F357" s="29" t="s">
        <v>44</v>
      </c>
      <c r="G357" s="29">
        <v>317.20999999999998</v>
      </c>
      <c r="H357" s="71" t="s">
        <v>205</v>
      </c>
      <c r="I357" s="37" t="str">
        <f>"https://www.lojaeletrica.com.br/cabo-1kv-300mm-hepr-90-classe-5-flexivel-preto-vendido-no-metro.html; https://www.dimensional.com.br/cabo-flexivel-1kv-90g-hepr-300mm2-preto1361394/p"</f>
        <v>https://www.lojaeletrica.com.br/cabo-1kv-300mm-hepr-90-classe-5-flexivel-preto-vendido-no-metro.html; https://www.dimensional.com.br/cabo-flexivel-1kv-90g-hepr-300mm2-preto1361394/p</v>
      </c>
    </row>
    <row r="358" spans="1:9" x14ac:dyDescent="0.25">
      <c r="A358" s="29" t="s">
        <v>12</v>
      </c>
      <c r="B358" s="29" t="s">
        <v>128</v>
      </c>
      <c r="C358" s="29" t="s">
        <v>34</v>
      </c>
      <c r="D358" s="37" t="s">
        <v>3183</v>
      </c>
      <c r="E358" s="29" t="s">
        <v>234</v>
      </c>
      <c r="F358" s="29" t="s">
        <v>44</v>
      </c>
      <c r="G358" s="29">
        <v>34.72</v>
      </c>
      <c r="H358" s="71" t="s">
        <v>205</v>
      </c>
      <c r="I358" s="37" t="str">
        <f>_xlfn._LONGTEXT("https://www.lojaeletrica.com.br/cabo-1kv-35mm-hepr-90-classe-5-flexivel-azul-vendido-no-metro.html; https://www.dimensional.com.br/cabo-flexivel-1kv-90g-hepr-35mm2-azul1361369/p; https://www.eletrotrafo.com.br/cabo-1kv-flex-15mm2-90g-hepr-nbr7286-pt--siln","ax-sil-00750066/p?skuId=20408")</f>
        <v>https://www.lojaeletrica.com.br/cabo-1kv-35mm-hepr-90-classe-5-flexivel-azul-vendido-no-metro.html; https://www.dimensional.com.br/cabo-flexivel-1kv-90g-hepr-35mm2-azul1361369/p; https://www.eletrotrafo.com.br/cabo-1kv-flex-15mm2-90g-hepr-nbr7286-pt--silnax-sil-00750066/p?skuId=20408</v>
      </c>
    </row>
    <row r="359" spans="1:9" x14ac:dyDescent="0.25">
      <c r="A359" s="29" t="s">
        <v>12</v>
      </c>
      <c r="B359" s="29" t="s">
        <v>128</v>
      </c>
      <c r="C359" s="29" t="s">
        <v>34</v>
      </c>
      <c r="D359" s="37" t="s">
        <v>3184</v>
      </c>
      <c r="E359" s="29" t="s">
        <v>234</v>
      </c>
      <c r="F359" s="29" t="s">
        <v>44</v>
      </c>
      <c r="G359" s="29">
        <v>34.72</v>
      </c>
      <c r="H359" s="71" t="s">
        <v>205</v>
      </c>
      <c r="I359" s="37" t="str">
        <f>_xlfn._LONGTEXT("https://www.lojaeletrica.com.br/cabo-1kv-35mm-hepr-90-classe-5-flexivel-preto-vendido-no-metro.html; https://www.dimensional.com.br/cabo-flexivel-1kv-90g-hepr-35mm2-preto1361370/p; https://www.eletrotrafo.com.br/cabo-1kv-flex-15mm2-90g-hepr-nbr7286-pt--si","lnax-sil-00750066/p?skuId=20408")</f>
        <v>https://www.lojaeletrica.com.br/cabo-1kv-35mm-hepr-90-classe-5-flexivel-preto-vendido-no-metro.html; https://www.dimensional.com.br/cabo-flexivel-1kv-90g-hepr-35mm2-preto1361370/p; https://www.eletrotrafo.com.br/cabo-1kv-flex-15mm2-90g-hepr-nbr7286-pt--silnax-sil-00750066/p?skuId=20408</v>
      </c>
    </row>
    <row r="360" spans="1:9" x14ac:dyDescent="0.25">
      <c r="A360" s="29" t="s">
        <v>12</v>
      </c>
      <c r="B360" s="29" t="s">
        <v>128</v>
      </c>
      <c r="C360" s="29" t="s">
        <v>34</v>
      </c>
      <c r="D360" s="37" t="s">
        <v>3185</v>
      </c>
      <c r="E360" s="29" t="s">
        <v>234</v>
      </c>
      <c r="F360" s="29" t="s">
        <v>44</v>
      </c>
      <c r="G360" s="29">
        <v>31.63</v>
      </c>
      <c r="H360" s="71" t="s">
        <v>205</v>
      </c>
      <c r="I360" s="37" t="str">
        <f>"https://www.lojaeletrica.com.br/cabo-1kv-35mm-hepr-90-classe-5-flexivel-verde-vendido-no-metro.html; https://www.dimensional.com.br/cabo-flexivel-1kv-90g-hepr-35mm2-verde1361371/p"</f>
        <v>https://www.lojaeletrica.com.br/cabo-1kv-35mm-hepr-90-classe-5-flexivel-verde-vendido-no-metro.html; https://www.dimensional.com.br/cabo-flexivel-1kv-90g-hepr-35mm2-verde1361371/p</v>
      </c>
    </row>
    <row r="361" spans="1:9" x14ac:dyDescent="0.25">
      <c r="A361" s="29" t="s">
        <v>12</v>
      </c>
      <c r="B361" s="29" t="s">
        <v>128</v>
      </c>
      <c r="C361" s="29" t="s">
        <v>34</v>
      </c>
      <c r="D361" s="37" t="s">
        <v>3186</v>
      </c>
      <c r="E361" s="29" t="s">
        <v>234</v>
      </c>
      <c r="F361" s="29" t="s">
        <v>44</v>
      </c>
      <c r="G361" s="29">
        <v>50.18</v>
      </c>
      <c r="H361" s="71" t="s">
        <v>205</v>
      </c>
      <c r="I361" s="37" t="str">
        <f>_xlfn._LONGTEXT("https://www.lojaeletrica.com.br/cabo-1kv-50mm-hepr-90-classe-5-flexivel-azul-vendido-no-metro.html; https://www.dimensional.com.br/cabo-flexivel-1kv-90g-hepr-50mm2-azul1361372/p; https://www.eletrotrafo.com.br/cabo-1kv-flex-15mm2-90g-hepr-nbr7286-pt--siln","ax-sil-00750066/p?skuId=20408")</f>
        <v>https://www.lojaeletrica.com.br/cabo-1kv-50mm-hepr-90-classe-5-flexivel-azul-vendido-no-metro.html; https://www.dimensional.com.br/cabo-flexivel-1kv-90g-hepr-50mm2-azul1361372/p; https://www.eletrotrafo.com.br/cabo-1kv-flex-15mm2-90g-hepr-nbr7286-pt--silnax-sil-00750066/p?skuId=20408</v>
      </c>
    </row>
    <row r="362" spans="1:9" x14ac:dyDescent="0.25">
      <c r="A362" s="29" t="s">
        <v>12</v>
      </c>
      <c r="B362" s="29" t="s">
        <v>128</v>
      </c>
      <c r="C362" s="29" t="s">
        <v>34</v>
      </c>
      <c r="D362" s="37" t="s">
        <v>3187</v>
      </c>
      <c r="E362" s="29" t="s">
        <v>234</v>
      </c>
      <c r="F362" s="29" t="s">
        <v>44</v>
      </c>
      <c r="G362" s="29">
        <v>50.18</v>
      </c>
      <c r="H362" s="71" t="s">
        <v>205</v>
      </c>
      <c r="I362" s="37" t="str">
        <f>_xlfn._LONGTEXT("https://www.lojaeletrica.com.br/cabo-1kv-50mm-hepr-90-classe-5-flexivel-preto-vendido-no-metro.html; https://www.dimensional.com.br/cabo-flexivel-1kv-90g-hepr-50mm2-preto1361373/p; https://www.eletrotrafo.com.br/cabo-1kv-flex-15mm2-90g-hepr-nbr7286-pt--si","lnax-sil-00750066/p?skuId=20408")</f>
        <v>https://www.lojaeletrica.com.br/cabo-1kv-50mm-hepr-90-classe-5-flexivel-preto-vendido-no-metro.html; https://www.dimensional.com.br/cabo-flexivel-1kv-90g-hepr-50mm2-preto1361373/p; https://www.eletrotrafo.com.br/cabo-1kv-flex-15mm2-90g-hepr-nbr7286-pt--silnax-sil-00750066/p?skuId=20408</v>
      </c>
    </row>
    <row r="363" spans="1:9" x14ac:dyDescent="0.25">
      <c r="A363" s="29" t="s">
        <v>12</v>
      </c>
      <c r="B363" s="29" t="s">
        <v>128</v>
      </c>
      <c r="C363" s="29" t="s">
        <v>34</v>
      </c>
      <c r="D363" s="37" t="s">
        <v>3188</v>
      </c>
      <c r="E363" s="29" t="s">
        <v>234</v>
      </c>
      <c r="F363" s="29" t="s">
        <v>44</v>
      </c>
      <c r="G363" s="29">
        <v>46.46</v>
      </c>
      <c r="H363" s="71" t="s">
        <v>205</v>
      </c>
      <c r="I363" s="37" t="str">
        <f>"https://www.lojaeletrica.com.br/cabo-1kv-50mm-hepr-90-classe-5-flexivel-verde-vendido-no-metro.html; https://www.dimensional.com.br/cabo-flexivel-1kv-90g-hepr-50mm2-verde1361374/p"</f>
        <v>https://www.lojaeletrica.com.br/cabo-1kv-50mm-hepr-90-classe-5-flexivel-verde-vendido-no-metro.html; https://www.dimensional.com.br/cabo-flexivel-1kv-90g-hepr-50mm2-verde1361374/p</v>
      </c>
    </row>
    <row r="364" spans="1:9" x14ac:dyDescent="0.25">
      <c r="A364" s="29" t="s">
        <v>12</v>
      </c>
      <c r="B364" s="29" t="s">
        <v>128</v>
      </c>
      <c r="C364" s="29" t="s">
        <v>34</v>
      </c>
      <c r="D364" s="37" t="s">
        <v>3189</v>
      </c>
      <c r="E364" s="29" t="s">
        <v>234</v>
      </c>
      <c r="F364" s="29" t="s">
        <v>44</v>
      </c>
      <c r="G364" s="29">
        <v>6.34</v>
      </c>
      <c r="H364" s="71" t="s">
        <v>205</v>
      </c>
      <c r="I364" s="37" t="str">
        <f>_xlfn._LONGTEXT("https://www.lojaeletrica.com.br/cabo-1kv-6mm-hepr-90-classe-4-flexivel-azul-vendido-no-metro.html; https://www.dimensional.com.br/cabo-flexivel-1kv-90g-hepr-6mm2-azul1361358/p; https://www.eletrotrafo.com.br/cabo-1kv-flex-15mm2-90g-hepr-nbr7286-pt--silnax","-sil-00750066/p?skuId=20408")</f>
        <v>https://www.lojaeletrica.com.br/cabo-1kv-6mm-hepr-90-classe-4-flexivel-azul-vendido-no-metro.html; https://www.dimensional.com.br/cabo-flexivel-1kv-90g-hepr-6mm2-azul1361358/p; https://www.eletrotrafo.com.br/cabo-1kv-flex-15mm2-90g-hepr-nbr7286-pt--silnax-sil-00750066/p?skuId=20408</v>
      </c>
    </row>
    <row r="365" spans="1:9" x14ac:dyDescent="0.25">
      <c r="A365" s="29" t="s">
        <v>12</v>
      </c>
      <c r="B365" s="29" t="s">
        <v>128</v>
      </c>
      <c r="C365" s="29" t="s">
        <v>34</v>
      </c>
      <c r="D365" s="37" t="s">
        <v>3190</v>
      </c>
      <c r="E365" s="29" t="s">
        <v>234</v>
      </c>
      <c r="F365" s="29" t="s">
        <v>44</v>
      </c>
      <c r="G365" s="29">
        <v>6.34</v>
      </c>
      <c r="H365" s="71" t="s">
        <v>205</v>
      </c>
      <c r="I365" s="37" t="str">
        <f>_xlfn._LONGTEXT("https://www.lojaeletrica.com.br/cabo-1kv-6mm-hepr-90-classe-4-flexivel-preto-vendido-no-metro.html; https://www.dimensional.com.br/cabo-flexivel-1kv-90g-hepr-6mm2-preto1361359/p; https://www.eletrotrafo.com.br/cabo-1kv-flex-15mm2-90g-hepr-nbr7286-pt--siln","ax-sil-00750066/p?skuId=20408")</f>
        <v>https://www.lojaeletrica.com.br/cabo-1kv-6mm-hepr-90-classe-4-flexivel-preto-vendido-no-metro.html; https://www.dimensional.com.br/cabo-flexivel-1kv-90g-hepr-6mm2-preto1361359/p; https://www.eletrotrafo.com.br/cabo-1kv-flex-15mm2-90g-hepr-nbr7286-pt--silnax-sil-00750066/p?skuId=20408</v>
      </c>
    </row>
    <row r="366" spans="1:9" x14ac:dyDescent="0.25">
      <c r="A366" s="29" t="s">
        <v>12</v>
      </c>
      <c r="B366" s="29" t="s">
        <v>128</v>
      </c>
      <c r="C366" s="29" t="s">
        <v>34</v>
      </c>
      <c r="D366" s="37" t="s">
        <v>3191</v>
      </c>
      <c r="E366" s="29" t="s">
        <v>234</v>
      </c>
      <c r="F366" s="29" t="s">
        <v>44</v>
      </c>
      <c r="G366" s="29">
        <v>5.97</v>
      </c>
      <c r="H366" s="71" t="s">
        <v>205</v>
      </c>
      <c r="I366" s="37" t="str">
        <f>"https://www.lojaeletrica.com.br/cabo-1kv-6mm-hepr-90-classe-4-flexivel-verde-vendido-no-metro.html; https://www.dimensional.com.br/cabo-flexivel-1kv-90g-hepr-6mm2-verde1361360/p"</f>
        <v>https://www.lojaeletrica.com.br/cabo-1kv-6mm-hepr-90-classe-4-flexivel-verde-vendido-no-metro.html; https://www.dimensional.com.br/cabo-flexivel-1kv-90g-hepr-6mm2-verde1361360/p</v>
      </c>
    </row>
    <row r="367" spans="1:9" x14ac:dyDescent="0.25">
      <c r="A367" s="29" t="s">
        <v>12</v>
      </c>
      <c r="B367" s="29" t="s">
        <v>128</v>
      </c>
      <c r="C367" s="29" t="s">
        <v>34</v>
      </c>
      <c r="D367" s="37" t="s">
        <v>3192</v>
      </c>
      <c r="E367" s="29" t="s">
        <v>234</v>
      </c>
      <c r="F367" s="29" t="s">
        <v>44</v>
      </c>
      <c r="G367" s="29">
        <v>71.27</v>
      </c>
      <c r="H367" s="71" t="s">
        <v>205</v>
      </c>
      <c r="I367" s="37" t="str">
        <f>_xlfn._LONGTEXT("https://www.lojaeletrica.com.br/cabo-1kv-70mm-hepr-90-classe-5-flexivel-azul-vendido-no-metro.html; https://www.dimensional.com.br/cabo-flexivel-1kv-90g-hepr-70mm2-azul1361375/p; https://www.eletrotrafo.com.br/cabo-1kv-flex-15mm2-90g-hepr-nbr7286-pt--siln","ax-sil-00750066/p?skuId=20408")</f>
        <v>https://www.lojaeletrica.com.br/cabo-1kv-70mm-hepr-90-classe-5-flexivel-azul-vendido-no-metro.html; https://www.dimensional.com.br/cabo-flexivel-1kv-90g-hepr-70mm2-azul1361375/p; https://www.eletrotrafo.com.br/cabo-1kv-flex-15mm2-90g-hepr-nbr7286-pt--silnax-sil-00750066/p?skuId=20408</v>
      </c>
    </row>
    <row r="368" spans="1:9" x14ac:dyDescent="0.25">
      <c r="A368" s="29" t="s">
        <v>12</v>
      </c>
      <c r="B368" s="29" t="s">
        <v>128</v>
      </c>
      <c r="C368" s="29" t="s">
        <v>34</v>
      </c>
      <c r="D368" s="37" t="s">
        <v>3193</v>
      </c>
      <c r="E368" s="29" t="s">
        <v>234</v>
      </c>
      <c r="F368" s="29" t="s">
        <v>44</v>
      </c>
      <c r="G368" s="29">
        <v>71.239999999999995</v>
      </c>
      <c r="H368" s="71" t="s">
        <v>205</v>
      </c>
      <c r="I368" s="37" t="str">
        <f>_xlfn._LONGTEXT("https://www.lojaeletrica.com.br/cabo-1kv-70mm-hepr-90-classe-5-flexivel-preto-vendido-no-metro.html; https://www.dimensional.com.br/cabo-flexivel-1kv-90g-hepr-70mm2-preto1361376/p; https://www.eletrotrafo.com.br/cabo-1kv-flex-15mm2-90g-hepr-nbr7286-pt--si","lnax-sil-00750066/p?skuId=20408")</f>
        <v>https://www.lojaeletrica.com.br/cabo-1kv-70mm-hepr-90-classe-5-flexivel-preto-vendido-no-metro.html; https://www.dimensional.com.br/cabo-flexivel-1kv-90g-hepr-70mm2-preto1361376/p; https://www.eletrotrafo.com.br/cabo-1kv-flex-15mm2-90g-hepr-nbr7286-pt--silnax-sil-00750066/p?skuId=20408</v>
      </c>
    </row>
    <row r="369" spans="1:9" x14ac:dyDescent="0.25">
      <c r="A369" s="29" t="s">
        <v>12</v>
      </c>
      <c r="B369" s="29" t="s">
        <v>128</v>
      </c>
      <c r="C369" s="29" t="s">
        <v>34</v>
      </c>
      <c r="D369" s="37" t="s">
        <v>3194</v>
      </c>
      <c r="E369" s="29" t="s">
        <v>234</v>
      </c>
      <c r="F369" s="29" t="s">
        <v>44</v>
      </c>
      <c r="G369" s="29">
        <v>66.12</v>
      </c>
      <c r="H369" s="71" t="s">
        <v>205</v>
      </c>
      <c r="I369" s="37" t="str">
        <f>"https://www.lojaeletrica.com.br/cabo-1kv-70mm-hepr-90-classe-5-flexivel-verde-vendido-no-metro.html; https://www.dimensional.com.br/cabo-flexivel-1kv-90g-hepr-70mm2-verde1361377/p"</f>
        <v>https://www.lojaeletrica.com.br/cabo-1kv-70mm-hepr-90-classe-5-flexivel-verde-vendido-no-metro.html; https://www.dimensional.com.br/cabo-flexivel-1kv-90g-hepr-70mm2-verde1361377/p</v>
      </c>
    </row>
    <row r="370" spans="1:9" x14ac:dyDescent="0.25">
      <c r="A370" s="29" t="s">
        <v>12</v>
      </c>
      <c r="B370" s="29" t="s">
        <v>128</v>
      </c>
      <c r="C370" s="29" t="s">
        <v>34</v>
      </c>
      <c r="D370" s="37" t="s">
        <v>3195</v>
      </c>
      <c r="E370" s="29" t="s">
        <v>234</v>
      </c>
      <c r="F370" s="29" t="s">
        <v>44</v>
      </c>
      <c r="G370" s="29">
        <v>93.4</v>
      </c>
      <c r="H370" s="71" t="s">
        <v>205</v>
      </c>
      <c r="I370" s="37" t="str">
        <f>_xlfn._LONGTEXT("https://www.lojaeletrica.com.br/cabo-1kv-95mm-hepr-90-classe-5-flexivel-azul-vendido-no-metro.html; https://www.dimensional.com.br/cabo-flexivel-1kv-90g-hepr-95mm2-azul1361378/p; https://www.eletrotrafo.com.br/cabo-1kv-flex-15mm2-90g-hepr-nbr7286-pt--siln","ax-sil-00750066/p?skuId=20408")</f>
        <v>https://www.lojaeletrica.com.br/cabo-1kv-95mm-hepr-90-classe-5-flexivel-azul-vendido-no-metro.html; https://www.dimensional.com.br/cabo-flexivel-1kv-90g-hepr-95mm2-azul1361378/p; https://www.eletrotrafo.com.br/cabo-1kv-flex-15mm2-90g-hepr-nbr7286-pt--silnax-sil-00750066/p?skuId=20408</v>
      </c>
    </row>
    <row r="371" spans="1:9" x14ac:dyDescent="0.25">
      <c r="A371" s="29" t="s">
        <v>12</v>
      </c>
      <c r="B371" s="29" t="s">
        <v>128</v>
      </c>
      <c r="C371" s="29" t="s">
        <v>34</v>
      </c>
      <c r="D371" s="37" t="s">
        <v>3196</v>
      </c>
      <c r="E371" s="29" t="s">
        <v>234</v>
      </c>
      <c r="F371" s="29" t="s">
        <v>44</v>
      </c>
      <c r="G371" s="29">
        <v>93.4</v>
      </c>
      <c r="H371" s="71" t="s">
        <v>205</v>
      </c>
      <c r="I371" s="37" t="str">
        <f>_xlfn._LONGTEXT("https://www.lojaeletrica.com.br/cabo-1kv-95mm-hepr-90-classe-5-flexivel-preto-vendido-no-metro.html; https://www.dimensional.com.br/cabo-flexivel-1kv-90g-hepr-95mm2-preto1361379/p; https://www.eletrotrafo.com.br/cabo-1kv-flex-15mm2-90g-hepr-nbr7286-pt--si","lnax-sil-00750066/p?skuId=20408")</f>
        <v>https://www.lojaeletrica.com.br/cabo-1kv-95mm-hepr-90-classe-5-flexivel-preto-vendido-no-metro.html; https://www.dimensional.com.br/cabo-flexivel-1kv-90g-hepr-95mm2-preto1361379/p; https://www.eletrotrafo.com.br/cabo-1kv-flex-15mm2-90g-hepr-nbr7286-pt--silnax-sil-00750066/p?skuId=20408</v>
      </c>
    </row>
    <row r="372" spans="1:9" x14ac:dyDescent="0.25">
      <c r="A372" s="29" t="s">
        <v>12</v>
      </c>
      <c r="B372" s="29" t="s">
        <v>128</v>
      </c>
      <c r="C372" s="29" t="s">
        <v>34</v>
      </c>
      <c r="D372" s="37" t="s">
        <v>3197</v>
      </c>
      <c r="E372" s="29" t="s">
        <v>234</v>
      </c>
      <c r="F372" s="29" t="s">
        <v>44</v>
      </c>
      <c r="G372" s="29">
        <v>86.7</v>
      </c>
      <c r="H372" s="71" t="s">
        <v>205</v>
      </c>
      <c r="I372" s="37" t="str">
        <f>"https://www.lojaeletrica.com.br/cabo-1kv-95mm-hepr-90-classe-5-flexivel-verde-vendido-no-metro.html; https://www.dimensional.com.br/cabo-flexivel-1kv-90g-hepr-95mm2-verde1361380/p"</f>
        <v>https://www.lojaeletrica.com.br/cabo-1kv-95mm-hepr-90-classe-5-flexivel-verde-vendido-no-metro.html; https://www.dimensional.com.br/cabo-flexivel-1kv-90g-hepr-95mm2-verde1361380/p</v>
      </c>
    </row>
    <row r="373" spans="1:9" x14ac:dyDescent="0.25">
      <c r="A373" s="29" t="s">
        <v>12</v>
      </c>
      <c r="B373" s="29" t="s">
        <v>128</v>
      </c>
      <c r="C373" s="29" t="s">
        <v>34</v>
      </c>
      <c r="D373" s="37" t="s">
        <v>3198</v>
      </c>
      <c r="E373" s="29" t="s">
        <v>206</v>
      </c>
      <c r="F373" s="29" t="s">
        <v>44</v>
      </c>
      <c r="G373" s="29">
        <v>2.0099999999999998</v>
      </c>
      <c r="H373" s="71" t="s">
        <v>205</v>
      </c>
      <c r="I373" s="37" t="str">
        <f>"https://www.eletrotrafo.com.br/cabo-1kv-flex-15mm2-90g-hepr-nbr7286-pt--silnax-sil-00750066/p?skuId=20408"</f>
        <v>https://www.eletrotrafo.com.br/cabo-1kv-flex-15mm2-90g-hepr-nbr7286-pt--silnax-sil-00750066/p?skuId=20408</v>
      </c>
    </row>
    <row r="374" spans="1:9" x14ac:dyDescent="0.25">
      <c r="A374" s="29" t="s">
        <v>12</v>
      </c>
      <c r="B374" s="29" t="s">
        <v>128</v>
      </c>
      <c r="C374" s="29" t="s">
        <v>34</v>
      </c>
      <c r="D374" s="37" t="s">
        <v>3199</v>
      </c>
      <c r="E374" s="29" t="s">
        <v>206</v>
      </c>
      <c r="F374" s="29" t="s">
        <v>44</v>
      </c>
      <c r="G374" s="29">
        <v>2.0099999999999998</v>
      </c>
      <c r="H374" s="71" t="s">
        <v>205</v>
      </c>
      <c r="I374" s="37" t="str">
        <f>"https://www.eletrotrafo.com.br/cabo-1kv-flex-15mm2-90g-hepr-nbr7286-pt--silnax-sil-00750066/p?skuId=20408"</f>
        <v>https://www.eletrotrafo.com.br/cabo-1kv-flex-15mm2-90g-hepr-nbr7286-pt--silnax-sil-00750066/p?skuId=20408</v>
      </c>
    </row>
    <row r="375" spans="1:9" x14ac:dyDescent="0.25">
      <c r="A375" s="29" t="s">
        <v>12</v>
      </c>
      <c r="B375" s="29" t="s">
        <v>128</v>
      </c>
      <c r="C375" s="29" t="s">
        <v>34</v>
      </c>
      <c r="D375" s="37" t="s">
        <v>3200</v>
      </c>
      <c r="E375" s="29" t="s">
        <v>206</v>
      </c>
      <c r="F375" s="29" t="s">
        <v>44</v>
      </c>
      <c r="G375" s="29">
        <v>2.98</v>
      </c>
      <c r="H375" s="71" t="s">
        <v>205</v>
      </c>
      <c r="I375" s="37" t="str">
        <f>"https://www.eletrotrafo.com.br/cabo-1kv-flex-15mm2-90g-hepr-nbr7286-pt--silnax-sil-00750066/p?skuId=20408; https://www.dimensional.com.br/cabo-flexivel-1kv-90g-hepr-2-5mm2-azul1361352/p"</f>
        <v>https://www.eletrotrafo.com.br/cabo-1kv-flex-15mm2-90g-hepr-nbr7286-pt--silnax-sil-00750066/p?skuId=20408; https://www.dimensional.com.br/cabo-flexivel-1kv-90g-hepr-2-5mm2-azul1361352/p</v>
      </c>
    </row>
    <row r="376" spans="1:9" x14ac:dyDescent="0.25">
      <c r="A376" s="29" t="s">
        <v>12</v>
      </c>
      <c r="B376" s="29" t="s">
        <v>128</v>
      </c>
      <c r="C376" s="29" t="s">
        <v>34</v>
      </c>
      <c r="D376" s="37" t="s">
        <v>3201</v>
      </c>
      <c r="E376" s="29" t="s">
        <v>206</v>
      </c>
      <c r="F376" s="29" t="s">
        <v>44</v>
      </c>
      <c r="G376" s="29">
        <v>2.98</v>
      </c>
      <c r="H376" s="71" t="s">
        <v>205</v>
      </c>
      <c r="I376" s="37" t="str">
        <f>"https://www.eletrotrafo.com.br/cabo-1kv-flex-15mm2-90g-hepr-nbr7286-pt--silnax-sil-00750066/p?skuId=20408; https://www.dimensional.com.br/cabo-flexivel-1kv-90g-hepr-2-5mm2-preto1361353/p"</f>
        <v>https://www.eletrotrafo.com.br/cabo-1kv-flex-15mm2-90g-hepr-nbr7286-pt--silnax-sil-00750066/p?skuId=20408; https://www.dimensional.com.br/cabo-flexivel-1kv-90g-hepr-2-5mm2-preto1361353/p</v>
      </c>
    </row>
    <row r="377" spans="1:9" x14ac:dyDescent="0.25">
      <c r="A377" s="29" t="s">
        <v>12</v>
      </c>
      <c r="B377" s="29" t="s">
        <v>128</v>
      </c>
      <c r="C377" s="29" t="s">
        <v>34</v>
      </c>
      <c r="D377" s="37" t="s">
        <v>3202</v>
      </c>
      <c r="E377" s="29" t="s">
        <v>206</v>
      </c>
      <c r="F377" s="29" t="s">
        <v>44</v>
      </c>
      <c r="G377" s="29">
        <v>2.98</v>
      </c>
      <c r="H377" s="71" t="s">
        <v>205</v>
      </c>
      <c r="I377" s="37" t="str">
        <f>"https://www.eletrotrafo.com.br/cabo-1kv-flex-15mm2-90g-hepr-nbr7286-pt--silnax-sil-00750066/p?skuId=20408; https://www.dimensional.com.br/cabo-flexivel-1kv-90g-hepr-2-5mm2-verde1361354/p"</f>
        <v>https://www.eletrotrafo.com.br/cabo-1kv-flex-15mm2-90g-hepr-nbr7286-pt--silnax-sil-00750066/p?skuId=20408; https://www.dimensional.com.br/cabo-flexivel-1kv-90g-hepr-2-5mm2-verde1361354/p</v>
      </c>
    </row>
    <row r="378" spans="1:9" x14ac:dyDescent="0.25">
      <c r="A378" s="29" t="s">
        <v>12</v>
      </c>
      <c r="B378" s="29" t="s">
        <v>128</v>
      </c>
      <c r="C378" s="29" t="s">
        <v>34</v>
      </c>
      <c r="D378" s="37" t="s">
        <v>3203</v>
      </c>
      <c r="E378" s="29" t="s">
        <v>234</v>
      </c>
      <c r="F378" s="29" t="s">
        <v>44</v>
      </c>
      <c r="G378" s="29">
        <v>3.95</v>
      </c>
      <c r="H378" s="71" t="s">
        <v>205</v>
      </c>
      <c r="I378" s="37" t="str">
        <f>"https://www.dimensional.com.br/cabo-flexivel-1kv-90g-hepr-4mm2-azul1361355/p"</f>
        <v>https://www.dimensional.com.br/cabo-flexivel-1kv-90g-hepr-4mm2-azul1361355/p</v>
      </c>
    </row>
    <row r="379" spans="1:9" x14ac:dyDescent="0.25">
      <c r="A379" s="29" t="s">
        <v>12</v>
      </c>
      <c r="B379" s="29" t="s">
        <v>128</v>
      </c>
      <c r="C379" s="29" t="s">
        <v>34</v>
      </c>
      <c r="D379" s="37" t="s">
        <v>3204</v>
      </c>
      <c r="E379" s="29" t="s">
        <v>234</v>
      </c>
      <c r="F379" s="29" t="s">
        <v>44</v>
      </c>
      <c r="G379" s="29">
        <v>4.09</v>
      </c>
      <c r="H379" s="71" t="s">
        <v>205</v>
      </c>
      <c r="I379" s="37" t="str">
        <f>"https://www.dimensional.com.br/cabo-flexivel-1kv-90g-hepr-4mm2-preto1361356/p"</f>
        <v>https://www.dimensional.com.br/cabo-flexivel-1kv-90g-hepr-4mm2-preto1361356/p</v>
      </c>
    </row>
    <row r="380" spans="1:9" x14ac:dyDescent="0.25">
      <c r="A380" s="29" t="s">
        <v>12</v>
      </c>
      <c r="B380" s="29" t="s">
        <v>128</v>
      </c>
      <c r="C380" s="29" t="s">
        <v>34</v>
      </c>
      <c r="D380" s="37" t="s">
        <v>3205</v>
      </c>
      <c r="E380" s="29" t="s">
        <v>234</v>
      </c>
      <c r="F380" s="29" t="s">
        <v>44</v>
      </c>
      <c r="G380" s="29">
        <v>3.95</v>
      </c>
      <c r="H380" s="71" t="s">
        <v>205</v>
      </c>
      <c r="I380" s="37" t="str">
        <f>"https://www.dimensional.com.br/cabo-flexivel-1kv-90g-hepr-4mm2-verde1361357/p"</f>
        <v>https://www.dimensional.com.br/cabo-flexivel-1kv-90g-hepr-4mm2-verde1361357/p</v>
      </c>
    </row>
    <row r="381" spans="1:9" x14ac:dyDescent="0.25">
      <c r="A381" s="29" t="s">
        <v>12</v>
      </c>
      <c r="B381" s="29" t="s">
        <v>128</v>
      </c>
      <c r="C381" s="29" t="s">
        <v>34</v>
      </c>
      <c r="D381" s="37" t="s">
        <v>2372</v>
      </c>
      <c r="E381" s="29" t="s">
        <v>234</v>
      </c>
      <c r="F381" s="29" t="s">
        <v>44</v>
      </c>
      <c r="G381" s="29">
        <v>8.36</v>
      </c>
      <c r="H381" s="71" t="s">
        <v>205</v>
      </c>
      <c r="I381" s="37" t="str">
        <f>"https://www.dimensional.com.br/cabo-flexivel-750v-70g-pvc-10mm2-azul1361235/p"</f>
        <v>https://www.dimensional.com.br/cabo-flexivel-750v-70g-pvc-10mm2-azul1361235/p</v>
      </c>
    </row>
    <row r="382" spans="1:9" x14ac:dyDescent="0.25">
      <c r="A382" s="29" t="s">
        <v>12</v>
      </c>
      <c r="B382" s="29" t="s">
        <v>128</v>
      </c>
      <c r="C382" s="29" t="s">
        <v>34</v>
      </c>
      <c r="D382" s="37" t="s">
        <v>2373</v>
      </c>
      <c r="E382" s="29" t="s">
        <v>234</v>
      </c>
      <c r="F382" s="29" t="s">
        <v>44</v>
      </c>
      <c r="G382" s="29">
        <v>8.36</v>
      </c>
      <c r="H382" s="71" t="s">
        <v>205</v>
      </c>
      <c r="I382" s="37" t="str">
        <f>"https://www.dimensional.com.br/cabo-flexivel-750v-70g-pvc-10mm2-preto1361239/p"</f>
        <v>https://www.dimensional.com.br/cabo-flexivel-750v-70g-pvc-10mm2-preto1361239/p</v>
      </c>
    </row>
    <row r="383" spans="1:9" x14ac:dyDescent="0.25">
      <c r="A383" s="29" t="s">
        <v>12</v>
      </c>
      <c r="B383" s="29" t="s">
        <v>128</v>
      </c>
      <c r="C383" s="29" t="s">
        <v>34</v>
      </c>
      <c r="D383" s="37" t="s">
        <v>2374</v>
      </c>
      <c r="E383" s="29" t="s">
        <v>234</v>
      </c>
      <c r="F383" s="29" t="s">
        <v>44</v>
      </c>
      <c r="G383" s="29">
        <v>8.36</v>
      </c>
      <c r="H383" s="71" t="s">
        <v>205</v>
      </c>
      <c r="I383" s="37" t="str">
        <f>"https://www.dimensional.com.br/cabo-flexivel-750v-70g-pvc-10mm2-verde1361240/p"</f>
        <v>https://www.dimensional.com.br/cabo-flexivel-750v-70g-pvc-10mm2-verde1361240/p</v>
      </c>
    </row>
    <row r="384" spans="1:9" x14ac:dyDescent="0.25">
      <c r="A384" s="29" t="s">
        <v>12</v>
      </c>
      <c r="B384" s="29" t="s">
        <v>128</v>
      </c>
      <c r="C384" s="29" t="s">
        <v>34</v>
      </c>
      <c r="D384" s="37" t="s">
        <v>2375</v>
      </c>
      <c r="E384" s="29" t="s">
        <v>234</v>
      </c>
      <c r="F384" s="29" t="s">
        <v>44</v>
      </c>
      <c r="G384" s="29">
        <v>101.69</v>
      </c>
      <c r="H384" s="71" t="s">
        <v>205</v>
      </c>
      <c r="I384" s="37" t="str">
        <f>"https://www.dimensional.com.br/cabo-flexivel-750v-70g-pvc-120mm2-azul1361276/p"</f>
        <v>https://www.dimensional.com.br/cabo-flexivel-750v-70g-pvc-120mm2-azul1361276/p</v>
      </c>
    </row>
    <row r="385" spans="1:9" x14ac:dyDescent="0.25">
      <c r="A385" s="29" t="s">
        <v>12</v>
      </c>
      <c r="B385" s="29" t="s">
        <v>128</v>
      </c>
      <c r="C385" s="29" t="s">
        <v>34</v>
      </c>
      <c r="D385" s="37" t="s">
        <v>830</v>
      </c>
      <c r="E385" s="29" t="s">
        <v>234</v>
      </c>
      <c r="F385" s="29" t="s">
        <v>44</v>
      </c>
      <c r="G385" s="29">
        <v>114.28</v>
      </c>
      <c r="H385" s="71" t="s">
        <v>205</v>
      </c>
      <c r="I385" s="37" t="str">
        <f>"https://www.lojaeletrica.com.br/cabo-flexivel-750v-120mm-preto-classe-5-vendido-no-metro.html"</f>
        <v>https://www.lojaeletrica.com.br/cabo-flexivel-750v-120mm-preto-classe-5-vendido-no-metro.html</v>
      </c>
    </row>
    <row r="386" spans="1:9" x14ac:dyDescent="0.25">
      <c r="A386" s="29" t="s">
        <v>12</v>
      </c>
      <c r="B386" s="29" t="s">
        <v>128</v>
      </c>
      <c r="C386" s="29" t="s">
        <v>34</v>
      </c>
      <c r="D386" s="37" t="s">
        <v>831</v>
      </c>
      <c r="E386" s="29" t="s">
        <v>234</v>
      </c>
      <c r="F386" s="29" t="s">
        <v>44</v>
      </c>
      <c r="G386" s="29">
        <v>114.28</v>
      </c>
      <c r="H386" s="71" t="s">
        <v>205</v>
      </c>
      <c r="I386" s="37" t="str">
        <f>"https://www.lojaeletrica.com.br/cabo-flexivel-750v-120mm-verde-classe-5-vendido-no-metro.html"</f>
        <v>https://www.lojaeletrica.com.br/cabo-flexivel-750v-120mm-verde-classe-5-vendido-no-metro.html</v>
      </c>
    </row>
    <row r="387" spans="1:9" x14ac:dyDescent="0.25">
      <c r="A387" s="29" t="s">
        <v>12</v>
      </c>
      <c r="B387" s="29" t="s">
        <v>128</v>
      </c>
      <c r="C387" s="29" t="s">
        <v>34</v>
      </c>
      <c r="D387" s="37" t="s">
        <v>2376</v>
      </c>
      <c r="E387" s="29" t="s">
        <v>234</v>
      </c>
      <c r="F387" s="29" t="s">
        <v>44</v>
      </c>
      <c r="G387" s="29">
        <v>13.49</v>
      </c>
      <c r="H387" s="71" t="s">
        <v>205</v>
      </c>
      <c r="I387" s="37" t="str">
        <f>"https://www.dimensional.com.br/cabo-flexivel-750v-70g-pvc-16mm2-azul1361244/p"</f>
        <v>https://www.dimensional.com.br/cabo-flexivel-750v-70g-pvc-16mm2-azul1361244/p</v>
      </c>
    </row>
    <row r="388" spans="1:9" x14ac:dyDescent="0.25">
      <c r="A388" s="29" t="s">
        <v>12</v>
      </c>
      <c r="B388" s="29" t="s">
        <v>128</v>
      </c>
      <c r="C388" s="29" t="s">
        <v>34</v>
      </c>
      <c r="D388" s="37" t="s">
        <v>2377</v>
      </c>
      <c r="E388" s="29" t="s">
        <v>234</v>
      </c>
      <c r="F388" s="29" t="s">
        <v>44</v>
      </c>
      <c r="G388" s="29">
        <v>13.49</v>
      </c>
      <c r="H388" s="71" t="s">
        <v>205</v>
      </c>
      <c r="I388" s="37" t="str">
        <f>"https://www.dimensional.com.br/cabo-flexivel-750v-70g-pvc-16mm2-preto1361247/p"</f>
        <v>https://www.dimensional.com.br/cabo-flexivel-750v-70g-pvc-16mm2-preto1361247/p</v>
      </c>
    </row>
    <row r="389" spans="1:9" x14ac:dyDescent="0.25">
      <c r="A389" s="29" t="s">
        <v>12</v>
      </c>
      <c r="B389" s="29" t="s">
        <v>128</v>
      </c>
      <c r="C389" s="29" t="s">
        <v>34</v>
      </c>
      <c r="D389" s="37" t="s">
        <v>2378</v>
      </c>
      <c r="E389" s="29" t="s">
        <v>234</v>
      </c>
      <c r="F389" s="29" t="s">
        <v>44</v>
      </c>
      <c r="G389" s="29">
        <v>13.49</v>
      </c>
      <c r="H389" s="71" t="s">
        <v>205</v>
      </c>
      <c r="I389" s="37" t="str">
        <f>"https://www.dimensional.com.br/cabo-flexivel-750v-70g-pvc-16mm2-verde1361248/p"</f>
        <v>https://www.dimensional.com.br/cabo-flexivel-750v-70g-pvc-16mm2-verde1361248/p</v>
      </c>
    </row>
    <row r="390" spans="1:9" x14ac:dyDescent="0.25">
      <c r="A390" s="29" t="s">
        <v>12</v>
      </c>
      <c r="B390" s="29" t="s">
        <v>128</v>
      </c>
      <c r="C390" s="29" t="s">
        <v>34</v>
      </c>
      <c r="D390" s="37" t="s">
        <v>2379</v>
      </c>
      <c r="E390" s="29" t="s">
        <v>234</v>
      </c>
      <c r="F390" s="29" t="s">
        <v>44</v>
      </c>
      <c r="G390" s="29">
        <v>1.99</v>
      </c>
      <c r="H390" s="71" t="s">
        <v>205</v>
      </c>
      <c r="I390" s="37" t="str">
        <f>"https://www.dimensional.com.br/cabo-flexivel-750v-70g-pvc-2-5mm2-azul1361185/p"</f>
        <v>https://www.dimensional.com.br/cabo-flexivel-750v-70g-pvc-2-5mm2-azul1361185/p</v>
      </c>
    </row>
    <row r="391" spans="1:9" x14ac:dyDescent="0.25">
      <c r="A391" s="29" t="s">
        <v>12</v>
      </c>
      <c r="B391" s="29" t="s">
        <v>128</v>
      </c>
      <c r="C391" s="29" t="s">
        <v>34</v>
      </c>
      <c r="D391" s="37" t="s">
        <v>2380</v>
      </c>
      <c r="E391" s="29" t="s">
        <v>234</v>
      </c>
      <c r="F391" s="29" t="s">
        <v>44</v>
      </c>
      <c r="G391" s="29">
        <v>2.09</v>
      </c>
      <c r="H391" s="71" t="s">
        <v>205</v>
      </c>
      <c r="I391" s="37" t="str">
        <f>"https://www.dimensional.com.br/cabo-flexivel-750v-70g-pvc-2-5mm2-preto1361192/p"</f>
        <v>https://www.dimensional.com.br/cabo-flexivel-750v-70g-pvc-2-5mm2-preto1361192/p</v>
      </c>
    </row>
    <row r="392" spans="1:9" x14ac:dyDescent="0.25">
      <c r="A392" s="29" t="s">
        <v>12</v>
      </c>
      <c r="B392" s="29" t="s">
        <v>128</v>
      </c>
      <c r="C392" s="29" t="s">
        <v>34</v>
      </c>
      <c r="D392" s="37" t="s">
        <v>2381</v>
      </c>
      <c r="E392" s="29" t="s">
        <v>234</v>
      </c>
      <c r="F392" s="29" t="s">
        <v>44</v>
      </c>
      <c r="G392" s="29">
        <v>2.09</v>
      </c>
      <c r="H392" s="71" t="s">
        <v>205</v>
      </c>
      <c r="I392" s="37" t="str">
        <f>"https://www.dimensional.com.br/cabo-flexivel-750v-70g-pvc-2-5mm2-verde1361194/p"</f>
        <v>https://www.dimensional.com.br/cabo-flexivel-750v-70g-pvc-2-5mm2-verde1361194/p</v>
      </c>
    </row>
    <row r="393" spans="1:9" x14ac:dyDescent="0.25">
      <c r="A393" s="29" t="s">
        <v>12</v>
      </c>
      <c r="B393" s="29" t="s">
        <v>128</v>
      </c>
      <c r="C393" s="29" t="s">
        <v>34</v>
      </c>
      <c r="D393" s="37" t="s">
        <v>2382</v>
      </c>
      <c r="E393" s="29" t="s">
        <v>234</v>
      </c>
      <c r="F393" s="29" t="s">
        <v>44</v>
      </c>
      <c r="G393" s="29">
        <v>21.59</v>
      </c>
      <c r="H393" s="71" t="s">
        <v>205</v>
      </c>
      <c r="I393" s="37" t="str">
        <f>"https://www.dimensional.com.br/cabo-flexivel-750v-70g-pvc-25mm2-azul1361252/p"</f>
        <v>https://www.dimensional.com.br/cabo-flexivel-750v-70g-pvc-25mm2-azul1361252/p</v>
      </c>
    </row>
    <row r="394" spans="1:9" x14ac:dyDescent="0.25">
      <c r="A394" s="29" t="s">
        <v>12</v>
      </c>
      <c r="B394" s="29" t="s">
        <v>128</v>
      </c>
      <c r="C394" s="29" t="s">
        <v>34</v>
      </c>
      <c r="D394" s="37" t="s">
        <v>2383</v>
      </c>
      <c r="E394" s="29" t="s">
        <v>234</v>
      </c>
      <c r="F394" s="29" t="s">
        <v>44</v>
      </c>
      <c r="G394" s="29">
        <v>24.99</v>
      </c>
      <c r="H394" s="71" t="s">
        <v>205</v>
      </c>
      <c r="I394" s="37" t="str">
        <f>"https://www.dimensional.com.br/cabo-flexivel-750v-70g-pvc-25mm2-preto1361255/p"</f>
        <v>https://www.dimensional.com.br/cabo-flexivel-750v-70g-pvc-25mm2-preto1361255/p</v>
      </c>
    </row>
    <row r="395" spans="1:9" x14ac:dyDescent="0.25">
      <c r="A395" s="29" t="s">
        <v>12</v>
      </c>
      <c r="B395" s="29" t="s">
        <v>128</v>
      </c>
      <c r="C395" s="29" t="s">
        <v>34</v>
      </c>
      <c r="D395" s="37" t="s">
        <v>2384</v>
      </c>
      <c r="E395" s="29" t="s">
        <v>234</v>
      </c>
      <c r="F395" s="29" t="s">
        <v>44</v>
      </c>
      <c r="G395" s="29">
        <v>21.59</v>
      </c>
      <c r="H395" s="71" t="s">
        <v>205</v>
      </c>
      <c r="I395" s="37" t="str">
        <f>"https://www.dimensional.com.br/cabo-flexivel-750v-70g-pvc-25mm2-verde1361256/p"</f>
        <v>https://www.dimensional.com.br/cabo-flexivel-750v-70g-pvc-25mm2-verde1361256/p</v>
      </c>
    </row>
    <row r="396" spans="1:9" x14ac:dyDescent="0.25">
      <c r="A396" s="29" t="s">
        <v>12</v>
      </c>
      <c r="B396" s="29" t="s">
        <v>128</v>
      </c>
      <c r="C396" s="29" t="s">
        <v>34</v>
      </c>
      <c r="D396" s="37" t="s">
        <v>2385</v>
      </c>
      <c r="E396" s="29" t="s">
        <v>234</v>
      </c>
      <c r="F396" s="29" t="s">
        <v>44</v>
      </c>
      <c r="G396" s="29">
        <v>29.69</v>
      </c>
      <c r="H396" s="71" t="s">
        <v>205</v>
      </c>
      <c r="I396" s="37" t="str">
        <f>"https://www.dimensional.com.br/cabo-flexivel-750v-70g-pvc-35mm2-azul1361260/p"</f>
        <v>https://www.dimensional.com.br/cabo-flexivel-750v-70g-pvc-35mm2-azul1361260/p</v>
      </c>
    </row>
    <row r="397" spans="1:9" x14ac:dyDescent="0.25">
      <c r="A397" s="29" t="s">
        <v>12</v>
      </c>
      <c r="B397" s="29" t="s">
        <v>128</v>
      </c>
      <c r="C397" s="29" t="s">
        <v>34</v>
      </c>
      <c r="D397" s="37" t="s">
        <v>2386</v>
      </c>
      <c r="E397" s="29" t="s">
        <v>234</v>
      </c>
      <c r="F397" s="29" t="s">
        <v>44</v>
      </c>
      <c r="G397" s="29">
        <v>28.79</v>
      </c>
      <c r="H397" s="71" t="s">
        <v>205</v>
      </c>
      <c r="I397" s="37" t="str">
        <f>"https://www.dimensional.com.br/cabo-flexivel-750v-70g-pvc-35mm2-preto1361263/p"</f>
        <v>https://www.dimensional.com.br/cabo-flexivel-750v-70g-pvc-35mm2-preto1361263/p</v>
      </c>
    </row>
    <row r="398" spans="1:9" x14ac:dyDescent="0.25">
      <c r="A398" s="29" t="s">
        <v>12</v>
      </c>
      <c r="B398" s="29" t="s">
        <v>128</v>
      </c>
      <c r="C398" s="29" t="s">
        <v>34</v>
      </c>
      <c r="D398" s="37" t="s">
        <v>2387</v>
      </c>
      <c r="E398" s="29" t="s">
        <v>234</v>
      </c>
      <c r="F398" s="29" t="s">
        <v>44</v>
      </c>
      <c r="G398" s="29">
        <v>29.69</v>
      </c>
      <c r="H398" s="71" t="s">
        <v>205</v>
      </c>
      <c r="I398" s="37" t="str">
        <f>"https://www.dimensional.com.br/cabo-flexivel-750v-70g-pvc-35mm2-verde1361264/p"</f>
        <v>https://www.dimensional.com.br/cabo-flexivel-750v-70g-pvc-35mm2-verde1361264/p</v>
      </c>
    </row>
    <row r="399" spans="1:9" x14ac:dyDescent="0.25">
      <c r="A399" s="29" t="s">
        <v>12</v>
      </c>
      <c r="B399" s="29" t="s">
        <v>128</v>
      </c>
      <c r="C399" s="29" t="s">
        <v>34</v>
      </c>
      <c r="D399" s="37" t="s">
        <v>2388</v>
      </c>
      <c r="E399" s="29" t="s">
        <v>234</v>
      </c>
      <c r="F399" s="29" t="s">
        <v>44</v>
      </c>
      <c r="G399" s="29">
        <v>4.09</v>
      </c>
      <c r="H399" s="71" t="s">
        <v>205</v>
      </c>
      <c r="I399" s="37" t="str">
        <f>"https://www.dimensional.com.br/cabo-flexivel-750v-70g-pvc-4mm2-azul1361202/p"</f>
        <v>https://www.dimensional.com.br/cabo-flexivel-750v-70g-pvc-4mm2-azul1361202/p</v>
      </c>
    </row>
    <row r="400" spans="1:9" x14ac:dyDescent="0.25">
      <c r="A400" s="29" t="s">
        <v>12</v>
      </c>
      <c r="B400" s="29" t="s">
        <v>128</v>
      </c>
      <c r="C400" s="29" t="s">
        <v>34</v>
      </c>
      <c r="D400" s="37" t="s">
        <v>2389</v>
      </c>
      <c r="E400" s="29" t="s">
        <v>234</v>
      </c>
      <c r="F400" s="29" t="s">
        <v>44</v>
      </c>
      <c r="G400" s="29">
        <v>3.69</v>
      </c>
      <c r="H400" s="71" t="s">
        <v>205</v>
      </c>
      <c r="I400" s="37" t="str">
        <f>"https://www.dimensional.com.br/cabo-flexivel-750v-70g-pvc-4mm2-preto1361209/p"</f>
        <v>https://www.dimensional.com.br/cabo-flexivel-750v-70g-pvc-4mm2-preto1361209/p</v>
      </c>
    </row>
    <row r="401" spans="1:9" x14ac:dyDescent="0.25">
      <c r="A401" s="29" t="s">
        <v>12</v>
      </c>
      <c r="B401" s="29" t="s">
        <v>128</v>
      </c>
      <c r="C401" s="29" t="s">
        <v>34</v>
      </c>
      <c r="D401" s="37" t="s">
        <v>2390</v>
      </c>
      <c r="E401" s="29" t="s">
        <v>234</v>
      </c>
      <c r="F401" s="29" t="s">
        <v>44</v>
      </c>
      <c r="G401" s="29">
        <v>4.09</v>
      </c>
      <c r="H401" s="71" t="s">
        <v>205</v>
      </c>
      <c r="I401" s="37" t="str">
        <f>"https://www.dimensional.com.br/cabo-flexivel-750v-70g-pvc-4mm2-verde1361211/p"</f>
        <v>https://www.dimensional.com.br/cabo-flexivel-750v-70g-pvc-4mm2-verde1361211/p</v>
      </c>
    </row>
    <row r="402" spans="1:9" x14ac:dyDescent="0.25">
      <c r="A402" s="29" t="s">
        <v>12</v>
      </c>
      <c r="B402" s="29" t="s">
        <v>128</v>
      </c>
      <c r="C402" s="29" t="s">
        <v>34</v>
      </c>
      <c r="D402" s="37" t="s">
        <v>2391</v>
      </c>
      <c r="E402" s="29" t="s">
        <v>234</v>
      </c>
      <c r="F402" s="29" t="s">
        <v>44</v>
      </c>
      <c r="G402" s="29">
        <v>42.29</v>
      </c>
      <c r="H402" s="71" t="s">
        <v>205</v>
      </c>
      <c r="I402" s="37" t="str">
        <f>"https://www.dimensional.com.br/cabo-flexivel-750v-70g-pvc-50mm2-preto1361268/p"</f>
        <v>https://www.dimensional.com.br/cabo-flexivel-750v-70g-pvc-50mm2-preto1361268/p</v>
      </c>
    </row>
    <row r="403" spans="1:9" x14ac:dyDescent="0.25">
      <c r="A403" s="29" t="s">
        <v>12</v>
      </c>
      <c r="B403" s="29" t="s">
        <v>128</v>
      </c>
      <c r="C403" s="29" t="s">
        <v>34</v>
      </c>
      <c r="D403" s="37" t="s">
        <v>832</v>
      </c>
      <c r="E403" s="29" t="s">
        <v>234</v>
      </c>
      <c r="F403" s="29" t="s">
        <v>44</v>
      </c>
      <c r="G403" s="29">
        <v>48.77</v>
      </c>
      <c r="H403" s="71" t="s">
        <v>205</v>
      </c>
      <c r="I403" s="37" t="str">
        <f>"https://www.lojaeletrica.com.br/cabo-flexivel-750v-50mm-azul-classe-5-vendido-no-metro.html"</f>
        <v>https://www.lojaeletrica.com.br/cabo-flexivel-750v-50mm-azul-classe-5-vendido-no-metro.html</v>
      </c>
    </row>
    <row r="404" spans="1:9" x14ac:dyDescent="0.25">
      <c r="A404" s="29" t="s">
        <v>12</v>
      </c>
      <c r="B404" s="29" t="s">
        <v>128</v>
      </c>
      <c r="C404" s="29" t="s">
        <v>34</v>
      </c>
      <c r="D404" s="37" t="s">
        <v>833</v>
      </c>
      <c r="E404" s="29" t="s">
        <v>234</v>
      </c>
      <c r="F404" s="29" t="s">
        <v>44</v>
      </c>
      <c r="G404" s="29">
        <v>48.77</v>
      </c>
      <c r="H404" s="71" t="s">
        <v>205</v>
      </c>
      <c r="I404" s="37" t="str">
        <f>"https://www.lojaeletrica.com.br/cabo-flexivel-750v-50mm-verde-classe-5-vendido-no-metro.html"</f>
        <v>https://www.lojaeletrica.com.br/cabo-flexivel-750v-50mm-verde-classe-5-vendido-no-metro.html</v>
      </c>
    </row>
    <row r="405" spans="1:9" x14ac:dyDescent="0.25">
      <c r="A405" s="29" t="s">
        <v>12</v>
      </c>
      <c r="B405" s="29" t="s">
        <v>128</v>
      </c>
      <c r="C405" s="29" t="s">
        <v>34</v>
      </c>
      <c r="D405" s="37" t="s">
        <v>1175</v>
      </c>
      <c r="E405" s="29" t="s">
        <v>211</v>
      </c>
      <c r="F405" s="29" t="s">
        <v>44</v>
      </c>
      <c r="G405" s="29">
        <v>6.22</v>
      </c>
      <c r="H405" s="71" t="s">
        <v>205</v>
      </c>
      <c r="I405" s="37" t="str">
        <f>"https://www.eletrotrafo.com.br/cabo-750v-flex-azul-6mm--rolo-com-100-metros-%E2%80%93-condex/p?skuId=4505"</f>
        <v>https://www.eletrotrafo.com.br/cabo-750v-flex-azul-6mm--rolo-com-100-metros-%E2%80%93-condex/p?skuId=4505</v>
      </c>
    </row>
    <row r="406" spans="1:9" x14ac:dyDescent="0.25">
      <c r="A406" s="29" t="s">
        <v>12</v>
      </c>
      <c r="B406" s="29" t="s">
        <v>128</v>
      </c>
      <c r="C406" s="29" t="s">
        <v>34</v>
      </c>
      <c r="D406" s="37" t="s">
        <v>1176</v>
      </c>
      <c r="E406" s="29" t="s">
        <v>206</v>
      </c>
      <c r="F406" s="29" t="s">
        <v>44</v>
      </c>
      <c r="G406" s="29">
        <v>6.22</v>
      </c>
      <c r="H406" s="71" t="s">
        <v>205</v>
      </c>
      <c r="I406" s="37" t="str">
        <f>"https://www.eletrotrafo.com.br/cabo-750v-flex-verde-6mm--rolo-com-100-metros-%E2%80%93-sil-/p?skuId=4496"</f>
        <v>https://www.eletrotrafo.com.br/cabo-750v-flex-verde-6mm--rolo-com-100-metros-%E2%80%93-sil-/p?skuId=4496</v>
      </c>
    </row>
    <row r="407" spans="1:9" x14ac:dyDescent="0.25">
      <c r="A407" s="29" t="s">
        <v>12</v>
      </c>
      <c r="B407" s="29" t="s">
        <v>128</v>
      </c>
      <c r="C407" s="29" t="s">
        <v>34</v>
      </c>
      <c r="D407" s="37" t="s">
        <v>2392</v>
      </c>
      <c r="E407" s="29" t="s">
        <v>234</v>
      </c>
      <c r="F407" s="29" t="s">
        <v>44</v>
      </c>
      <c r="G407" s="29">
        <v>5.59</v>
      </c>
      <c r="H407" s="71" t="s">
        <v>205</v>
      </c>
      <c r="I407" s="37" t="str">
        <f>"https://www.dimensional.com.br/cabo-flexivel-750v-70g-pvc-6mm2-preto1361226/p"</f>
        <v>https://www.dimensional.com.br/cabo-flexivel-750v-70g-pvc-6mm2-preto1361226/p</v>
      </c>
    </row>
    <row r="408" spans="1:9" x14ac:dyDescent="0.25">
      <c r="A408" s="29" t="s">
        <v>12</v>
      </c>
      <c r="B408" s="29" t="s">
        <v>128</v>
      </c>
      <c r="C408" s="29" t="s">
        <v>34</v>
      </c>
      <c r="D408" s="37" t="s">
        <v>2393</v>
      </c>
      <c r="E408" s="29" t="s">
        <v>234</v>
      </c>
      <c r="F408" s="29" t="s">
        <v>44</v>
      </c>
      <c r="G408" s="29">
        <v>56.69</v>
      </c>
      <c r="H408" s="71" t="s">
        <v>205</v>
      </c>
      <c r="I408" s="37" t="str">
        <f>"https://www.dimensional.com.br/cabo-flexivel-750v-70g-pvc-70mm2-azul1361270/p"</f>
        <v>https://www.dimensional.com.br/cabo-flexivel-750v-70g-pvc-70mm2-azul1361270/p</v>
      </c>
    </row>
    <row r="409" spans="1:9" x14ac:dyDescent="0.25">
      <c r="A409" s="29" t="s">
        <v>12</v>
      </c>
      <c r="B409" s="29" t="s">
        <v>128</v>
      </c>
      <c r="C409" s="29" t="s">
        <v>34</v>
      </c>
      <c r="D409" s="37" t="s">
        <v>2394</v>
      </c>
      <c r="E409" s="29" t="s">
        <v>234</v>
      </c>
      <c r="F409" s="29" t="s">
        <v>44</v>
      </c>
      <c r="G409" s="29">
        <v>55.79</v>
      </c>
      <c r="H409" s="71" t="s">
        <v>205</v>
      </c>
      <c r="I409" s="37" t="str">
        <f>"https://www.dimensional.com.br/cabo-flexivel-750v-70g-pvc-70mm2-preto1361271/p"</f>
        <v>https://www.dimensional.com.br/cabo-flexivel-750v-70g-pvc-70mm2-preto1361271/p</v>
      </c>
    </row>
    <row r="410" spans="1:9" x14ac:dyDescent="0.25">
      <c r="A410" s="29" t="s">
        <v>12</v>
      </c>
      <c r="B410" s="29" t="s">
        <v>128</v>
      </c>
      <c r="C410" s="29" t="s">
        <v>34</v>
      </c>
      <c r="D410" s="37" t="s">
        <v>2395</v>
      </c>
      <c r="E410" s="29" t="s">
        <v>234</v>
      </c>
      <c r="F410" s="29" t="s">
        <v>44</v>
      </c>
      <c r="G410" s="29">
        <v>62.09</v>
      </c>
      <c r="H410" s="71" t="s">
        <v>205</v>
      </c>
      <c r="I410" s="37" t="str">
        <f>"https://www.dimensional.com.br/cabo-flexivel-750v-70g-pvc-70mm2-verde1361272/p"</f>
        <v>https://www.dimensional.com.br/cabo-flexivel-750v-70g-pvc-70mm2-verde1361272/p</v>
      </c>
    </row>
    <row r="411" spans="1:9" x14ac:dyDescent="0.25">
      <c r="A411" s="29" t="s">
        <v>12</v>
      </c>
      <c r="B411" s="29" t="s">
        <v>128</v>
      </c>
      <c r="C411" s="29" t="s">
        <v>34</v>
      </c>
      <c r="D411" s="37" t="s">
        <v>2396</v>
      </c>
      <c r="E411" s="29" t="s">
        <v>234</v>
      </c>
      <c r="F411" s="29" t="s">
        <v>44</v>
      </c>
      <c r="G411" s="29">
        <v>93.99</v>
      </c>
      <c r="H411" s="71" t="s">
        <v>205</v>
      </c>
      <c r="I411" s="37" t="str">
        <f>"https://www.dimensional.com.br/cabo-flexivel-750v-70g-pvc-95mm2-preto1361274/p"</f>
        <v>https://www.dimensional.com.br/cabo-flexivel-750v-70g-pvc-95mm2-preto1361274/p</v>
      </c>
    </row>
    <row r="412" spans="1:9" x14ac:dyDescent="0.25">
      <c r="A412" s="29" t="s">
        <v>12</v>
      </c>
      <c r="B412" s="29" t="s">
        <v>128</v>
      </c>
      <c r="C412" s="29" t="s">
        <v>34</v>
      </c>
      <c r="D412" s="37" t="s">
        <v>2397</v>
      </c>
      <c r="E412" s="29" t="s">
        <v>234</v>
      </c>
      <c r="F412" s="29" t="s">
        <v>44</v>
      </c>
      <c r="G412" s="29">
        <v>79.19</v>
      </c>
      <c r="H412" s="71" t="s">
        <v>205</v>
      </c>
      <c r="I412" s="37" t="str">
        <f>"https://www.dimensional.com.br/cabo-flexivel-750v-70g-pvc-95mm2-verde1361275/p"</f>
        <v>https://www.dimensional.com.br/cabo-flexivel-750v-70g-pvc-95mm2-verde1361275/p</v>
      </c>
    </row>
    <row r="413" spans="1:9" x14ac:dyDescent="0.25">
      <c r="A413" s="29" t="s">
        <v>12</v>
      </c>
      <c r="B413" s="29" t="s">
        <v>128</v>
      </c>
      <c r="C413" s="29" t="s">
        <v>34</v>
      </c>
      <c r="D413" s="37" t="s">
        <v>834</v>
      </c>
      <c r="E413" s="29" t="s">
        <v>234</v>
      </c>
      <c r="F413" s="29" t="s">
        <v>44</v>
      </c>
      <c r="G413" s="29">
        <v>90.31</v>
      </c>
      <c r="H413" s="71" t="s">
        <v>205</v>
      </c>
      <c r="I413" s="37" t="str">
        <f>"https://www.lojaeletrica.com.br/cabo-flexivel-750v-95mm-azul-classe-5-vendido-no-metro.html"</f>
        <v>https://www.lojaeletrica.com.br/cabo-flexivel-750v-95mm-azul-classe-5-vendido-no-metro.html</v>
      </c>
    </row>
    <row r="414" spans="1:9" x14ac:dyDescent="0.25">
      <c r="A414" s="29" t="s">
        <v>12</v>
      </c>
      <c r="B414" s="29" t="s">
        <v>128</v>
      </c>
      <c r="C414" s="29">
        <v>41955</v>
      </c>
      <c r="D414" s="37" t="s">
        <v>1474</v>
      </c>
      <c r="E414" s="29" t="s">
        <v>37</v>
      </c>
      <c r="F414" s="29" t="s">
        <v>41</v>
      </c>
      <c r="G414" s="29">
        <v>86.18</v>
      </c>
      <c r="H414" s="71" t="s">
        <v>38</v>
      </c>
      <c r="I414" s="37" t="s">
        <v>207</v>
      </c>
    </row>
    <row r="415" spans="1:9" x14ac:dyDescent="0.25">
      <c r="A415" s="29" t="s">
        <v>12</v>
      </c>
      <c r="B415" s="29" t="s">
        <v>128</v>
      </c>
      <c r="C415" s="29">
        <v>41953</v>
      </c>
      <c r="D415" s="37" t="s">
        <v>1475</v>
      </c>
      <c r="E415" s="29" t="s">
        <v>37</v>
      </c>
      <c r="F415" s="29" t="s">
        <v>41</v>
      </c>
      <c r="G415" s="29">
        <v>82.24</v>
      </c>
      <c r="H415" s="71" t="s">
        <v>38</v>
      </c>
      <c r="I415" s="37" t="s">
        <v>207</v>
      </c>
    </row>
    <row r="416" spans="1:9" x14ac:dyDescent="0.25">
      <c r="A416" s="29" t="s">
        <v>12</v>
      </c>
      <c r="B416" s="29" t="s">
        <v>128</v>
      </c>
      <c r="C416" s="29">
        <v>41954</v>
      </c>
      <c r="D416" s="37" t="s">
        <v>1476</v>
      </c>
      <c r="E416" s="29" t="s">
        <v>37</v>
      </c>
      <c r="F416" s="29" t="s">
        <v>41</v>
      </c>
      <c r="G416" s="29">
        <v>81.459999999999994</v>
      </c>
      <c r="H416" s="71" t="s">
        <v>38</v>
      </c>
      <c r="I416" s="37" t="s">
        <v>207</v>
      </c>
    </row>
    <row r="417" spans="1:9" x14ac:dyDescent="0.25">
      <c r="A417" s="29" t="s">
        <v>12</v>
      </c>
      <c r="B417" s="29" t="s">
        <v>128</v>
      </c>
      <c r="C417" s="29">
        <v>44391</v>
      </c>
      <c r="D417" s="37" t="s">
        <v>1477</v>
      </c>
      <c r="E417" s="29" t="s">
        <v>37</v>
      </c>
      <c r="F417" s="29" t="s">
        <v>44</v>
      </c>
      <c r="G417" s="29">
        <v>128.6</v>
      </c>
      <c r="H417" s="71" t="s">
        <v>38</v>
      </c>
      <c r="I417" s="37" t="s">
        <v>207</v>
      </c>
    </row>
    <row r="418" spans="1:9" x14ac:dyDescent="0.25">
      <c r="A418" s="29" t="s">
        <v>12</v>
      </c>
      <c r="B418" s="29" t="s">
        <v>128</v>
      </c>
      <c r="C418" s="29">
        <v>44388</v>
      </c>
      <c r="D418" s="37" t="s">
        <v>1478</v>
      </c>
      <c r="E418" s="29" t="s">
        <v>37</v>
      </c>
      <c r="F418" s="29" t="s">
        <v>44</v>
      </c>
      <c r="G418" s="29">
        <v>2.78</v>
      </c>
      <c r="H418" s="71" t="s">
        <v>38</v>
      </c>
      <c r="I418" s="37" t="s">
        <v>207</v>
      </c>
    </row>
    <row r="419" spans="1:9" x14ac:dyDescent="0.25">
      <c r="A419" s="29" t="s">
        <v>12</v>
      </c>
      <c r="B419" s="29" t="s">
        <v>128</v>
      </c>
      <c r="C419" s="29">
        <v>44392</v>
      </c>
      <c r="D419" s="37" t="s">
        <v>1479</v>
      </c>
      <c r="E419" s="29" t="s">
        <v>37</v>
      </c>
      <c r="F419" s="29" t="s">
        <v>44</v>
      </c>
      <c r="G419" s="29">
        <v>256.05</v>
      </c>
      <c r="H419" s="71" t="s">
        <v>38</v>
      </c>
      <c r="I419" s="37" t="s">
        <v>207</v>
      </c>
    </row>
    <row r="420" spans="1:9" x14ac:dyDescent="0.25">
      <c r="A420" s="29" t="s">
        <v>12</v>
      </c>
      <c r="B420" s="29" t="s">
        <v>128</v>
      </c>
      <c r="C420" s="29">
        <v>44390</v>
      </c>
      <c r="D420" s="37" t="s">
        <v>1480</v>
      </c>
      <c r="E420" s="29" t="s">
        <v>37</v>
      </c>
      <c r="F420" s="29" t="s">
        <v>44</v>
      </c>
      <c r="G420" s="29">
        <v>54.25</v>
      </c>
      <c r="H420" s="71" t="s">
        <v>38</v>
      </c>
      <c r="I420" s="37" t="s">
        <v>207</v>
      </c>
    </row>
    <row r="421" spans="1:9" x14ac:dyDescent="0.25">
      <c r="A421" s="29" t="s">
        <v>12</v>
      </c>
      <c r="B421" s="29" t="s">
        <v>128</v>
      </c>
      <c r="C421" s="29">
        <v>44389</v>
      </c>
      <c r="D421" s="37" t="s">
        <v>1481</v>
      </c>
      <c r="E421" s="29" t="s">
        <v>37</v>
      </c>
      <c r="F421" s="29" t="s">
        <v>44</v>
      </c>
      <c r="G421" s="29">
        <v>6.4</v>
      </c>
      <c r="H421" s="71" t="s">
        <v>38</v>
      </c>
      <c r="I421" s="37" t="s">
        <v>207</v>
      </c>
    </row>
    <row r="422" spans="1:9" x14ac:dyDescent="0.25">
      <c r="A422" s="29" t="s">
        <v>12</v>
      </c>
      <c r="B422" s="29" t="s">
        <v>128</v>
      </c>
      <c r="C422" s="29">
        <v>39251</v>
      </c>
      <c r="D422" s="37" t="s">
        <v>2398</v>
      </c>
      <c r="E422" s="29" t="s">
        <v>37</v>
      </c>
      <c r="F422" s="29" t="s">
        <v>44</v>
      </c>
      <c r="G422" s="29">
        <v>0.73</v>
      </c>
      <c r="H422" s="71" t="s">
        <v>38</v>
      </c>
      <c r="I422" s="37" t="s">
        <v>207</v>
      </c>
    </row>
    <row r="423" spans="1:9" x14ac:dyDescent="0.25">
      <c r="A423" s="29" t="s">
        <v>12</v>
      </c>
      <c r="B423" s="29" t="s">
        <v>128</v>
      </c>
      <c r="C423" s="29">
        <v>1011</v>
      </c>
      <c r="D423" s="37" t="s">
        <v>2399</v>
      </c>
      <c r="E423" s="29" t="s">
        <v>37</v>
      </c>
      <c r="F423" s="29" t="s">
        <v>44</v>
      </c>
      <c r="G423" s="29">
        <v>1</v>
      </c>
      <c r="H423" s="71" t="s">
        <v>38</v>
      </c>
      <c r="I423" s="37" t="s">
        <v>207</v>
      </c>
    </row>
    <row r="424" spans="1:9" x14ac:dyDescent="0.25">
      <c r="A424" s="29" t="s">
        <v>12</v>
      </c>
      <c r="B424" s="29" t="s">
        <v>128</v>
      </c>
      <c r="C424" s="29">
        <v>39252</v>
      </c>
      <c r="D424" s="37" t="s">
        <v>2400</v>
      </c>
      <c r="E424" s="29" t="s">
        <v>37</v>
      </c>
      <c r="F424" s="29" t="s">
        <v>44</v>
      </c>
      <c r="G424" s="29">
        <v>1.31</v>
      </c>
      <c r="H424" s="71" t="s">
        <v>38</v>
      </c>
      <c r="I424" s="37" t="s">
        <v>207</v>
      </c>
    </row>
    <row r="425" spans="1:9" x14ac:dyDescent="0.25">
      <c r="A425" s="29" t="s">
        <v>12</v>
      </c>
      <c r="B425" s="29" t="s">
        <v>128</v>
      </c>
      <c r="C425" s="29">
        <v>1013</v>
      </c>
      <c r="D425" s="37" t="s">
        <v>2401</v>
      </c>
      <c r="E425" s="29" t="s">
        <v>37</v>
      </c>
      <c r="F425" s="29" t="s">
        <v>44</v>
      </c>
      <c r="G425" s="29">
        <v>1.57</v>
      </c>
      <c r="H425" s="71" t="s">
        <v>38</v>
      </c>
      <c r="I425" s="37" t="s">
        <v>207</v>
      </c>
    </row>
    <row r="426" spans="1:9" x14ac:dyDescent="0.25">
      <c r="A426" s="29" t="s">
        <v>12</v>
      </c>
      <c r="B426" s="29" t="s">
        <v>128</v>
      </c>
      <c r="C426" s="29">
        <v>980</v>
      </c>
      <c r="D426" s="37" t="s">
        <v>2402</v>
      </c>
      <c r="E426" s="29" t="s">
        <v>37</v>
      </c>
      <c r="F426" s="29" t="s">
        <v>44</v>
      </c>
      <c r="G426" s="29">
        <v>11.35</v>
      </c>
      <c r="H426" s="71" t="s">
        <v>38</v>
      </c>
      <c r="I426" s="37" t="s">
        <v>207</v>
      </c>
    </row>
    <row r="427" spans="1:9" x14ac:dyDescent="0.25">
      <c r="A427" s="29" t="s">
        <v>12</v>
      </c>
      <c r="B427" s="29" t="s">
        <v>128</v>
      </c>
      <c r="C427" s="29">
        <v>39237</v>
      </c>
      <c r="D427" s="37" t="s">
        <v>2403</v>
      </c>
      <c r="E427" s="29" t="s">
        <v>37</v>
      </c>
      <c r="F427" s="29" t="s">
        <v>44</v>
      </c>
      <c r="G427" s="29">
        <v>120.7</v>
      </c>
      <c r="H427" s="71" t="s">
        <v>38</v>
      </c>
      <c r="I427" s="37" t="s">
        <v>207</v>
      </c>
    </row>
    <row r="428" spans="1:9" x14ac:dyDescent="0.25">
      <c r="A428" s="29" t="s">
        <v>12</v>
      </c>
      <c r="B428" s="29" t="s">
        <v>128</v>
      </c>
      <c r="C428" s="29">
        <v>39238</v>
      </c>
      <c r="D428" s="37" t="s">
        <v>2404</v>
      </c>
      <c r="E428" s="29" t="s">
        <v>37</v>
      </c>
      <c r="F428" s="29" t="s">
        <v>44</v>
      </c>
      <c r="G428" s="29">
        <v>152.22999999999999</v>
      </c>
      <c r="H428" s="71" t="s">
        <v>38</v>
      </c>
      <c r="I428" s="37" t="s">
        <v>207</v>
      </c>
    </row>
    <row r="429" spans="1:9" x14ac:dyDescent="0.25">
      <c r="A429" s="29" t="s">
        <v>12</v>
      </c>
      <c r="B429" s="29" t="s">
        <v>128</v>
      </c>
      <c r="C429" s="29">
        <v>979</v>
      </c>
      <c r="D429" s="37" t="s">
        <v>2405</v>
      </c>
      <c r="E429" s="29" t="s">
        <v>37</v>
      </c>
      <c r="F429" s="29" t="s">
        <v>44</v>
      </c>
      <c r="G429" s="29">
        <v>16.21</v>
      </c>
      <c r="H429" s="71" t="s">
        <v>38</v>
      </c>
      <c r="I429" s="37" t="s">
        <v>207</v>
      </c>
    </row>
    <row r="430" spans="1:9" x14ac:dyDescent="0.25">
      <c r="A430" s="29" t="s">
        <v>12</v>
      </c>
      <c r="B430" s="29" t="s">
        <v>128</v>
      </c>
      <c r="C430" s="29">
        <v>39239</v>
      </c>
      <c r="D430" s="37" t="s">
        <v>2406</v>
      </c>
      <c r="E430" s="29" t="s">
        <v>37</v>
      </c>
      <c r="F430" s="29" t="s">
        <v>44</v>
      </c>
      <c r="G430" s="29">
        <v>183.91</v>
      </c>
      <c r="H430" s="71" t="s">
        <v>38</v>
      </c>
      <c r="I430" s="37" t="s">
        <v>207</v>
      </c>
    </row>
    <row r="431" spans="1:9" x14ac:dyDescent="0.25">
      <c r="A431" s="29" t="s">
        <v>12</v>
      </c>
      <c r="B431" s="29" t="s">
        <v>128</v>
      </c>
      <c r="C431" s="29">
        <v>1014</v>
      </c>
      <c r="D431" s="37" t="s">
        <v>2407</v>
      </c>
      <c r="E431" s="29" t="s">
        <v>37</v>
      </c>
      <c r="F431" s="29" t="s">
        <v>44</v>
      </c>
      <c r="G431" s="29">
        <v>2.4900000000000002</v>
      </c>
      <c r="H431" s="71" t="s">
        <v>38</v>
      </c>
      <c r="I431" s="37" t="s">
        <v>207</v>
      </c>
    </row>
    <row r="432" spans="1:9" x14ac:dyDescent="0.25">
      <c r="A432" s="29" t="s">
        <v>12</v>
      </c>
      <c r="B432" s="29" t="s">
        <v>128</v>
      </c>
      <c r="C432" s="29">
        <v>39240</v>
      </c>
      <c r="D432" s="37" t="s">
        <v>2408</v>
      </c>
      <c r="E432" s="29" t="s">
        <v>37</v>
      </c>
      <c r="F432" s="29" t="s">
        <v>44</v>
      </c>
      <c r="G432" s="29">
        <v>241.9</v>
      </c>
      <c r="H432" s="71" t="s">
        <v>38</v>
      </c>
      <c r="I432" s="37" t="s">
        <v>207</v>
      </c>
    </row>
    <row r="433" spans="1:9" x14ac:dyDescent="0.25">
      <c r="A433" s="29" t="s">
        <v>12</v>
      </c>
      <c r="B433" s="29" t="s">
        <v>128</v>
      </c>
      <c r="C433" s="29">
        <v>39232</v>
      </c>
      <c r="D433" s="37" t="s">
        <v>2409</v>
      </c>
      <c r="E433" s="29" t="s">
        <v>37</v>
      </c>
      <c r="F433" s="29" t="s">
        <v>44</v>
      </c>
      <c r="G433" s="29">
        <v>25.38</v>
      </c>
      <c r="H433" s="71" t="s">
        <v>38</v>
      </c>
      <c r="I433" s="37" t="s">
        <v>207</v>
      </c>
    </row>
    <row r="434" spans="1:9" x14ac:dyDescent="0.25">
      <c r="A434" s="29" t="s">
        <v>12</v>
      </c>
      <c r="B434" s="29" t="s">
        <v>128</v>
      </c>
      <c r="C434" s="29">
        <v>39233</v>
      </c>
      <c r="D434" s="37" t="s">
        <v>2410</v>
      </c>
      <c r="E434" s="29" t="s">
        <v>37</v>
      </c>
      <c r="F434" s="29" t="s">
        <v>44</v>
      </c>
      <c r="G434" s="29">
        <v>37</v>
      </c>
      <c r="H434" s="71" t="s">
        <v>38</v>
      </c>
      <c r="I434" s="37" t="s">
        <v>207</v>
      </c>
    </row>
    <row r="435" spans="1:9" x14ac:dyDescent="0.25">
      <c r="A435" s="29" t="s">
        <v>12</v>
      </c>
      <c r="B435" s="29" t="s">
        <v>128</v>
      </c>
      <c r="C435" s="29">
        <v>981</v>
      </c>
      <c r="D435" s="37" t="s">
        <v>2411</v>
      </c>
      <c r="E435" s="29" t="s">
        <v>37</v>
      </c>
      <c r="F435" s="29" t="s">
        <v>44</v>
      </c>
      <c r="G435" s="29">
        <v>4.13</v>
      </c>
      <c r="H435" s="71" t="s">
        <v>38</v>
      </c>
      <c r="I435" s="37" t="s">
        <v>207</v>
      </c>
    </row>
    <row r="436" spans="1:9" x14ac:dyDescent="0.25">
      <c r="A436" s="29" t="s">
        <v>12</v>
      </c>
      <c r="B436" s="29" t="s">
        <v>128</v>
      </c>
      <c r="C436" s="29">
        <v>39234</v>
      </c>
      <c r="D436" s="37" t="s">
        <v>2412</v>
      </c>
      <c r="E436" s="29" t="s">
        <v>37</v>
      </c>
      <c r="F436" s="29" t="s">
        <v>44</v>
      </c>
      <c r="G436" s="29">
        <v>51.5</v>
      </c>
      <c r="H436" s="71" t="s">
        <v>38</v>
      </c>
      <c r="I436" s="37" t="s">
        <v>207</v>
      </c>
    </row>
    <row r="437" spans="1:9" x14ac:dyDescent="0.25">
      <c r="A437" s="29" t="s">
        <v>12</v>
      </c>
      <c r="B437" s="29" t="s">
        <v>128</v>
      </c>
      <c r="C437" s="29">
        <v>982</v>
      </c>
      <c r="D437" s="37" t="s">
        <v>2413</v>
      </c>
      <c r="E437" s="29" t="s">
        <v>37</v>
      </c>
      <c r="F437" s="29" t="s">
        <v>44</v>
      </c>
      <c r="G437" s="29">
        <v>5.94</v>
      </c>
      <c r="H437" s="71" t="s">
        <v>38</v>
      </c>
      <c r="I437" s="37" t="s">
        <v>207</v>
      </c>
    </row>
    <row r="438" spans="1:9" x14ac:dyDescent="0.25">
      <c r="A438" s="29" t="s">
        <v>12</v>
      </c>
      <c r="B438" s="29" t="s">
        <v>128</v>
      </c>
      <c r="C438" s="29">
        <v>39235</v>
      </c>
      <c r="D438" s="37" t="s">
        <v>2414</v>
      </c>
      <c r="E438" s="29" t="s">
        <v>37</v>
      </c>
      <c r="F438" s="29" t="s">
        <v>44</v>
      </c>
      <c r="G438" s="29">
        <v>75.97</v>
      </c>
      <c r="H438" s="71" t="s">
        <v>38</v>
      </c>
      <c r="I438" s="37" t="s">
        <v>207</v>
      </c>
    </row>
    <row r="439" spans="1:9" x14ac:dyDescent="0.25">
      <c r="A439" s="29" t="s">
        <v>12</v>
      </c>
      <c r="B439" s="29" t="s">
        <v>128</v>
      </c>
      <c r="C439" s="29">
        <v>39236</v>
      </c>
      <c r="D439" s="37" t="s">
        <v>2415</v>
      </c>
      <c r="E439" s="29" t="s">
        <v>37</v>
      </c>
      <c r="F439" s="29" t="s">
        <v>44</v>
      </c>
      <c r="G439" s="29">
        <v>100.67</v>
      </c>
      <c r="H439" s="71" t="s">
        <v>38</v>
      </c>
      <c r="I439" s="37" t="s">
        <v>207</v>
      </c>
    </row>
    <row r="440" spans="1:9" x14ac:dyDescent="0.25">
      <c r="A440" s="29" t="s">
        <v>12</v>
      </c>
      <c r="B440" s="29" t="s">
        <v>128</v>
      </c>
      <c r="C440" s="29">
        <v>993</v>
      </c>
      <c r="D440" s="37" t="s">
        <v>3206</v>
      </c>
      <c r="E440" s="29" t="s">
        <v>37</v>
      </c>
      <c r="F440" s="29" t="s">
        <v>44</v>
      </c>
      <c r="G440" s="29">
        <v>2.12</v>
      </c>
      <c r="H440" s="71" t="s">
        <v>38</v>
      </c>
      <c r="I440" s="37" t="s">
        <v>207</v>
      </c>
    </row>
    <row r="441" spans="1:9" x14ac:dyDescent="0.25">
      <c r="A441" s="29" t="s">
        <v>12</v>
      </c>
      <c r="B441" s="29" t="s">
        <v>128</v>
      </c>
      <c r="C441" s="29">
        <v>1020</v>
      </c>
      <c r="D441" s="37" t="s">
        <v>3207</v>
      </c>
      <c r="E441" s="29" t="s">
        <v>37</v>
      </c>
      <c r="F441" s="29" t="s">
        <v>44</v>
      </c>
      <c r="G441" s="29">
        <v>10.82</v>
      </c>
      <c r="H441" s="71" t="s">
        <v>38</v>
      </c>
      <c r="I441" s="37" t="s">
        <v>207</v>
      </c>
    </row>
    <row r="442" spans="1:9" x14ac:dyDescent="0.25">
      <c r="A442" s="29" t="s">
        <v>12</v>
      </c>
      <c r="B442" s="29" t="s">
        <v>128</v>
      </c>
      <c r="C442" s="29">
        <v>1017</v>
      </c>
      <c r="D442" s="37" t="s">
        <v>3208</v>
      </c>
      <c r="E442" s="29" t="s">
        <v>37</v>
      </c>
      <c r="F442" s="29" t="s">
        <v>44</v>
      </c>
      <c r="G442" s="29">
        <v>132.59</v>
      </c>
      <c r="H442" s="71" t="s">
        <v>38</v>
      </c>
      <c r="I442" s="37" t="s">
        <v>207</v>
      </c>
    </row>
    <row r="443" spans="1:9" x14ac:dyDescent="0.25">
      <c r="A443" s="29" t="s">
        <v>12</v>
      </c>
      <c r="B443" s="29" t="s">
        <v>128</v>
      </c>
      <c r="C443" s="29">
        <v>999</v>
      </c>
      <c r="D443" s="37" t="s">
        <v>3209</v>
      </c>
      <c r="E443" s="29" t="s">
        <v>37</v>
      </c>
      <c r="F443" s="29" t="s">
        <v>44</v>
      </c>
      <c r="G443" s="29">
        <v>160.63</v>
      </c>
      <c r="H443" s="71" t="s">
        <v>38</v>
      </c>
      <c r="I443" s="37" t="s">
        <v>207</v>
      </c>
    </row>
    <row r="444" spans="1:9" x14ac:dyDescent="0.25">
      <c r="A444" s="29" t="s">
        <v>12</v>
      </c>
      <c r="B444" s="29" t="s">
        <v>128</v>
      </c>
      <c r="C444" s="29">
        <v>995</v>
      </c>
      <c r="D444" s="37" t="s">
        <v>3210</v>
      </c>
      <c r="E444" s="29" t="s">
        <v>37</v>
      </c>
      <c r="F444" s="29" t="s">
        <v>44</v>
      </c>
      <c r="G444" s="29">
        <v>17.23</v>
      </c>
      <c r="H444" s="71" t="s">
        <v>38</v>
      </c>
      <c r="I444" s="37" t="s">
        <v>207</v>
      </c>
    </row>
    <row r="445" spans="1:9" x14ac:dyDescent="0.25">
      <c r="A445" s="29" t="s">
        <v>12</v>
      </c>
      <c r="B445" s="29" t="s">
        <v>128</v>
      </c>
      <c r="C445" s="29">
        <v>1000</v>
      </c>
      <c r="D445" s="37" t="s">
        <v>3211</v>
      </c>
      <c r="E445" s="29" t="s">
        <v>37</v>
      </c>
      <c r="F445" s="29" t="s">
        <v>44</v>
      </c>
      <c r="G445" s="29">
        <v>197.31</v>
      </c>
      <c r="H445" s="71" t="s">
        <v>38</v>
      </c>
      <c r="I445" s="37" t="s">
        <v>207</v>
      </c>
    </row>
    <row r="446" spans="1:9" x14ac:dyDescent="0.25">
      <c r="A446" s="29" t="s">
        <v>12</v>
      </c>
      <c r="B446" s="29" t="s">
        <v>128</v>
      </c>
      <c r="C446" s="29">
        <v>1022</v>
      </c>
      <c r="D446" s="37" t="s">
        <v>3212</v>
      </c>
      <c r="E446" s="29" t="s">
        <v>37</v>
      </c>
      <c r="F446" s="29" t="s">
        <v>44</v>
      </c>
      <c r="G446" s="29">
        <v>2.96</v>
      </c>
      <c r="H446" s="71" t="s">
        <v>38</v>
      </c>
      <c r="I446" s="37" t="s">
        <v>207</v>
      </c>
    </row>
    <row r="447" spans="1:9" x14ac:dyDescent="0.25">
      <c r="A447" s="29" t="s">
        <v>12</v>
      </c>
      <c r="B447" s="29" t="s">
        <v>128</v>
      </c>
      <c r="C447" s="29">
        <v>1015</v>
      </c>
      <c r="D447" s="37" t="s">
        <v>3213</v>
      </c>
      <c r="E447" s="29" t="s">
        <v>37</v>
      </c>
      <c r="F447" s="29" t="s">
        <v>44</v>
      </c>
      <c r="G447" s="29">
        <v>262.19</v>
      </c>
      <c r="H447" s="71" t="s">
        <v>38</v>
      </c>
      <c r="I447" s="37" t="s">
        <v>207</v>
      </c>
    </row>
    <row r="448" spans="1:9" x14ac:dyDescent="0.25">
      <c r="A448" s="29" t="s">
        <v>12</v>
      </c>
      <c r="B448" s="29" t="s">
        <v>128</v>
      </c>
      <c r="C448" s="29">
        <v>996</v>
      </c>
      <c r="D448" s="37" t="s">
        <v>3214</v>
      </c>
      <c r="E448" s="29" t="s">
        <v>37</v>
      </c>
      <c r="F448" s="29" t="s">
        <v>44</v>
      </c>
      <c r="G448" s="29">
        <v>26.71</v>
      </c>
      <c r="H448" s="71" t="s">
        <v>38</v>
      </c>
      <c r="I448" s="37" t="s">
        <v>207</v>
      </c>
    </row>
    <row r="449" spans="1:9" x14ac:dyDescent="0.25">
      <c r="A449" s="29" t="s">
        <v>12</v>
      </c>
      <c r="B449" s="29" t="s">
        <v>128</v>
      </c>
      <c r="C449" s="29">
        <v>1001</v>
      </c>
      <c r="D449" s="37" t="s">
        <v>3215</v>
      </c>
      <c r="E449" s="29" t="s">
        <v>37</v>
      </c>
      <c r="F449" s="29" t="s">
        <v>44</v>
      </c>
      <c r="G449" s="29">
        <v>340.19</v>
      </c>
      <c r="H449" s="71" t="s">
        <v>38</v>
      </c>
      <c r="I449" s="37" t="s">
        <v>207</v>
      </c>
    </row>
    <row r="450" spans="1:9" x14ac:dyDescent="0.25">
      <c r="A450" s="29" t="s">
        <v>12</v>
      </c>
      <c r="B450" s="29" t="s">
        <v>128</v>
      </c>
      <c r="C450" s="29">
        <v>1019</v>
      </c>
      <c r="D450" s="37" t="s">
        <v>3216</v>
      </c>
      <c r="E450" s="29" t="s">
        <v>37</v>
      </c>
      <c r="F450" s="29" t="s">
        <v>44</v>
      </c>
      <c r="G450" s="29">
        <v>37.75</v>
      </c>
      <c r="H450" s="71" t="s">
        <v>38</v>
      </c>
      <c r="I450" s="37" t="s">
        <v>207</v>
      </c>
    </row>
    <row r="451" spans="1:9" x14ac:dyDescent="0.25">
      <c r="A451" s="29" t="s">
        <v>12</v>
      </c>
      <c r="B451" s="29" t="s">
        <v>128</v>
      </c>
      <c r="C451" s="29">
        <v>1021</v>
      </c>
      <c r="D451" s="37" t="s">
        <v>3217</v>
      </c>
      <c r="E451" s="29" t="s">
        <v>37</v>
      </c>
      <c r="F451" s="29" t="s">
        <v>44</v>
      </c>
      <c r="G451" s="29">
        <v>4.54</v>
      </c>
      <c r="H451" s="71" t="s">
        <v>38</v>
      </c>
      <c r="I451" s="37" t="s">
        <v>207</v>
      </c>
    </row>
    <row r="452" spans="1:9" x14ac:dyDescent="0.25">
      <c r="A452" s="29" t="s">
        <v>12</v>
      </c>
      <c r="B452" s="29" t="s">
        <v>128</v>
      </c>
      <c r="C452" s="29">
        <v>39249</v>
      </c>
      <c r="D452" s="37" t="s">
        <v>3218</v>
      </c>
      <c r="E452" s="29" t="s">
        <v>37</v>
      </c>
      <c r="F452" s="29" t="s">
        <v>44</v>
      </c>
      <c r="G452" s="29">
        <v>457.4</v>
      </c>
      <c r="H452" s="71" t="s">
        <v>38</v>
      </c>
      <c r="I452" s="37" t="s">
        <v>207</v>
      </c>
    </row>
    <row r="453" spans="1:9" x14ac:dyDescent="0.25">
      <c r="A453" s="29" t="s">
        <v>12</v>
      </c>
      <c r="B453" s="29" t="s">
        <v>128</v>
      </c>
      <c r="C453" s="29">
        <v>1018</v>
      </c>
      <c r="D453" s="37" t="s">
        <v>3219</v>
      </c>
      <c r="E453" s="29" t="s">
        <v>37</v>
      </c>
      <c r="F453" s="29" t="s">
        <v>44</v>
      </c>
      <c r="G453" s="29">
        <v>55.82</v>
      </c>
      <c r="H453" s="71" t="s">
        <v>38</v>
      </c>
      <c r="I453" s="37" t="s">
        <v>207</v>
      </c>
    </row>
    <row r="454" spans="1:9" x14ac:dyDescent="0.25">
      <c r="A454" s="29" t="s">
        <v>12</v>
      </c>
      <c r="B454" s="29" t="s">
        <v>128</v>
      </c>
      <c r="C454" s="29">
        <v>39250</v>
      </c>
      <c r="D454" s="37" t="s">
        <v>3220</v>
      </c>
      <c r="E454" s="29" t="s">
        <v>37</v>
      </c>
      <c r="F454" s="29" t="s">
        <v>44</v>
      </c>
      <c r="G454" s="29">
        <v>547.15</v>
      </c>
      <c r="H454" s="71" t="s">
        <v>38</v>
      </c>
      <c r="I454" s="37" t="s">
        <v>207</v>
      </c>
    </row>
    <row r="455" spans="1:9" x14ac:dyDescent="0.25">
      <c r="A455" s="29" t="s">
        <v>12</v>
      </c>
      <c r="B455" s="29" t="s">
        <v>128</v>
      </c>
      <c r="C455" s="29">
        <v>994</v>
      </c>
      <c r="D455" s="37" t="s">
        <v>3221</v>
      </c>
      <c r="E455" s="29" t="s">
        <v>37</v>
      </c>
      <c r="F455" s="29" t="s">
        <v>44</v>
      </c>
      <c r="G455" s="29">
        <v>6.6</v>
      </c>
      <c r="H455" s="71" t="s">
        <v>38</v>
      </c>
      <c r="I455" s="37" t="s">
        <v>207</v>
      </c>
    </row>
    <row r="456" spans="1:9" x14ac:dyDescent="0.25">
      <c r="A456" s="29" t="s">
        <v>12</v>
      </c>
      <c r="B456" s="29" t="s">
        <v>128</v>
      </c>
      <c r="C456" s="29">
        <v>977</v>
      </c>
      <c r="D456" s="37" t="s">
        <v>3222</v>
      </c>
      <c r="E456" s="29" t="s">
        <v>37</v>
      </c>
      <c r="F456" s="29" t="s">
        <v>44</v>
      </c>
      <c r="G456" s="29">
        <v>78.09</v>
      </c>
      <c r="H456" s="71" t="s">
        <v>38</v>
      </c>
      <c r="I456" s="37" t="s">
        <v>207</v>
      </c>
    </row>
    <row r="457" spans="1:9" x14ac:dyDescent="0.25">
      <c r="A457" s="29" t="s">
        <v>12</v>
      </c>
      <c r="B457" s="29" t="s">
        <v>128</v>
      </c>
      <c r="C457" s="29">
        <v>998</v>
      </c>
      <c r="D457" s="37" t="s">
        <v>3223</v>
      </c>
      <c r="E457" s="29" t="s">
        <v>37</v>
      </c>
      <c r="F457" s="29" t="s">
        <v>44</v>
      </c>
      <c r="G457" s="29">
        <v>101.39</v>
      </c>
      <c r="H457" s="71" t="s">
        <v>38</v>
      </c>
      <c r="I457" s="37" t="s">
        <v>207</v>
      </c>
    </row>
    <row r="458" spans="1:9" x14ac:dyDescent="0.25">
      <c r="A458" s="29" t="s">
        <v>12</v>
      </c>
      <c r="B458" s="29" t="s">
        <v>128</v>
      </c>
      <c r="C458" s="29">
        <v>43972</v>
      </c>
      <c r="D458" s="37" t="s">
        <v>3147</v>
      </c>
      <c r="E458" s="29" t="s">
        <v>37</v>
      </c>
      <c r="F458" s="29" t="s">
        <v>44</v>
      </c>
      <c r="G458" s="29">
        <v>4.6500000000000004</v>
      </c>
      <c r="H458" s="71" t="s">
        <v>38</v>
      </c>
      <c r="I458" s="37" t="s">
        <v>207</v>
      </c>
    </row>
    <row r="459" spans="1:9" x14ac:dyDescent="0.25">
      <c r="A459" s="29" t="s">
        <v>12</v>
      </c>
      <c r="B459" s="29" t="s">
        <v>128</v>
      </c>
      <c r="C459" s="29">
        <v>43971</v>
      </c>
      <c r="D459" s="37" t="s">
        <v>3148</v>
      </c>
      <c r="E459" s="29" t="s">
        <v>53</v>
      </c>
      <c r="F459" s="29" t="s">
        <v>44</v>
      </c>
      <c r="G459" s="29">
        <v>3.55</v>
      </c>
      <c r="H459" s="71" t="s">
        <v>38</v>
      </c>
      <c r="I459" s="37" t="s">
        <v>207</v>
      </c>
    </row>
    <row r="460" spans="1:9" x14ac:dyDescent="0.25">
      <c r="A460" s="29" t="s">
        <v>12</v>
      </c>
      <c r="B460" s="29" t="s">
        <v>128</v>
      </c>
      <c r="C460" s="29">
        <v>39598</v>
      </c>
      <c r="D460" s="37" t="s">
        <v>2793</v>
      </c>
      <c r="E460" s="29" t="s">
        <v>54</v>
      </c>
      <c r="F460" s="29" t="s">
        <v>44</v>
      </c>
      <c r="G460" s="29">
        <v>6.58</v>
      </c>
      <c r="H460" s="71" t="s">
        <v>38</v>
      </c>
      <c r="I460" s="37" t="s">
        <v>207</v>
      </c>
    </row>
    <row r="461" spans="1:9" x14ac:dyDescent="0.25">
      <c r="A461" s="29" t="s">
        <v>12</v>
      </c>
      <c r="B461" s="29" t="s">
        <v>128</v>
      </c>
      <c r="C461" s="29">
        <v>43973</v>
      </c>
      <c r="D461" s="37" t="s">
        <v>3149</v>
      </c>
      <c r="E461" s="29" t="s">
        <v>37</v>
      </c>
      <c r="F461" s="29" t="s">
        <v>44</v>
      </c>
      <c r="G461" s="29">
        <v>4.8600000000000003</v>
      </c>
      <c r="H461" s="71" t="s">
        <v>38</v>
      </c>
      <c r="I461" s="37" t="s">
        <v>207</v>
      </c>
    </row>
    <row r="462" spans="1:9" x14ac:dyDescent="0.25">
      <c r="A462" s="29" t="s">
        <v>12</v>
      </c>
      <c r="B462" s="29" t="s">
        <v>128</v>
      </c>
      <c r="C462" s="29">
        <v>39599</v>
      </c>
      <c r="D462" s="37" t="s">
        <v>2794</v>
      </c>
      <c r="E462" s="29" t="s">
        <v>54</v>
      </c>
      <c r="F462" s="29" t="s">
        <v>44</v>
      </c>
      <c r="G462" s="29">
        <v>9.4700000000000006</v>
      </c>
      <c r="H462" s="71" t="s">
        <v>38</v>
      </c>
      <c r="I462" s="37" t="s">
        <v>207</v>
      </c>
    </row>
    <row r="463" spans="1:9" x14ac:dyDescent="0.25">
      <c r="A463" s="29" t="s">
        <v>12</v>
      </c>
      <c r="B463" s="29" t="s">
        <v>128</v>
      </c>
      <c r="C463" s="29">
        <v>43832</v>
      </c>
      <c r="D463" s="37" t="s">
        <v>2963</v>
      </c>
      <c r="E463" s="29" t="s">
        <v>37</v>
      </c>
      <c r="F463" s="29" t="s">
        <v>44</v>
      </c>
      <c r="G463" s="29">
        <v>24.94</v>
      </c>
      <c r="H463" s="71" t="s">
        <v>38</v>
      </c>
      <c r="I463" s="37" t="s">
        <v>207</v>
      </c>
    </row>
    <row r="464" spans="1:9" x14ac:dyDescent="0.25">
      <c r="A464" s="29" t="s">
        <v>12</v>
      </c>
      <c r="B464" s="29" t="s">
        <v>128</v>
      </c>
      <c r="C464" s="29">
        <v>34602</v>
      </c>
      <c r="D464" s="37" t="s">
        <v>2416</v>
      </c>
      <c r="E464" s="29" t="s">
        <v>37</v>
      </c>
      <c r="F464" s="29" t="s">
        <v>44</v>
      </c>
      <c r="G464" s="29">
        <v>4.5999999999999996</v>
      </c>
      <c r="H464" s="71" t="s">
        <v>38</v>
      </c>
      <c r="I464" s="37" t="s">
        <v>207</v>
      </c>
    </row>
    <row r="465" spans="1:9" x14ac:dyDescent="0.25">
      <c r="A465" s="29" t="s">
        <v>12</v>
      </c>
      <c r="B465" s="29" t="s">
        <v>128</v>
      </c>
      <c r="C465" s="29">
        <v>34607</v>
      </c>
      <c r="D465" s="37" t="s">
        <v>2417</v>
      </c>
      <c r="E465" s="29" t="s">
        <v>37</v>
      </c>
      <c r="F465" s="29" t="s">
        <v>44</v>
      </c>
      <c r="G465" s="29">
        <v>11.26</v>
      </c>
      <c r="H465" s="71" t="s">
        <v>38</v>
      </c>
      <c r="I465" s="37" t="s">
        <v>207</v>
      </c>
    </row>
    <row r="466" spans="1:9" x14ac:dyDescent="0.25">
      <c r="A466" s="29" t="s">
        <v>12</v>
      </c>
      <c r="B466" s="29" t="s">
        <v>128</v>
      </c>
      <c r="C466" s="29">
        <v>34609</v>
      </c>
      <c r="D466" s="37" t="s">
        <v>2418</v>
      </c>
      <c r="E466" s="29" t="s">
        <v>37</v>
      </c>
      <c r="F466" s="29" t="s">
        <v>44</v>
      </c>
      <c r="G466" s="29">
        <v>16.38</v>
      </c>
      <c r="H466" s="71" t="s">
        <v>38</v>
      </c>
      <c r="I466" s="37" t="s">
        <v>207</v>
      </c>
    </row>
    <row r="467" spans="1:9" x14ac:dyDescent="0.25">
      <c r="A467" s="29" t="s">
        <v>12</v>
      </c>
      <c r="B467" s="29" t="s">
        <v>128</v>
      </c>
      <c r="C467" s="29">
        <v>34618</v>
      </c>
      <c r="D467" s="37" t="s">
        <v>2419</v>
      </c>
      <c r="E467" s="29" t="s">
        <v>37</v>
      </c>
      <c r="F467" s="29" t="s">
        <v>44</v>
      </c>
      <c r="G467" s="29">
        <v>6.27</v>
      </c>
      <c r="H467" s="71" t="s">
        <v>38</v>
      </c>
      <c r="I467" s="37" t="s">
        <v>207</v>
      </c>
    </row>
    <row r="468" spans="1:9" x14ac:dyDescent="0.25">
      <c r="A468" s="29" t="s">
        <v>12</v>
      </c>
      <c r="B468" s="29" t="s">
        <v>128</v>
      </c>
      <c r="C468" s="29">
        <v>34621</v>
      </c>
      <c r="D468" s="37" t="s">
        <v>2420</v>
      </c>
      <c r="E468" s="29" t="s">
        <v>37</v>
      </c>
      <c r="F468" s="29" t="s">
        <v>44</v>
      </c>
      <c r="G468" s="29">
        <v>15.53</v>
      </c>
      <c r="H468" s="71" t="s">
        <v>38</v>
      </c>
      <c r="I468" s="37" t="s">
        <v>207</v>
      </c>
    </row>
    <row r="469" spans="1:9" x14ac:dyDescent="0.25">
      <c r="A469" s="29" t="s">
        <v>12</v>
      </c>
      <c r="B469" s="29" t="s">
        <v>128</v>
      </c>
      <c r="C469" s="29">
        <v>34622</v>
      </c>
      <c r="D469" s="37" t="s">
        <v>2421</v>
      </c>
      <c r="E469" s="29" t="s">
        <v>37</v>
      </c>
      <c r="F469" s="29" t="s">
        <v>44</v>
      </c>
      <c r="G469" s="29">
        <v>23.07</v>
      </c>
      <c r="H469" s="71" t="s">
        <v>38</v>
      </c>
      <c r="I469" s="37" t="s">
        <v>207</v>
      </c>
    </row>
    <row r="470" spans="1:9" x14ac:dyDescent="0.25">
      <c r="A470" s="29" t="s">
        <v>12</v>
      </c>
      <c r="B470" s="29" t="s">
        <v>128</v>
      </c>
      <c r="C470" s="29">
        <v>34624</v>
      </c>
      <c r="D470" s="37" t="s">
        <v>2422</v>
      </c>
      <c r="E470" s="29" t="s">
        <v>37</v>
      </c>
      <c r="F470" s="29" t="s">
        <v>44</v>
      </c>
      <c r="G470" s="29">
        <v>8.3699999999999992</v>
      </c>
      <c r="H470" s="71" t="s">
        <v>38</v>
      </c>
      <c r="I470" s="37" t="s">
        <v>207</v>
      </c>
    </row>
    <row r="471" spans="1:9" x14ac:dyDescent="0.25">
      <c r="A471" s="29" t="s">
        <v>12</v>
      </c>
      <c r="B471" s="29" t="s">
        <v>128</v>
      </c>
      <c r="C471" s="29">
        <v>34627</v>
      </c>
      <c r="D471" s="37" t="s">
        <v>2423</v>
      </c>
      <c r="E471" s="29" t="s">
        <v>37</v>
      </c>
      <c r="F471" s="29" t="s">
        <v>44</v>
      </c>
      <c r="G471" s="29">
        <v>20.18</v>
      </c>
      <c r="H471" s="71" t="s">
        <v>38</v>
      </c>
      <c r="I471" s="37" t="s">
        <v>207</v>
      </c>
    </row>
    <row r="472" spans="1:9" x14ac:dyDescent="0.25">
      <c r="A472" s="29" t="s">
        <v>12</v>
      </c>
      <c r="B472" s="29" t="s">
        <v>128</v>
      </c>
      <c r="C472" s="29">
        <v>34629</v>
      </c>
      <c r="D472" s="37" t="s">
        <v>2424</v>
      </c>
      <c r="E472" s="29" t="s">
        <v>37</v>
      </c>
      <c r="F472" s="29" t="s">
        <v>44</v>
      </c>
      <c r="G472" s="29">
        <v>30.82</v>
      </c>
      <c r="H472" s="71" t="s">
        <v>38</v>
      </c>
      <c r="I472" s="37" t="s">
        <v>207</v>
      </c>
    </row>
    <row r="473" spans="1:9" x14ac:dyDescent="0.25">
      <c r="A473" s="29" t="s">
        <v>12</v>
      </c>
      <c r="B473" s="29" t="s">
        <v>128</v>
      </c>
      <c r="C473" s="29">
        <v>39257</v>
      </c>
      <c r="D473" s="37" t="s">
        <v>3224</v>
      </c>
      <c r="E473" s="29" t="s">
        <v>37</v>
      </c>
      <c r="F473" s="29" t="s">
        <v>44</v>
      </c>
      <c r="G473" s="29">
        <v>6.27</v>
      </c>
      <c r="H473" s="71" t="s">
        <v>38</v>
      </c>
      <c r="I473" s="37" t="s">
        <v>207</v>
      </c>
    </row>
    <row r="474" spans="1:9" x14ac:dyDescent="0.25">
      <c r="A474" s="29" t="s">
        <v>12</v>
      </c>
      <c r="B474" s="29" t="s">
        <v>128</v>
      </c>
      <c r="C474" s="29">
        <v>39261</v>
      </c>
      <c r="D474" s="37" t="s">
        <v>3225</v>
      </c>
      <c r="E474" s="29" t="s">
        <v>52</v>
      </c>
      <c r="F474" s="29" t="s">
        <v>44</v>
      </c>
      <c r="G474" s="29">
        <v>35.909999999999997</v>
      </c>
      <c r="H474" s="71" t="s">
        <v>38</v>
      </c>
      <c r="I474" s="37" t="s">
        <v>207</v>
      </c>
    </row>
    <row r="475" spans="1:9" x14ac:dyDescent="0.25">
      <c r="A475" s="29" t="s">
        <v>12</v>
      </c>
      <c r="B475" s="29" t="s">
        <v>128</v>
      </c>
      <c r="C475" s="29">
        <v>39268</v>
      </c>
      <c r="D475" s="37" t="s">
        <v>3226</v>
      </c>
      <c r="E475" s="29" t="s">
        <v>52</v>
      </c>
      <c r="F475" s="29" t="s">
        <v>44</v>
      </c>
      <c r="G475" s="29">
        <v>561.35</v>
      </c>
      <c r="H475" s="71" t="s">
        <v>38</v>
      </c>
      <c r="I475" s="37" t="s">
        <v>207</v>
      </c>
    </row>
    <row r="476" spans="1:9" x14ac:dyDescent="0.25">
      <c r="A476" s="29" t="s">
        <v>12</v>
      </c>
      <c r="B476" s="29" t="s">
        <v>128</v>
      </c>
      <c r="C476" s="29">
        <v>39262</v>
      </c>
      <c r="D476" s="37" t="s">
        <v>3227</v>
      </c>
      <c r="E476" s="29" t="s">
        <v>37</v>
      </c>
      <c r="F476" s="29" t="s">
        <v>44</v>
      </c>
      <c r="G476" s="29">
        <v>57.19</v>
      </c>
      <c r="H476" s="71" t="s">
        <v>38</v>
      </c>
      <c r="I476" s="37" t="s">
        <v>207</v>
      </c>
    </row>
    <row r="477" spans="1:9" x14ac:dyDescent="0.25">
      <c r="A477" s="29" t="s">
        <v>12</v>
      </c>
      <c r="B477" s="29" t="s">
        <v>128</v>
      </c>
      <c r="C477" s="29">
        <v>39258</v>
      </c>
      <c r="D477" s="37" t="s">
        <v>3228</v>
      </c>
      <c r="E477" s="29" t="s">
        <v>52</v>
      </c>
      <c r="F477" s="29" t="s">
        <v>44</v>
      </c>
      <c r="G477" s="29">
        <v>9.4499999999999993</v>
      </c>
      <c r="H477" s="71" t="s">
        <v>38</v>
      </c>
      <c r="I477" s="37" t="s">
        <v>207</v>
      </c>
    </row>
    <row r="478" spans="1:9" x14ac:dyDescent="0.25">
      <c r="A478" s="29" t="s">
        <v>12</v>
      </c>
      <c r="B478" s="29" t="s">
        <v>128</v>
      </c>
      <c r="C478" s="29">
        <v>39263</v>
      </c>
      <c r="D478" s="37" t="s">
        <v>3229</v>
      </c>
      <c r="E478" s="29" t="s">
        <v>37</v>
      </c>
      <c r="F478" s="29" t="s">
        <v>44</v>
      </c>
      <c r="G478" s="29">
        <v>98.89</v>
      </c>
      <c r="H478" s="71" t="s">
        <v>38</v>
      </c>
      <c r="I478" s="37" t="s">
        <v>207</v>
      </c>
    </row>
    <row r="479" spans="1:9" x14ac:dyDescent="0.25">
      <c r="A479" s="29" t="s">
        <v>12</v>
      </c>
      <c r="B479" s="29" t="s">
        <v>128</v>
      </c>
      <c r="C479" s="29">
        <v>39264</v>
      </c>
      <c r="D479" s="37" t="s">
        <v>3230</v>
      </c>
      <c r="E479" s="29" t="s">
        <v>37</v>
      </c>
      <c r="F479" s="29" t="s">
        <v>44</v>
      </c>
      <c r="G479" s="29">
        <v>136.99</v>
      </c>
      <c r="H479" s="71" t="s">
        <v>38</v>
      </c>
      <c r="I479" s="37" t="s">
        <v>207</v>
      </c>
    </row>
    <row r="480" spans="1:9" x14ac:dyDescent="0.25">
      <c r="A480" s="29" t="s">
        <v>12</v>
      </c>
      <c r="B480" s="29" t="s">
        <v>128</v>
      </c>
      <c r="C480" s="29">
        <v>39259</v>
      </c>
      <c r="D480" s="37" t="s">
        <v>3231</v>
      </c>
      <c r="E480" s="29" t="s">
        <v>52</v>
      </c>
      <c r="F480" s="29" t="s">
        <v>44</v>
      </c>
      <c r="G480" s="29">
        <v>14.56</v>
      </c>
      <c r="H480" s="71" t="s">
        <v>38</v>
      </c>
      <c r="I480" s="37" t="s">
        <v>207</v>
      </c>
    </row>
    <row r="481" spans="1:9" x14ac:dyDescent="0.25">
      <c r="A481" s="29" t="s">
        <v>12</v>
      </c>
      <c r="B481" s="29" t="s">
        <v>128</v>
      </c>
      <c r="C481" s="29">
        <v>39265</v>
      </c>
      <c r="D481" s="37" t="s">
        <v>3232</v>
      </c>
      <c r="E481" s="29" t="s">
        <v>52</v>
      </c>
      <c r="F481" s="29" t="s">
        <v>44</v>
      </c>
      <c r="G481" s="29">
        <v>185.99</v>
      </c>
      <c r="H481" s="71" t="s">
        <v>38</v>
      </c>
      <c r="I481" s="37" t="s">
        <v>207</v>
      </c>
    </row>
    <row r="482" spans="1:9" x14ac:dyDescent="0.25">
      <c r="A482" s="29" t="s">
        <v>12</v>
      </c>
      <c r="B482" s="29" t="s">
        <v>128</v>
      </c>
      <c r="C482" s="29">
        <v>39260</v>
      </c>
      <c r="D482" s="37" t="s">
        <v>3233</v>
      </c>
      <c r="E482" s="29" t="s">
        <v>52</v>
      </c>
      <c r="F482" s="29" t="s">
        <v>44</v>
      </c>
      <c r="G482" s="29">
        <v>22.29</v>
      </c>
      <c r="H482" s="71" t="s">
        <v>38</v>
      </c>
      <c r="I482" s="37" t="s">
        <v>207</v>
      </c>
    </row>
    <row r="483" spans="1:9" x14ac:dyDescent="0.25">
      <c r="A483" s="29" t="s">
        <v>12</v>
      </c>
      <c r="B483" s="29" t="s">
        <v>128</v>
      </c>
      <c r="C483" s="29">
        <v>39266</v>
      </c>
      <c r="D483" s="37" t="s">
        <v>3234</v>
      </c>
      <c r="E483" s="29" t="s">
        <v>37</v>
      </c>
      <c r="F483" s="29" t="s">
        <v>44</v>
      </c>
      <c r="G483" s="29">
        <v>280.64999999999998</v>
      </c>
      <c r="H483" s="71" t="s">
        <v>38</v>
      </c>
      <c r="I483" s="37" t="s">
        <v>207</v>
      </c>
    </row>
    <row r="484" spans="1:9" x14ac:dyDescent="0.25">
      <c r="A484" s="29" t="s">
        <v>12</v>
      </c>
      <c r="B484" s="29" t="s">
        <v>128</v>
      </c>
      <c r="C484" s="29">
        <v>39267</v>
      </c>
      <c r="D484" s="37" t="s">
        <v>3235</v>
      </c>
      <c r="E484" s="29" t="s">
        <v>52</v>
      </c>
      <c r="F484" s="29" t="s">
        <v>44</v>
      </c>
      <c r="G484" s="29">
        <v>350.89</v>
      </c>
      <c r="H484" s="71" t="s">
        <v>38</v>
      </c>
      <c r="I484" s="37" t="s">
        <v>207</v>
      </c>
    </row>
    <row r="485" spans="1:9" x14ac:dyDescent="0.25">
      <c r="A485" s="29" t="s">
        <v>12</v>
      </c>
      <c r="B485" s="29" t="s">
        <v>128</v>
      </c>
      <c r="C485" s="29">
        <v>39269</v>
      </c>
      <c r="D485" s="37" t="s">
        <v>2425</v>
      </c>
      <c r="E485" s="29" t="s">
        <v>37</v>
      </c>
      <c r="F485" s="29" t="s">
        <v>44</v>
      </c>
      <c r="G485" s="29">
        <v>1.49</v>
      </c>
      <c r="H485" s="71" t="s">
        <v>38</v>
      </c>
      <c r="I485" s="37" t="s">
        <v>207</v>
      </c>
    </row>
    <row r="486" spans="1:9" x14ac:dyDescent="0.25">
      <c r="A486" s="29" t="s">
        <v>12</v>
      </c>
      <c r="B486" s="29" t="s">
        <v>128</v>
      </c>
      <c r="C486" s="29">
        <v>11889</v>
      </c>
      <c r="D486" s="37" t="s">
        <v>2426</v>
      </c>
      <c r="E486" s="29" t="s">
        <v>37</v>
      </c>
      <c r="F486" s="29" t="s">
        <v>44</v>
      </c>
      <c r="G486" s="29">
        <v>2.0499999999999998</v>
      </c>
      <c r="H486" s="71" t="s">
        <v>38</v>
      </c>
      <c r="I486" s="37" t="s">
        <v>207</v>
      </c>
    </row>
    <row r="487" spans="1:9" x14ac:dyDescent="0.25">
      <c r="A487" s="29" t="s">
        <v>12</v>
      </c>
      <c r="B487" s="29" t="s">
        <v>128</v>
      </c>
      <c r="C487" s="29">
        <v>39270</v>
      </c>
      <c r="D487" s="37" t="s">
        <v>2427</v>
      </c>
      <c r="E487" s="29" t="s">
        <v>37</v>
      </c>
      <c r="F487" s="29" t="s">
        <v>44</v>
      </c>
      <c r="G487" s="29">
        <v>2.67</v>
      </c>
      <c r="H487" s="71" t="s">
        <v>38</v>
      </c>
      <c r="I487" s="37" t="s">
        <v>207</v>
      </c>
    </row>
    <row r="488" spans="1:9" x14ac:dyDescent="0.25">
      <c r="A488" s="29" t="s">
        <v>12</v>
      </c>
      <c r="B488" s="29" t="s">
        <v>128</v>
      </c>
      <c r="C488" s="29">
        <v>11890</v>
      </c>
      <c r="D488" s="37" t="s">
        <v>2428</v>
      </c>
      <c r="E488" s="29" t="s">
        <v>37</v>
      </c>
      <c r="F488" s="29" t="s">
        <v>44</v>
      </c>
      <c r="G488" s="29">
        <v>3.63</v>
      </c>
      <c r="H488" s="71" t="s">
        <v>38</v>
      </c>
      <c r="I488" s="37" t="s">
        <v>207</v>
      </c>
    </row>
    <row r="489" spans="1:9" x14ac:dyDescent="0.25">
      <c r="A489" s="29" t="s">
        <v>12</v>
      </c>
      <c r="B489" s="29" t="s">
        <v>128</v>
      </c>
      <c r="C489" s="29">
        <v>11891</v>
      </c>
      <c r="D489" s="37" t="s">
        <v>2429</v>
      </c>
      <c r="E489" s="29" t="s">
        <v>37</v>
      </c>
      <c r="F489" s="29" t="s">
        <v>44</v>
      </c>
      <c r="G489" s="29">
        <v>5.89</v>
      </c>
      <c r="H489" s="71" t="s">
        <v>38</v>
      </c>
      <c r="I489" s="37" t="s">
        <v>207</v>
      </c>
    </row>
    <row r="490" spans="1:9" x14ac:dyDescent="0.25">
      <c r="A490" s="29" t="s">
        <v>12</v>
      </c>
      <c r="B490" s="29" t="s">
        <v>128</v>
      </c>
      <c r="C490" s="29">
        <v>11892</v>
      </c>
      <c r="D490" s="37" t="s">
        <v>2430</v>
      </c>
      <c r="E490" s="29" t="s">
        <v>37</v>
      </c>
      <c r="F490" s="29" t="s">
        <v>44</v>
      </c>
      <c r="G490" s="29">
        <v>9.6199999999999992</v>
      </c>
      <c r="H490" s="71" t="s">
        <v>38</v>
      </c>
      <c r="I490" s="37" t="s">
        <v>207</v>
      </c>
    </row>
    <row r="491" spans="1:9" x14ac:dyDescent="0.25">
      <c r="A491" s="29" t="s">
        <v>12</v>
      </c>
      <c r="B491" s="29" t="s">
        <v>128</v>
      </c>
      <c r="C491" s="29">
        <v>938</v>
      </c>
      <c r="D491" s="37" t="s">
        <v>2431</v>
      </c>
      <c r="E491" s="29" t="s">
        <v>37</v>
      </c>
      <c r="F491" s="29" t="s">
        <v>44</v>
      </c>
      <c r="G491" s="29">
        <v>1.72</v>
      </c>
      <c r="H491" s="71" t="s">
        <v>38</v>
      </c>
      <c r="I491" s="37" t="s">
        <v>207</v>
      </c>
    </row>
    <row r="492" spans="1:9" x14ac:dyDescent="0.25">
      <c r="A492" s="29" t="s">
        <v>12</v>
      </c>
      <c r="B492" s="29" t="s">
        <v>128</v>
      </c>
      <c r="C492" s="29">
        <v>937</v>
      </c>
      <c r="D492" s="37" t="s">
        <v>2432</v>
      </c>
      <c r="E492" s="29" t="s">
        <v>37</v>
      </c>
      <c r="F492" s="29" t="s">
        <v>44</v>
      </c>
      <c r="G492" s="29">
        <v>10.02</v>
      </c>
      <c r="H492" s="71" t="s">
        <v>38</v>
      </c>
      <c r="I492" s="37" t="s">
        <v>207</v>
      </c>
    </row>
    <row r="493" spans="1:9" x14ac:dyDescent="0.25">
      <c r="A493" s="29" t="s">
        <v>12</v>
      </c>
      <c r="B493" s="29" t="s">
        <v>128</v>
      </c>
      <c r="C493" s="29">
        <v>939</v>
      </c>
      <c r="D493" s="37" t="s">
        <v>2433</v>
      </c>
      <c r="E493" s="29" t="s">
        <v>37</v>
      </c>
      <c r="F493" s="29" t="s">
        <v>44</v>
      </c>
      <c r="G493" s="29">
        <v>2.78</v>
      </c>
      <c r="H493" s="71" t="s">
        <v>38</v>
      </c>
      <c r="I493" s="37" t="s">
        <v>207</v>
      </c>
    </row>
    <row r="494" spans="1:9" x14ac:dyDescent="0.25">
      <c r="A494" s="29" t="s">
        <v>12</v>
      </c>
      <c r="B494" s="29" t="s">
        <v>128</v>
      </c>
      <c r="C494" s="29">
        <v>944</v>
      </c>
      <c r="D494" s="37" t="s">
        <v>2434</v>
      </c>
      <c r="E494" s="29" t="s">
        <v>37</v>
      </c>
      <c r="F494" s="29" t="s">
        <v>44</v>
      </c>
      <c r="G494" s="29">
        <v>4.3899999999999997</v>
      </c>
      <c r="H494" s="71" t="s">
        <v>38</v>
      </c>
      <c r="I494" s="37" t="s">
        <v>207</v>
      </c>
    </row>
    <row r="495" spans="1:9" x14ac:dyDescent="0.25">
      <c r="A495" s="29" t="s">
        <v>12</v>
      </c>
      <c r="B495" s="29" t="s">
        <v>128</v>
      </c>
      <c r="C495" s="29">
        <v>940</v>
      </c>
      <c r="D495" s="37" t="s">
        <v>2435</v>
      </c>
      <c r="E495" s="29" t="s">
        <v>37</v>
      </c>
      <c r="F495" s="29" t="s">
        <v>44</v>
      </c>
      <c r="G495" s="29">
        <v>6.34</v>
      </c>
      <c r="H495" s="71" t="s">
        <v>38</v>
      </c>
      <c r="I495" s="37" t="s">
        <v>207</v>
      </c>
    </row>
    <row r="496" spans="1:9" x14ac:dyDescent="0.25">
      <c r="A496" s="29" t="s">
        <v>12</v>
      </c>
      <c r="B496" s="29" t="s">
        <v>128</v>
      </c>
      <c r="C496" s="29" t="s">
        <v>34</v>
      </c>
      <c r="D496" s="37" t="s">
        <v>2830</v>
      </c>
      <c r="E496" s="29" t="s">
        <v>651</v>
      </c>
      <c r="F496" s="29" t="s">
        <v>36</v>
      </c>
      <c r="I496" s="37" t="s">
        <v>37</v>
      </c>
    </row>
    <row r="497" spans="1:9" x14ac:dyDescent="0.25">
      <c r="A497" s="29" t="s">
        <v>12</v>
      </c>
      <c r="B497" s="29" t="s">
        <v>128</v>
      </c>
      <c r="C497" s="29" t="s">
        <v>34</v>
      </c>
      <c r="D497" s="37" t="s">
        <v>2831</v>
      </c>
      <c r="E497" s="29" t="s">
        <v>652</v>
      </c>
      <c r="F497" s="29" t="s">
        <v>36</v>
      </c>
      <c r="I497" s="37" t="s">
        <v>37</v>
      </c>
    </row>
    <row r="498" spans="1:9" x14ac:dyDescent="0.25">
      <c r="A498" s="29" t="s">
        <v>12</v>
      </c>
      <c r="B498" s="29" t="s">
        <v>128</v>
      </c>
      <c r="C498" s="29" t="s">
        <v>34</v>
      </c>
      <c r="D498" s="37" t="s">
        <v>2832</v>
      </c>
      <c r="E498" s="29" t="s">
        <v>650</v>
      </c>
      <c r="F498" s="29" t="s">
        <v>36</v>
      </c>
      <c r="I498" s="37" t="s">
        <v>37</v>
      </c>
    </row>
    <row r="499" spans="1:9" x14ac:dyDescent="0.25">
      <c r="A499" s="29" t="s">
        <v>12</v>
      </c>
      <c r="B499" s="29" t="s">
        <v>128</v>
      </c>
      <c r="C499" s="29" t="s">
        <v>34</v>
      </c>
      <c r="D499" s="37" t="s">
        <v>2833</v>
      </c>
      <c r="E499" s="29" t="s">
        <v>653</v>
      </c>
      <c r="F499" s="29" t="s">
        <v>36</v>
      </c>
      <c r="I499" s="37" t="s">
        <v>37</v>
      </c>
    </row>
    <row r="500" spans="1:9" x14ac:dyDescent="0.25">
      <c r="A500" s="29" t="s">
        <v>12</v>
      </c>
      <c r="B500" s="29" t="s">
        <v>128</v>
      </c>
      <c r="C500" s="29" t="s">
        <v>34</v>
      </c>
      <c r="D500" s="37" t="s">
        <v>2834</v>
      </c>
      <c r="E500" s="29" t="s">
        <v>654</v>
      </c>
      <c r="F500" s="29" t="s">
        <v>36</v>
      </c>
      <c r="I500" s="37" t="s">
        <v>37</v>
      </c>
    </row>
    <row r="501" spans="1:9" x14ac:dyDescent="0.25">
      <c r="A501" s="29" t="s">
        <v>12</v>
      </c>
      <c r="B501" s="29" t="s">
        <v>128</v>
      </c>
      <c r="C501" s="29" t="s">
        <v>34</v>
      </c>
      <c r="D501" s="37" t="s">
        <v>2662</v>
      </c>
      <c r="E501" s="29" t="s">
        <v>646</v>
      </c>
      <c r="F501" s="29" t="s">
        <v>36</v>
      </c>
      <c r="G501" s="29">
        <v>29.69</v>
      </c>
      <c r="H501" s="71" t="s">
        <v>734</v>
      </c>
      <c r="I501" s="37" t="str">
        <f>"https://www.dimensional.com.br/luva-compressao-al-s-isol-120-00mm2-lar60-intelli/p"</f>
        <v>https://www.dimensional.com.br/luva-compressao-al-s-isol-120-00mm2-lar60-intelli/p</v>
      </c>
    </row>
    <row r="502" spans="1:9" x14ac:dyDescent="0.25">
      <c r="A502" s="29" t="s">
        <v>12</v>
      </c>
      <c r="B502" s="29" t="s">
        <v>128</v>
      </c>
      <c r="C502" s="29" t="s">
        <v>34</v>
      </c>
      <c r="D502" s="37" t="s">
        <v>2663</v>
      </c>
      <c r="E502" s="29" t="s">
        <v>640</v>
      </c>
      <c r="F502" s="29" t="s">
        <v>36</v>
      </c>
      <c r="G502" s="29">
        <v>5.46</v>
      </c>
      <c r="H502" s="71" t="s">
        <v>740</v>
      </c>
      <c r="I502" s="37" t="str">
        <f>"https://www.eletrotrafo.com.br/luva-compressao-de-aluminio-p-cabo-6--16mm--lar-28-intelli-02140114/p?skuId=10849"</f>
        <v>https://www.eletrotrafo.com.br/luva-compressao-de-aluminio-p-cabo-6--16mm--lar-28-intelli-02140114/p?skuId=10849</v>
      </c>
    </row>
    <row r="503" spans="1:9" x14ac:dyDescent="0.25">
      <c r="A503" s="29" t="s">
        <v>12</v>
      </c>
      <c r="B503" s="29" t="s">
        <v>128</v>
      </c>
      <c r="C503" s="29" t="s">
        <v>34</v>
      </c>
      <c r="D503" s="37" t="s">
        <v>2664</v>
      </c>
      <c r="E503" s="29" t="s">
        <v>647</v>
      </c>
      <c r="F503" s="29" t="s">
        <v>36</v>
      </c>
      <c r="G503" s="29">
        <v>36.89</v>
      </c>
      <c r="H503" s="71" t="s">
        <v>734</v>
      </c>
      <c r="I503" s="37" t="str">
        <f>"https://www.dimensional.com.br/luva-compressao-fech-al-s-isol-185mm2-lar72-intelli/p"</f>
        <v>https://www.dimensional.com.br/luva-compressao-fech-al-s-isol-185mm2-lar72-intelli/p</v>
      </c>
    </row>
    <row r="504" spans="1:9" x14ac:dyDescent="0.25">
      <c r="A504" s="29" t="s">
        <v>12</v>
      </c>
      <c r="B504" s="29" t="s">
        <v>128</v>
      </c>
      <c r="C504" s="29" t="s">
        <v>34</v>
      </c>
      <c r="D504" s="37" t="s">
        <v>2665</v>
      </c>
      <c r="E504" s="29" t="s">
        <v>648</v>
      </c>
      <c r="F504" s="29" t="s">
        <v>36</v>
      </c>
      <c r="I504" s="37" t="s">
        <v>37</v>
      </c>
    </row>
    <row r="505" spans="1:9" x14ac:dyDescent="0.25">
      <c r="A505" s="29" t="s">
        <v>12</v>
      </c>
      <c r="B505" s="29" t="s">
        <v>128</v>
      </c>
      <c r="C505" s="29" t="s">
        <v>34</v>
      </c>
      <c r="D505" s="37" t="s">
        <v>2666</v>
      </c>
      <c r="E505" s="29" t="s">
        <v>641</v>
      </c>
      <c r="F505" s="29" t="s">
        <v>36</v>
      </c>
      <c r="G505" s="29">
        <v>6.08</v>
      </c>
      <c r="H505" s="71" t="s">
        <v>740</v>
      </c>
      <c r="I505" s="37" t="str">
        <f>"https://www.eletrotrafo.com.br/luva-compressao-de-aluminio-p-cabo-4--25mm--lar-32-intelli-02140076/p?skuId=10846"</f>
        <v>https://www.eletrotrafo.com.br/luva-compressao-de-aluminio-p-cabo-4--25mm--lar-32-intelli-02140076/p?skuId=10846</v>
      </c>
    </row>
    <row r="506" spans="1:9" x14ac:dyDescent="0.25">
      <c r="A506" s="29" t="s">
        <v>12</v>
      </c>
      <c r="B506" s="29" t="s">
        <v>128</v>
      </c>
      <c r="C506" s="29" t="s">
        <v>34</v>
      </c>
      <c r="D506" s="37" t="s">
        <v>2667</v>
      </c>
      <c r="E506" s="29" t="s">
        <v>649</v>
      </c>
      <c r="F506" s="29" t="s">
        <v>36</v>
      </c>
      <c r="G506" s="29">
        <v>80.09</v>
      </c>
      <c r="H506" s="71" t="s">
        <v>734</v>
      </c>
      <c r="I506" s="37" t="str">
        <f>"https://www.dimensional.com.br/luva-compressao-em-alum-300-0mm-lar-92-2773-lar92-intelli/p; https://www.jardimferramentas.com/product/luva-compressao-em-alum-3000mm-lar-92-2773-lar92-intelli/"</f>
        <v>https://www.dimensional.com.br/luva-compressao-em-alum-300-0mm-lar-92-2773-lar92-intelli/p; https://www.jardimferramentas.com/product/luva-compressao-em-alum-3000mm-lar-92-2773-lar92-intelli/</v>
      </c>
    </row>
    <row r="507" spans="1:9" x14ac:dyDescent="0.25">
      <c r="A507" s="29" t="s">
        <v>12</v>
      </c>
      <c r="B507" s="29" t="s">
        <v>128</v>
      </c>
      <c r="C507" s="29" t="s">
        <v>34</v>
      </c>
      <c r="D507" s="37" t="s">
        <v>2668</v>
      </c>
      <c r="E507" s="29" t="s">
        <v>642</v>
      </c>
      <c r="F507" s="29" t="s">
        <v>36</v>
      </c>
      <c r="G507" s="29">
        <v>8.34</v>
      </c>
      <c r="H507" s="71" t="s">
        <v>740</v>
      </c>
      <c r="I507" s="37" t="str">
        <f>"https://www.eletrotrafo.com.br/luva-compressao-de-aluminio-p-cabo-2--35mm--lar-38-intelli-02140117/p?skuId=10845"</f>
        <v>https://www.eletrotrafo.com.br/luva-compressao-de-aluminio-p-cabo-2--35mm--lar-38-intelli-02140117/p?skuId=10845</v>
      </c>
    </row>
    <row r="508" spans="1:9" x14ac:dyDescent="0.25">
      <c r="A508" s="29" t="s">
        <v>12</v>
      </c>
      <c r="B508" s="29" t="s">
        <v>128</v>
      </c>
      <c r="C508" s="29" t="s">
        <v>34</v>
      </c>
      <c r="D508" s="37" t="s">
        <v>2669</v>
      </c>
      <c r="E508" s="29" t="s">
        <v>643</v>
      </c>
      <c r="F508" s="29" t="s">
        <v>36</v>
      </c>
      <c r="G508" s="29">
        <v>17.8</v>
      </c>
      <c r="H508" s="71" t="s">
        <v>740</v>
      </c>
      <c r="I508" s="37" t="str">
        <f>"https://www.eletrotrafo.com.br/luva-compressao-de-aluminio-p-cabo-1-0--50mm--lar-44-intelli-02140078/p?skuId=10847"</f>
        <v>https://www.eletrotrafo.com.br/luva-compressao-de-aluminio-p-cabo-1-0--50mm--lar-44-intelli-02140078/p?skuId=10847</v>
      </c>
    </row>
    <row r="509" spans="1:9" x14ac:dyDescent="0.25">
      <c r="A509" s="29" t="s">
        <v>12</v>
      </c>
      <c r="B509" s="29" t="s">
        <v>128</v>
      </c>
      <c r="C509" s="29" t="s">
        <v>34</v>
      </c>
      <c r="D509" s="37" t="s">
        <v>2670</v>
      </c>
      <c r="E509" s="29" t="s">
        <v>644</v>
      </c>
      <c r="F509" s="29" t="s">
        <v>36</v>
      </c>
      <c r="I509" s="37" t="s">
        <v>37</v>
      </c>
    </row>
    <row r="510" spans="1:9" x14ac:dyDescent="0.25">
      <c r="A510" s="29" t="s">
        <v>12</v>
      </c>
      <c r="B510" s="29" t="s">
        <v>128</v>
      </c>
      <c r="C510" s="29" t="s">
        <v>34</v>
      </c>
      <c r="D510" s="37" t="s">
        <v>2671</v>
      </c>
      <c r="E510" s="29" t="s">
        <v>645</v>
      </c>
      <c r="F510" s="29" t="s">
        <v>36</v>
      </c>
      <c r="I510" s="37" t="s">
        <v>37</v>
      </c>
    </row>
    <row r="511" spans="1:9" x14ac:dyDescent="0.25">
      <c r="A511" s="29" t="s">
        <v>12</v>
      </c>
      <c r="B511" s="29" t="s">
        <v>128</v>
      </c>
      <c r="C511" s="29" t="s">
        <v>34</v>
      </c>
      <c r="D511" s="37" t="s">
        <v>1482</v>
      </c>
      <c r="E511" s="29" t="s">
        <v>626</v>
      </c>
      <c r="F511" s="29" t="s">
        <v>36</v>
      </c>
      <c r="G511" s="29">
        <v>0.75</v>
      </c>
      <c r="H511" s="71" t="s">
        <v>734</v>
      </c>
      <c r="I511" s="37" t="str">
        <f>"https://www.dimensional.com.br/luva-emenda-compressao-cobre-sem-isolacao-10-00-mm2-lf10-intelli/p"</f>
        <v>https://www.dimensional.com.br/luva-emenda-compressao-cobre-sem-isolacao-10-00-mm2-lf10-intelli/p</v>
      </c>
    </row>
    <row r="512" spans="1:9" x14ac:dyDescent="0.25">
      <c r="A512" s="29" t="s">
        <v>12</v>
      </c>
      <c r="B512" s="29" t="s">
        <v>128</v>
      </c>
      <c r="C512" s="29" t="s">
        <v>34</v>
      </c>
      <c r="D512" s="37" t="s">
        <v>1483</v>
      </c>
      <c r="E512" s="29" t="s">
        <v>633</v>
      </c>
      <c r="F512" s="29" t="s">
        <v>36</v>
      </c>
      <c r="G512" s="29">
        <v>13.79</v>
      </c>
      <c r="H512" s="71" t="s">
        <v>738</v>
      </c>
      <c r="I512" s="37" t="str">
        <f>"https://www.dimensional.com.br/luva-emenda-compressao-cobre-sem-isolacao-120-00-mm2-para-cabo-flexivel-lf120-intelli/p"</f>
        <v>https://www.dimensional.com.br/luva-emenda-compressao-cobre-sem-isolacao-120-00-mm2-para-cabo-flexivel-lf120-intelli/p</v>
      </c>
    </row>
    <row r="513" spans="1:9" x14ac:dyDescent="0.25">
      <c r="A513" s="29" t="s">
        <v>12</v>
      </c>
      <c r="B513" s="29" t="s">
        <v>128</v>
      </c>
      <c r="C513" s="29" t="s">
        <v>34</v>
      </c>
      <c r="D513" s="37" t="s">
        <v>1484</v>
      </c>
      <c r="E513" s="29" t="s">
        <v>634</v>
      </c>
      <c r="F513" s="29" t="s">
        <v>36</v>
      </c>
      <c r="G513" s="29">
        <v>18.399999999999999</v>
      </c>
      <c r="H513" s="71" t="s">
        <v>738</v>
      </c>
      <c r="I513" s="37" t="str">
        <f>"https://www.dimensional.com.br/luva-emenda-compressao-cobre-sem-isolacao-150-00-mm2-lf150-intelli/p"</f>
        <v>https://www.dimensional.com.br/luva-emenda-compressao-cobre-sem-isolacao-150-00-mm2-lf150-intelli/p</v>
      </c>
    </row>
    <row r="514" spans="1:9" x14ac:dyDescent="0.25">
      <c r="A514" s="29" t="s">
        <v>12</v>
      </c>
      <c r="B514" s="29" t="s">
        <v>128</v>
      </c>
      <c r="C514" s="29" t="s">
        <v>34</v>
      </c>
      <c r="D514" s="37" t="s">
        <v>1485</v>
      </c>
      <c r="E514" s="29" t="s">
        <v>627</v>
      </c>
      <c r="F514" s="29" t="s">
        <v>36</v>
      </c>
      <c r="G514" s="29">
        <v>1.69</v>
      </c>
      <c r="H514" s="71" t="s">
        <v>734</v>
      </c>
      <c r="I514" s="37" t="str">
        <f>"https://www.dimensional.com.br/luva-emenda-compressao-cobre-sem-isolacao-16-00-mm2-lf16-intelli/p"</f>
        <v>https://www.dimensional.com.br/luva-emenda-compressao-cobre-sem-isolacao-16-00-mm2-lf16-intelli/p</v>
      </c>
    </row>
    <row r="515" spans="1:9" x14ac:dyDescent="0.25">
      <c r="A515" s="29" t="s">
        <v>12</v>
      </c>
      <c r="B515" s="29" t="s">
        <v>128</v>
      </c>
      <c r="C515" s="29" t="s">
        <v>34</v>
      </c>
      <c r="D515" s="37" t="s">
        <v>1486</v>
      </c>
      <c r="E515" s="29" t="s">
        <v>635</v>
      </c>
      <c r="F515" s="29" t="s">
        <v>36</v>
      </c>
      <c r="G515" s="29">
        <v>17.09</v>
      </c>
      <c r="H515" s="71" t="s">
        <v>738</v>
      </c>
      <c r="I515" s="37" t="str">
        <f>"https://www.dimensional.com.br/luva-emenda-compressao-cobre-sem-isolacao-185-00-mm2-lf185-intelli/p"</f>
        <v>https://www.dimensional.com.br/luva-emenda-compressao-cobre-sem-isolacao-185-00-mm2-lf185-intelli/p</v>
      </c>
    </row>
    <row r="516" spans="1:9" x14ac:dyDescent="0.25">
      <c r="A516" s="29" t="s">
        <v>12</v>
      </c>
      <c r="B516" s="29" t="s">
        <v>128</v>
      </c>
      <c r="C516" s="29" t="s">
        <v>34</v>
      </c>
      <c r="D516" s="37" t="s">
        <v>1487</v>
      </c>
      <c r="E516" s="29" t="s">
        <v>636</v>
      </c>
      <c r="F516" s="29" t="s">
        <v>36</v>
      </c>
      <c r="G516" s="29">
        <v>28.79</v>
      </c>
      <c r="H516" s="71" t="s">
        <v>738</v>
      </c>
      <c r="I516" s="37" t="str">
        <f>"https://www.dimensional.com.br/luva-emenda-compressao-cobre-sem-isolacao-240-00-mm2-lf240-intelli/p"</f>
        <v>https://www.dimensional.com.br/luva-emenda-compressao-cobre-sem-isolacao-240-00-mm2-lf240-intelli/p</v>
      </c>
    </row>
    <row r="517" spans="1:9" x14ac:dyDescent="0.25">
      <c r="A517" s="29" t="s">
        <v>12</v>
      </c>
      <c r="B517" s="29" t="s">
        <v>128</v>
      </c>
      <c r="C517" s="29" t="s">
        <v>34</v>
      </c>
      <c r="D517" s="37" t="s">
        <v>1488</v>
      </c>
      <c r="E517" s="29" t="s">
        <v>628</v>
      </c>
      <c r="F517" s="29" t="s">
        <v>36</v>
      </c>
      <c r="G517" s="29">
        <v>2.2400000000000002</v>
      </c>
      <c r="H517" s="71" t="s">
        <v>734</v>
      </c>
      <c r="I517" s="37" t="str">
        <f>"https://www.dimensional.com.br/luva-emenda-compressao-cobre-sem-isolacao-25-00-mm2-lf25-intelli/p"</f>
        <v>https://www.dimensional.com.br/luva-emenda-compressao-cobre-sem-isolacao-25-00-mm2-lf25-intelli/p</v>
      </c>
    </row>
    <row r="518" spans="1:9" x14ac:dyDescent="0.25">
      <c r="A518" s="29" t="s">
        <v>12</v>
      </c>
      <c r="B518" s="29" t="s">
        <v>128</v>
      </c>
      <c r="C518" s="29" t="s">
        <v>34</v>
      </c>
      <c r="D518" s="37" t="s">
        <v>1489</v>
      </c>
      <c r="E518" s="29" t="s">
        <v>637</v>
      </c>
      <c r="F518" s="29" t="s">
        <v>36</v>
      </c>
      <c r="G518" s="29">
        <v>48.58</v>
      </c>
      <c r="H518" s="71" t="s">
        <v>740</v>
      </c>
      <c r="I518" s="37" t="str">
        <f>"https://www.eletrotrafo.com.br/luva-compressao-300mm-lf-300---intelli/p?skuId=12680"</f>
        <v>https://www.eletrotrafo.com.br/luva-compressao-300mm-lf-300---intelli/p?skuId=12680</v>
      </c>
    </row>
    <row r="519" spans="1:9" x14ac:dyDescent="0.25">
      <c r="A519" s="29" t="s">
        <v>12</v>
      </c>
      <c r="B519" s="29" t="s">
        <v>128</v>
      </c>
      <c r="C519" s="29" t="s">
        <v>34</v>
      </c>
      <c r="D519" s="37" t="s">
        <v>1490</v>
      </c>
      <c r="E519" s="29" t="s">
        <v>629</v>
      </c>
      <c r="F519" s="29" t="s">
        <v>36</v>
      </c>
      <c r="G519" s="29">
        <v>3.32</v>
      </c>
      <c r="H519" s="71" t="s">
        <v>734</v>
      </c>
      <c r="I519" s="37" t="str">
        <f>"https://www.dimensional.com.br/luva-emenda-compressao-cobre-sem-isolacao-35-00-mm2-lf35-intelli/p"</f>
        <v>https://www.dimensional.com.br/luva-emenda-compressao-cobre-sem-isolacao-35-00-mm2-lf35-intelli/p</v>
      </c>
    </row>
    <row r="520" spans="1:9" x14ac:dyDescent="0.25">
      <c r="A520" s="29" t="s">
        <v>12</v>
      </c>
      <c r="B520" s="29" t="s">
        <v>128</v>
      </c>
      <c r="C520" s="29" t="s">
        <v>34</v>
      </c>
      <c r="D520" s="37" t="s">
        <v>1491</v>
      </c>
      <c r="E520" s="29" t="s">
        <v>638</v>
      </c>
      <c r="F520" s="29" t="s">
        <v>36</v>
      </c>
      <c r="G520" s="29">
        <v>53.99</v>
      </c>
      <c r="H520" s="71" t="s">
        <v>738</v>
      </c>
      <c r="I520" s="37" t="str">
        <f>"https://www.dimensional.com.br/luva-emenda-compressao-fechado-cobre-sem-revestimento-isolacao-400mm2-lf400-intelli/p"</f>
        <v>https://www.dimensional.com.br/luva-emenda-compressao-fechado-cobre-sem-revestimento-isolacao-400mm2-lf400-intelli/p</v>
      </c>
    </row>
    <row r="521" spans="1:9" x14ac:dyDescent="0.25">
      <c r="A521" s="29" t="s">
        <v>12</v>
      </c>
      <c r="B521" s="29" t="s">
        <v>128</v>
      </c>
      <c r="C521" s="29" t="s">
        <v>34</v>
      </c>
      <c r="D521" s="37" t="s">
        <v>1492</v>
      </c>
      <c r="E521" s="29" t="s">
        <v>639</v>
      </c>
      <c r="F521" s="29" t="s">
        <v>36</v>
      </c>
      <c r="G521" s="29">
        <v>59.49</v>
      </c>
      <c r="H521" s="71" t="s">
        <v>738</v>
      </c>
      <c r="I521" s="37" t="str">
        <f>"https://www.dimensional.com.br/luva-compressao-fech-cob-s-isol-500mm2-lf-lf500-intelli/p; https://www.jardimferramentas.com/product/luva-compressao-fech-cob-s-isol-500mm2-lf-lf500-intelli/"</f>
        <v>https://www.dimensional.com.br/luva-compressao-fech-cob-s-isol-500mm2-lf-lf500-intelli/p; https://www.jardimferramentas.com/product/luva-compressao-fech-cob-s-isol-500mm2-lf-lf500-intelli/</v>
      </c>
    </row>
    <row r="522" spans="1:9" x14ac:dyDescent="0.25">
      <c r="A522" s="29" t="s">
        <v>12</v>
      </c>
      <c r="B522" s="29" t="s">
        <v>128</v>
      </c>
      <c r="C522" s="29" t="s">
        <v>34</v>
      </c>
      <c r="D522" s="37" t="s">
        <v>1493</v>
      </c>
      <c r="E522" s="29" t="s">
        <v>630</v>
      </c>
      <c r="F522" s="29" t="s">
        <v>36</v>
      </c>
      <c r="G522" s="29">
        <v>5.39</v>
      </c>
      <c r="H522" s="71" t="s">
        <v>738</v>
      </c>
      <c r="I522" s="37" t="str">
        <f>"https://www.dimensional.com.br/luva-emenda-compressao-cobre-sem-isolacao-50-00-mm2-lf50-intelli/p"</f>
        <v>https://www.dimensional.com.br/luva-emenda-compressao-cobre-sem-isolacao-50-00-mm2-lf50-intelli/p</v>
      </c>
    </row>
    <row r="523" spans="1:9" x14ac:dyDescent="0.25">
      <c r="A523" s="29" t="s">
        <v>12</v>
      </c>
      <c r="B523" s="29" t="s">
        <v>128</v>
      </c>
      <c r="C523" s="29" t="s">
        <v>34</v>
      </c>
      <c r="D523" s="37" t="s">
        <v>1494</v>
      </c>
      <c r="E523" s="29" t="s">
        <v>631</v>
      </c>
      <c r="F523" s="29" t="s">
        <v>36</v>
      </c>
      <c r="G523" s="29">
        <v>7.89</v>
      </c>
      <c r="H523" s="71" t="s">
        <v>738</v>
      </c>
      <c r="I523" s="37" t="str">
        <f>"https://www.dimensional.com.br/luva-emenda-compressao-cobre-sem-isolacao-70-00-mm2-lf70-intelli/p"</f>
        <v>https://www.dimensional.com.br/luva-emenda-compressao-cobre-sem-isolacao-70-00-mm2-lf70-intelli/p</v>
      </c>
    </row>
    <row r="524" spans="1:9" x14ac:dyDescent="0.25">
      <c r="A524" s="29" t="s">
        <v>12</v>
      </c>
      <c r="B524" s="29" t="s">
        <v>128</v>
      </c>
      <c r="C524" s="29" t="s">
        <v>34</v>
      </c>
      <c r="D524" s="37" t="s">
        <v>1495</v>
      </c>
      <c r="E524" s="29" t="s">
        <v>632</v>
      </c>
      <c r="F524" s="29" t="s">
        <v>36</v>
      </c>
      <c r="G524" s="29">
        <v>8.9</v>
      </c>
      <c r="H524" s="71" t="s">
        <v>738</v>
      </c>
      <c r="I524" s="37" t="str">
        <f>"https://www.dimensional.com.br/luva-emenda-compressao-cobre-sem-isolacao-95-00-mm2-lf95-intelli/p"</f>
        <v>https://www.dimensional.com.br/luva-emenda-compressao-cobre-sem-isolacao-95-00-mm2-lf95-intelli/p</v>
      </c>
    </row>
    <row r="525" spans="1:9" x14ac:dyDescent="0.25">
      <c r="A525" s="29" t="s">
        <v>12</v>
      </c>
      <c r="B525" s="29" t="s">
        <v>128</v>
      </c>
      <c r="C525" s="29">
        <v>39604</v>
      </c>
      <c r="D525" s="37" t="s">
        <v>2639</v>
      </c>
      <c r="E525" s="29" t="s">
        <v>37</v>
      </c>
      <c r="F525" s="29" t="s">
        <v>36</v>
      </c>
      <c r="G525" s="29">
        <v>15.73</v>
      </c>
      <c r="H525" s="71" t="s">
        <v>38</v>
      </c>
      <c r="I525" s="37" t="s">
        <v>207</v>
      </c>
    </row>
    <row r="526" spans="1:9" x14ac:dyDescent="0.25">
      <c r="A526" s="29" t="s">
        <v>12</v>
      </c>
      <c r="B526" s="29" t="s">
        <v>128</v>
      </c>
      <c r="C526" s="29">
        <v>39605</v>
      </c>
      <c r="D526" s="37" t="s">
        <v>2640</v>
      </c>
      <c r="E526" s="29" t="s">
        <v>37</v>
      </c>
      <c r="F526" s="29" t="s">
        <v>36</v>
      </c>
      <c r="G526" s="29">
        <v>17.09</v>
      </c>
      <c r="H526" s="71" t="s">
        <v>38</v>
      </c>
      <c r="I526" s="37" t="s">
        <v>207</v>
      </c>
    </row>
    <row r="527" spans="1:9" x14ac:dyDescent="0.25">
      <c r="A527" s="29" t="s">
        <v>12</v>
      </c>
      <c r="B527" s="29" t="s">
        <v>128</v>
      </c>
      <c r="C527" s="29">
        <v>39606</v>
      </c>
      <c r="D527" s="37" t="s">
        <v>2641</v>
      </c>
      <c r="E527" s="29" t="s">
        <v>37</v>
      </c>
      <c r="F527" s="29" t="s">
        <v>36</v>
      </c>
      <c r="G527" s="29">
        <v>29.93</v>
      </c>
      <c r="H527" s="71" t="s">
        <v>38</v>
      </c>
      <c r="I527" s="37" t="s">
        <v>207</v>
      </c>
    </row>
    <row r="528" spans="1:9" x14ac:dyDescent="0.25">
      <c r="A528" s="29" t="s">
        <v>12</v>
      </c>
      <c r="B528" s="29" t="s">
        <v>128</v>
      </c>
      <c r="C528" s="29">
        <v>39607</v>
      </c>
      <c r="D528" s="37" t="s">
        <v>2642</v>
      </c>
      <c r="E528" s="29" t="s">
        <v>37</v>
      </c>
      <c r="F528" s="29" t="s">
        <v>36</v>
      </c>
      <c r="G528" s="29">
        <v>40.49</v>
      </c>
      <c r="H528" s="71" t="s">
        <v>38</v>
      </c>
      <c r="I528" s="37" t="s">
        <v>207</v>
      </c>
    </row>
    <row r="529" spans="1:9" x14ac:dyDescent="0.25">
      <c r="A529" s="29" t="s">
        <v>12</v>
      </c>
      <c r="B529" s="29" t="s">
        <v>128</v>
      </c>
      <c r="C529" s="29" t="s">
        <v>34</v>
      </c>
      <c r="D529" s="37" t="s">
        <v>3729</v>
      </c>
      <c r="E529" s="29" t="s">
        <v>234</v>
      </c>
      <c r="F529" s="29" t="s">
        <v>3737</v>
      </c>
      <c r="G529" s="29">
        <v>5.3</v>
      </c>
      <c r="H529" s="71" t="s">
        <v>3730</v>
      </c>
      <c r="I529" s="37" t="s">
        <v>3731</v>
      </c>
    </row>
    <row r="530" spans="1:9" x14ac:dyDescent="0.25">
      <c r="A530" s="29" t="s">
        <v>12</v>
      </c>
      <c r="B530" s="29" t="s">
        <v>128</v>
      </c>
      <c r="C530" s="29" t="s">
        <v>34</v>
      </c>
      <c r="D530" s="37" t="s">
        <v>3732</v>
      </c>
      <c r="E530" s="29" t="s">
        <v>234</v>
      </c>
      <c r="F530" s="29" t="s">
        <v>3737</v>
      </c>
      <c r="G530" s="29">
        <v>7.49</v>
      </c>
      <c r="H530" s="71" t="s">
        <v>3730</v>
      </c>
      <c r="I530" s="37" t="s">
        <v>3733</v>
      </c>
    </row>
    <row r="531" spans="1:9" x14ac:dyDescent="0.25">
      <c r="A531" s="29" t="s">
        <v>12</v>
      </c>
      <c r="B531" s="29" t="s">
        <v>128</v>
      </c>
      <c r="C531" s="29" t="s">
        <v>34</v>
      </c>
      <c r="D531" s="37" t="s">
        <v>3734</v>
      </c>
      <c r="E531" s="29" t="s">
        <v>234</v>
      </c>
      <c r="F531" s="29" t="s">
        <v>3737</v>
      </c>
      <c r="G531" s="29">
        <v>7.79</v>
      </c>
      <c r="H531" s="71" t="s">
        <v>3730</v>
      </c>
      <c r="I531" s="37" t="s">
        <v>3735</v>
      </c>
    </row>
    <row r="532" spans="1:9" x14ac:dyDescent="0.25">
      <c r="A532" s="29" t="s">
        <v>12</v>
      </c>
      <c r="B532" s="29" t="s">
        <v>128</v>
      </c>
      <c r="C532" s="29" t="s">
        <v>34</v>
      </c>
      <c r="D532" s="37" t="s">
        <v>3736</v>
      </c>
      <c r="E532" s="29" t="s">
        <v>234</v>
      </c>
      <c r="F532" s="29" t="s">
        <v>3737</v>
      </c>
      <c r="G532" s="29">
        <v>19.79</v>
      </c>
      <c r="H532" s="71" t="s">
        <v>3730</v>
      </c>
      <c r="I532" s="37" t="s">
        <v>3735</v>
      </c>
    </row>
    <row r="533" spans="1:9" x14ac:dyDescent="0.25">
      <c r="A533" s="29" t="s">
        <v>12</v>
      </c>
      <c r="B533" s="29" t="s">
        <v>128</v>
      </c>
      <c r="C533" s="29" t="s">
        <v>34</v>
      </c>
      <c r="D533" s="37" t="s">
        <v>3054</v>
      </c>
      <c r="E533" s="29" t="s">
        <v>53</v>
      </c>
      <c r="F533" s="29" t="s">
        <v>36</v>
      </c>
      <c r="G533" s="29">
        <v>22.75</v>
      </c>
      <c r="H533" s="71" t="s">
        <v>515</v>
      </c>
      <c r="I533" s="37" t="str">
        <f>"https://loja.oamix.com.br/produtos/detalhes/51828GL/patch-cord-cat5e-utp-2-metros-azul-legrand-pc/; https://www.leroymerlin.com.br/cabo-patch-info-patch-cord-cat5e-utp-2m-azul_1568024416?msockid=1b223b79009e6d3b00a82d0101f56cec"</f>
        <v>https://loja.oamix.com.br/produtos/detalhes/51828GL/patch-cord-cat5e-utp-2-metros-azul-legrand-pc/; https://www.leroymerlin.com.br/cabo-patch-info-patch-cord-cat5e-utp-2m-azul_1568024416?msockid=1b223b79009e6d3b00a82d0101f56cec</v>
      </c>
    </row>
    <row r="534" spans="1:9" x14ac:dyDescent="0.25">
      <c r="A534" s="29" t="s">
        <v>12</v>
      </c>
      <c r="B534" s="29" t="s">
        <v>76</v>
      </c>
      <c r="C534" s="29">
        <v>43094</v>
      </c>
      <c r="D534" s="37" t="s">
        <v>1876</v>
      </c>
      <c r="E534" s="29" t="s">
        <v>37</v>
      </c>
      <c r="F534" s="29" t="s">
        <v>36</v>
      </c>
      <c r="G534" s="29">
        <v>345.84</v>
      </c>
      <c r="H534" s="71" t="s">
        <v>38</v>
      </c>
      <c r="I534" s="37" t="s">
        <v>207</v>
      </c>
    </row>
    <row r="535" spans="1:9" x14ac:dyDescent="0.25">
      <c r="A535" s="29" t="s">
        <v>12</v>
      </c>
      <c r="B535" s="29" t="s">
        <v>76</v>
      </c>
      <c r="C535" s="29">
        <v>43093</v>
      </c>
      <c r="D535" s="37" t="s">
        <v>1877</v>
      </c>
      <c r="E535" s="29" t="s">
        <v>37</v>
      </c>
      <c r="F535" s="29" t="s">
        <v>36</v>
      </c>
      <c r="G535" s="29">
        <v>367.52</v>
      </c>
      <c r="H535" s="71" t="s">
        <v>38</v>
      </c>
      <c r="I535" s="37" t="s">
        <v>207</v>
      </c>
    </row>
    <row r="536" spans="1:9" x14ac:dyDescent="0.25">
      <c r="A536" s="29" t="s">
        <v>12</v>
      </c>
      <c r="B536" s="29" t="s">
        <v>78</v>
      </c>
      <c r="C536" s="29">
        <v>1062</v>
      </c>
      <c r="D536" s="37" t="s">
        <v>1878</v>
      </c>
      <c r="E536" s="29" t="s">
        <v>37</v>
      </c>
      <c r="F536" s="29" t="s">
        <v>36</v>
      </c>
      <c r="G536" s="29">
        <v>260.88</v>
      </c>
      <c r="H536" s="71" t="s">
        <v>38</v>
      </c>
      <c r="I536" s="37" t="s">
        <v>207</v>
      </c>
    </row>
    <row r="537" spans="1:9" x14ac:dyDescent="0.25">
      <c r="A537" s="29" t="s">
        <v>12</v>
      </c>
      <c r="B537" s="29" t="s">
        <v>78</v>
      </c>
      <c r="C537" s="29">
        <v>39686</v>
      </c>
      <c r="D537" s="37" t="s">
        <v>1879</v>
      </c>
      <c r="E537" s="29" t="s">
        <v>37</v>
      </c>
      <c r="F537" s="29" t="s">
        <v>36</v>
      </c>
      <c r="G537" s="29">
        <v>422.41</v>
      </c>
      <c r="H537" s="71" t="s">
        <v>38</v>
      </c>
      <c r="I537" s="37" t="s">
        <v>207</v>
      </c>
    </row>
    <row r="538" spans="1:9" x14ac:dyDescent="0.25">
      <c r="A538" s="29" t="s">
        <v>12</v>
      </c>
      <c r="B538" s="29" t="s">
        <v>78</v>
      </c>
      <c r="C538" s="29">
        <v>43095</v>
      </c>
      <c r="D538" s="37" t="s">
        <v>1880</v>
      </c>
      <c r="E538" s="29" t="s">
        <v>37</v>
      </c>
      <c r="F538" s="29" t="s">
        <v>36</v>
      </c>
      <c r="G538" s="29">
        <v>205.03</v>
      </c>
      <c r="H538" s="71" t="s">
        <v>38</v>
      </c>
      <c r="I538" s="37" t="s">
        <v>207</v>
      </c>
    </row>
    <row r="539" spans="1:9" x14ac:dyDescent="0.25">
      <c r="A539" s="29" t="s">
        <v>12</v>
      </c>
      <c r="B539" s="29" t="s">
        <v>78</v>
      </c>
      <c r="C539" s="29">
        <v>1068</v>
      </c>
      <c r="D539" s="37" t="s">
        <v>2096</v>
      </c>
      <c r="E539" s="29" t="s">
        <v>37</v>
      </c>
      <c r="F539" s="29" t="s">
        <v>36</v>
      </c>
      <c r="G539" s="29">
        <v>1720.75</v>
      </c>
      <c r="H539" s="71" t="s">
        <v>38</v>
      </c>
      <c r="I539" s="37" t="s">
        <v>207</v>
      </c>
    </row>
    <row r="540" spans="1:9" x14ac:dyDescent="0.25">
      <c r="A540" s="29" t="s">
        <v>12</v>
      </c>
      <c r="B540" s="29" t="s">
        <v>78</v>
      </c>
      <c r="C540" s="29">
        <v>39690</v>
      </c>
      <c r="D540" s="37" t="s">
        <v>2991</v>
      </c>
      <c r="E540" s="29" t="s">
        <v>37</v>
      </c>
      <c r="F540" s="29" t="s">
        <v>36</v>
      </c>
      <c r="G540" s="29">
        <v>2886.85</v>
      </c>
      <c r="H540" s="71" t="s">
        <v>38</v>
      </c>
      <c r="I540" s="37" t="s">
        <v>207</v>
      </c>
    </row>
    <row r="541" spans="1:9" x14ac:dyDescent="0.25">
      <c r="A541" s="29" t="s">
        <v>12</v>
      </c>
      <c r="B541" s="29" t="s">
        <v>78</v>
      </c>
      <c r="C541" s="29">
        <v>39691</v>
      </c>
      <c r="D541" s="37" t="s">
        <v>2097</v>
      </c>
      <c r="E541" s="29" t="s">
        <v>37</v>
      </c>
      <c r="F541" s="29" t="s">
        <v>36</v>
      </c>
      <c r="G541" s="29">
        <v>3630.85</v>
      </c>
      <c r="H541" s="71" t="s">
        <v>38</v>
      </c>
      <c r="I541" s="37" t="s">
        <v>207</v>
      </c>
    </row>
    <row r="542" spans="1:9" x14ac:dyDescent="0.25">
      <c r="A542" s="29" t="s">
        <v>12</v>
      </c>
      <c r="B542" s="29" t="s">
        <v>78</v>
      </c>
      <c r="C542" s="29">
        <v>39808</v>
      </c>
      <c r="D542" s="37" t="s">
        <v>1881</v>
      </c>
      <c r="E542" s="29" t="s">
        <v>37</v>
      </c>
      <c r="F542" s="29" t="s">
        <v>36</v>
      </c>
      <c r="G542" s="29">
        <v>107.04</v>
      </c>
      <c r="H542" s="71" t="s">
        <v>38</v>
      </c>
      <c r="I542" s="37" t="s">
        <v>207</v>
      </c>
    </row>
    <row r="543" spans="1:9" x14ac:dyDescent="0.25">
      <c r="A543" s="29" t="s">
        <v>12</v>
      </c>
      <c r="B543" s="29" t="s">
        <v>78</v>
      </c>
      <c r="C543" s="29">
        <v>39809</v>
      </c>
      <c r="D543" s="37" t="s">
        <v>1882</v>
      </c>
      <c r="E543" s="29" t="s">
        <v>37</v>
      </c>
      <c r="F543" s="29" t="s">
        <v>36</v>
      </c>
      <c r="G543" s="29">
        <v>253.89</v>
      </c>
      <c r="H543" s="71" t="s">
        <v>38</v>
      </c>
      <c r="I543" s="37" t="s">
        <v>207</v>
      </c>
    </row>
    <row r="544" spans="1:9" x14ac:dyDescent="0.25">
      <c r="A544" s="29" t="s">
        <v>12</v>
      </c>
      <c r="B544" s="29" t="s">
        <v>57</v>
      </c>
      <c r="C544" s="29">
        <v>34641</v>
      </c>
      <c r="D544" s="37" t="s">
        <v>3055</v>
      </c>
      <c r="E544" s="29" t="s">
        <v>37</v>
      </c>
      <c r="F544" s="29" t="s">
        <v>36</v>
      </c>
      <c r="G544" s="29">
        <v>113.78</v>
      </c>
      <c r="H544" s="71" t="s">
        <v>38</v>
      </c>
      <c r="I544" s="37" t="s">
        <v>207</v>
      </c>
    </row>
    <row r="545" spans="1:9" x14ac:dyDescent="0.25">
      <c r="A545" s="29" t="s">
        <v>12</v>
      </c>
      <c r="B545" s="29" t="s">
        <v>57</v>
      </c>
      <c r="C545" s="29">
        <v>43434</v>
      </c>
      <c r="D545" s="37" t="s">
        <v>2098</v>
      </c>
      <c r="E545" s="29" t="s">
        <v>37</v>
      </c>
      <c r="F545" s="29" t="s">
        <v>36</v>
      </c>
      <c r="G545" s="29">
        <v>123.02</v>
      </c>
      <c r="H545" s="71" t="s">
        <v>38</v>
      </c>
      <c r="I545" s="37" t="s">
        <v>207</v>
      </c>
    </row>
    <row r="546" spans="1:9" x14ac:dyDescent="0.25">
      <c r="A546" s="29" t="s">
        <v>12</v>
      </c>
      <c r="B546" s="29" t="s">
        <v>57</v>
      </c>
      <c r="C546" s="29">
        <v>43435</v>
      </c>
      <c r="D546" s="37" t="s">
        <v>2099</v>
      </c>
      <c r="E546" s="29" t="s">
        <v>37</v>
      </c>
      <c r="F546" s="29" t="s">
        <v>36</v>
      </c>
      <c r="G546" s="29">
        <v>225.54</v>
      </c>
      <c r="H546" s="71" t="s">
        <v>38</v>
      </c>
      <c r="I546" s="37" t="s">
        <v>207</v>
      </c>
    </row>
    <row r="547" spans="1:9" x14ac:dyDescent="0.25">
      <c r="A547" s="29" t="s">
        <v>12</v>
      </c>
      <c r="B547" s="29" t="s">
        <v>57</v>
      </c>
      <c r="C547" s="29">
        <v>43436</v>
      </c>
      <c r="D547" s="37" t="s">
        <v>2100</v>
      </c>
      <c r="E547" s="29" t="s">
        <v>37</v>
      </c>
      <c r="F547" s="29" t="s">
        <v>36</v>
      </c>
      <c r="G547" s="29">
        <v>394.7</v>
      </c>
      <c r="H547" s="71" t="s">
        <v>38</v>
      </c>
      <c r="I547" s="37" t="s">
        <v>207</v>
      </c>
    </row>
    <row r="548" spans="1:9" x14ac:dyDescent="0.25">
      <c r="A548" s="29" t="s">
        <v>12</v>
      </c>
      <c r="B548" s="29" t="s">
        <v>57</v>
      </c>
      <c r="C548" s="29">
        <v>43437</v>
      </c>
      <c r="D548" s="37" t="s">
        <v>2101</v>
      </c>
      <c r="E548" s="29" t="s">
        <v>37</v>
      </c>
      <c r="F548" s="29" t="s">
        <v>36</v>
      </c>
      <c r="G548" s="29">
        <v>715.59</v>
      </c>
      <c r="H548" s="71" t="s">
        <v>38</v>
      </c>
      <c r="I548" s="37" t="s">
        <v>207</v>
      </c>
    </row>
    <row r="549" spans="1:9" x14ac:dyDescent="0.25">
      <c r="A549" s="29" t="s">
        <v>12</v>
      </c>
      <c r="B549" s="29" t="s">
        <v>57</v>
      </c>
      <c r="C549" s="29">
        <v>43438</v>
      </c>
      <c r="D549" s="37" t="s">
        <v>2102</v>
      </c>
      <c r="E549" s="29" t="s">
        <v>37</v>
      </c>
      <c r="F549" s="29" t="s">
        <v>36</v>
      </c>
      <c r="G549" s="29">
        <v>1281.51</v>
      </c>
      <c r="H549" s="71" t="s">
        <v>38</v>
      </c>
      <c r="I549" s="37" t="s">
        <v>207</v>
      </c>
    </row>
    <row r="550" spans="1:9" x14ac:dyDescent="0.25">
      <c r="A550" s="29" t="s">
        <v>12</v>
      </c>
      <c r="B550" s="29" t="s">
        <v>57</v>
      </c>
      <c r="C550" s="29">
        <v>41627</v>
      </c>
      <c r="D550" s="37" t="s">
        <v>2103</v>
      </c>
      <c r="E550" s="29" t="s">
        <v>37</v>
      </c>
      <c r="F550" s="29" t="s">
        <v>36</v>
      </c>
      <c r="G550" s="29">
        <v>189.66</v>
      </c>
      <c r="H550" s="71" t="s">
        <v>38</v>
      </c>
      <c r="I550" s="37" t="s">
        <v>207</v>
      </c>
    </row>
    <row r="551" spans="1:9" x14ac:dyDescent="0.25">
      <c r="A551" s="29" t="s">
        <v>12</v>
      </c>
      <c r="B551" s="29" t="s">
        <v>57</v>
      </c>
      <c r="C551" s="29">
        <v>41628</v>
      </c>
      <c r="D551" s="37" t="s">
        <v>2104</v>
      </c>
      <c r="E551" s="29" t="s">
        <v>37</v>
      </c>
      <c r="F551" s="29" t="s">
        <v>36</v>
      </c>
      <c r="G551" s="29">
        <v>348.57</v>
      </c>
      <c r="H551" s="71" t="s">
        <v>38</v>
      </c>
      <c r="I551" s="37" t="s">
        <v>207</v>
      </c>
    </row>
    <row r="552" spans="1:9" x14ac:dyDescent="0.25">
      <c r="A552" s="29" t="s">
        <v>12</v>
      </c>
      <c r="B552" s="29" t="s">
        <v>57</v>
      </c>
      <c r="C552" s="29">
        <v>41629</v>
      </c>
      <c r="D552" s="37" t="s">
        <v>2105</v>
      </c>
      <c r="E552" s="29" t="s">
        <v>37</v>
      </c>
      <c r="F552" s="29" t="s">
        <v>36</v>
      </c>
      <c r="G552" s="29">
        <v>442.89</v>
      </c>
      <c r="H552" s="71" t="s">
        <v>38</v>
      </c>
      <c r="I552" s="37" t="s">
        <v>207</v>
      </c>
    </row>
    <row r="553" spans="1:9" x14ac:dyDescent="0.25">
      <c r="A553" s="29" t="s">
        <v>12</v>
      </c>
      <c r="B553" s="29" t="s">
        <v>57</v>
      </c>
      <c r="C553" s="29">
        <v>43429</v>
      </c>
      <c r="D553" s="37" t="s">
        <v>1496</v>
      </c>
      <c r="E553" s="29" t="s">
        <v>37</v>
      </c>
      <c r="F553" s="29" t="s">
        <v>36</v>
      </c>
      <c r="G553" s="29">
        <v>98.13</v>
      </c>
      <c r="H553" s="71" t="s">
        <v>38</v>
      </c>
      <c r="I553" s="37" t="s">
        <v>207</v>
      </c>
    </row>
    <row r="554" spans="1:9" x14ac:dyDescent="0.25">
      <c r="A554" s="29" t="s">
        <v>12</v>
      </c>
      <c r="B554" s="29" t="s">
        <v>57</v>
      </c>
      <c r="C554" s="29">
        <v>43430</v>
      </c>
      <c r="D554" s="37" t="s">
        <v>1497</v>
      </c>
      <c r="E554" s="29" t="s">
        <v>37</v>
      </c>
      <c r="F554" s="29" t="s">
        <v>36</v>
      </c>
      <c r="G554" s="29">
        <v>163</v>
      </c>
      <c r="H554" s="71" t="s">
        <v>38</v>
      </c>
      <c r="I554" s="37" t="s">
        <v>207</v>
      </c>
    </row>
    <row r="555" spans="1:9" x14ac:dyDescent="0.25">
      <c r="A555" s="29" t="s">
        <v>12</v>
      </c>
      <c r="B555" s="29" t="s">
        <v>57</v>
      </c>
      <c r="C555" s="29">
        <v>43431</v>
      </c>
      <c r="D555" s="37" t="s">
        <v>1498</v>
      </c>
      <c r="E555" s="29" t="s">
        <v>37</v>
      </c>
      <c r="F555" s="29" t="s">
        <v>36</v>
      </c>
      <c r="G555" s="29">
        <v>315.76</v>
      </c>
      <c r="H555" s="71" t="s">
        <v>38</v>
      </c>
      <c r="I555" s="37" t="s">
        <v>207</v>
      </c>
    </row>
    <row r="556" spans="1:9" x14ac:dyDescent="0.25">
      <c r="A556" s="29" t="s">
        <v>12</v>
      </c>
      <c r="B556" s="29" t="s">
        <v>57</v>
      </c>
      <c r="C556" s="29">
        <v>43432</v>
      </c>
      <c r="D556" s="37" t="s">
        <v>1499</v>
      </c>
      <c r="E556" s="29" t="s">
        <v>37</v>
      </c>
      <c r="F556" s="29" t="s">
        <v>36</v>
      </c>
      <c r="G556" s="29">
        <v>656.13</v>
      </c>
      <c r="H556" s="71" t="s">
        <v>38</v>
      </c>
      <c r="I556" s="37" t="s">
        <v>207</v>
      </c>
    </row>
    <row r="557" spans="1:9" x14ac:dyDescent="0.25">
      <c r="A557" s="29" t="s">
        <v>12</v>
      </c>
      <c r="B557" s="29" t="s">
        <v>57</v>
      </c>
      <c r="C557" s="29">
        <v>43433</v>
      </c>
      <c r="D557" s="37" t="s">
        <v>1500</v>
      </c>
      <c r="E557" s="29" t="s">
        <v>37</v>
      </c>
      <c r="F557" s="29" t="s">
        <v>36</v>
      </c>
      <c r="G557" s="29">
        <v>1034.43</v>
      </c>
      <c r="H557" s="71" t="s">
        <v>38</v>
      </c>
      <c r="I557" s="37" t="s">
        <v>207</v>
      </c>
    </row>
    <row r="558" spans="1:9" x14ac:dyDescent="0.25">
      <c r="A558" s="29" t="s">
        <v>12</v>
      </c>
      <c r="B558" s="29" t="s">
        <v>57</v>
      </c>
      <c r="C558" s="29">
        <v>10569</v>
      </c>
      <c r="D558" s="37" t="s">
        <v>1883</v>
      </c>
      <c r="E558" s="29" t="s">
        <v>37</v>
      </c>
      <c r="F558" s="29" t="s">
        <v>36</v>
      </c>
      <c r="G558" s="29">
        <v>3.25</v>
      </c>
      <c r="H558" s="71" t="s">
        <v>38</v>
      </c>
      <c r="I558" s="37" t="s">
        <v>207</v>
      </c>
    </row>
    <row r="559" spans="1:9" x14ac:dyDescent="0.25">
      <c r="A559" s="29" t="s">
        <v>12</v>
      </c>
      <c r="B559" s="29" t="s">
        <v>57</v>
      </c>
      <c r="C559" s="29" t="s">
        <v>34</v>
      </c>
      <c r="D559" s="37" t="s">
        <v>1755</v>
      </c>
      <c r="E559" s="29" t="s">
        <v>59</v>
      </c>
      <c r="F559" s="29" t="s">
        <v>36</v>
      </c>
      <c r="I559" s="37" t="s">
        <v>37</v>
      </c>
    </row>
    <row r="560" spans="1:9" x14ac:dyDescent="0.25">
      <c r="A560" s="29" t="s">
        <v>12</v>
      </c>
      <c r="B560" s="29" t="s">
        <v>57</v>
      </c>
      <c r="C560" s="29" t="s">
        <v>34</v>
      </c>
      <c r="D560" s="37" t="s">
        <v>1756</v>
      </c>
      <c r="E560" s="29" t="s">
        <v>58</v>
      </c>
      <c r="F560" s="29" t="s">
        <v>36</v>
      </c>
      <c r="I560" s="37" t="s">
        <v>37</v>
      </c>
    </row>
    <row r="561" spans="1:9" x14ac:dyDescent="0.25">
      <c r="A561" s="29" t="s">
        <v>12</v>
      </c>
      <c r="B561" s="29" t="s">
        <v>57</v>
      </c>
      <c r="C561" s="29" t="s">
        <v>34</v>
      </c>
      <c r="D561" s="37" t="s">
        <v>1501</v>
      </c>
      <c r="E561" s="29" t="s">
        <v>517</v>
      </c>
      <c r="F561" s="29" t="s">
        <v>36</v>
      </c>
      <c r="G561" s="29">
        <v>60</v>
      </c>
      <c r="H561" s="71" t="s">
        <v>515</v>
      </c>
      <c r="I561" s="37" t="str">
        <f t="shared" ref="I561:I572" si="2">"https://tubolaronline.com.br/produto/caixas-de-passagem-e-eletricas/"</f>
        <v>https://tubolaronline.com.br/produto/caixas-de-passagem-e-eletricas/</v>
      </c>
    </row>
    <row r="562" spans="1:9" x14ac:dyDescent="0.25">
      <c r="A562" s="29" t="s">
        <v>12</v>
      </c>
      <c r="B562" s="29" t="s">
        <v>57</v>
      </c>
      <c r="C562" s="29" t="s">
        <v>34</v>
      </c>
      <c r="D562" s="37" t="s">
        <v>3056</v>
      </c>
      <c r="E562" s="29" t="s">
        <v>517</v>
      </c>
      <c r="F562" s="29" t="s">
        <v>36</v>
      </c>
      <c r="G562" s="29">
        <v>130</v>
      </c>
      <c r="H562" s="71" t="s">
        <v>515</v>
      </c>
      <c r="I562" s="37" t="str">
        <f t="shared" si="2"/>
        <v>https://tubolaronline.com.br/produto/caixas-de-passagem-e-eletricas/</v>
      </c>
    </row>
    <row r="563" spans="1:9" x14ac:dyDescent="0.25">
      <c r="A563" s="29" t="s">
        <v>12</v>
      </c>
      <c r="B563" s="29" t="s">
        <v>57</v>
      </c>
      <c r="C563" s="29" t="s">
        <v>34</v>
      </c>
      <c r="D563" s="37" t="s">
        <v>3057</v>
      </c>
      <c r="E563" s="29" t="s">
        <v>517</v>
      </c>
      <c r="F563" s="29" t="s">
        <v>36</v>
      </c>
      <c r="G563" s="29">
        <v>150</v>
      </c>
      <c r="H563" s="71" t="s">
        <v>515</v>
      </c>
      <c r="I563" s="37" t="str">
        <f t="shared" si="2"/>
        <v>https://tubolaronline.com.br/produto/caixas-de-passagem-e-eletricas/</v>
      </c>
    </row>
    <row r="564" spans="1:9" x14ac:dyDescent="0.25">
      <c r="A564" s="29" t="s">
        <v>12</v>
      </c>
      <c r="B564" s="29" t="s">
        <v>57</v>
      </c>
      <c r="C564" s="29" t="s">
        <v>34</v>
      </c>
      <c r="D564" s="37" t="s">
        <v>3058</v>
      </c>
      <c r="E564" s="29" t="s">
        <v>517</v>
      </c>
      <c r="F564" s="29" t="s">
        <v>36</v>
      </c>
      <c r="G564" s="29">
        <v>170</v>
      </c>
      <c r="H564" s="71" t="s">
        <v>515</v>
      </c>
      <c r="I564" s="37" t="str">
        <f t="shared" si="2"/>
        <v>https://tubolaronline.com.br/produto/caixas-de-passagem-e-eletricas/</v>
      </c>
    </row>
    <row r="565" spans="1:9" x14ac:dyDescent="0.25">
      <c r="A565" s="29" t="s">
        <v>12</v>
      </c>
      <c r="B565" s="29" t="s">
        <v>57</v>
      </c>
      <c r="C565" s="29" t="s">
        <v>34</v>
      </c>
      <c r="D565" s="37" t="s">
        <v>3059</v>
      </c>
      <c r="E565" s="29" t="s">
        <v>517</v>
      </c>
      <c r="F565" s="29" t="s">
        <v>36</v>
      </c>
      <c r="G565" s="29">
        <v>200</v>
      </c>
      <c r="H565" s="71" t="s">
        <v>515</v>
      </c>
      <c r="I565" s="37" t="str">
        <f t="shared" si="2"/>
        <v>https://tubolaronline.com.br/produto/caixas-de-passagem-e-eletricas/</v>
      </c>
    </row>
    <row r="566" spans="1:9" x14ac:dyDescent="0.25">
      <c r="A566" s="29" t="s">
        <v>12</v>
      </c>
      <c r="B566" s="29" t="s">
        <v>57</v>
      </c>
      <c r="C566" s="29" t="s">
        <v>34</v>
      </c>
      <c r="D566" s="37" t="s">
        <v>3060</v>
      </c>
      <c r="E566" s="29" t="s">
        <v>517</v>
      </c>
      <c r="F566" s="29" t="s">
        <v>36</v>
      </c>
      <c r="G566" s="29">
        <v>300</v>
      </c>
      <c r="H566" s="71" t="s">
        <v>515</v>
      </c>
      <c r="I566" s="37" t="str">
        <f t="shared" si="2"/>
        <v>https://tubolaronline.com.br/produto/caixas-de-passagem-e-eletricas/</v>
      </c>
    </row>
    <row r="567" spans="1:9" x14ac:dyDescent="0.25">
      <c r="A567" s="29" t="s">
        <v>12</v>
      </c>
      <c r="B567" s="29" t="s">
        <v>57</v>
      </c>
      <c r="C567" s="29" t="s">
        <v>34</v>
      </c>
      <c r="D567" s="37" t="s">
        <v>3061</v>
      </c>
      <c r="E567" s="29" t="s">
        <v>517</v>
      </c>
      <c r="F567" s="29" t="s">
        <v>36</v>
      </c>
      <c r="G567" s="29">
        <v>435</v>
      </c>
      <c r="H567" s="71" t="s">
        <v>515</v>
      </c>
      <c r="I567" s="37" t="str">
        <f t="shared" si="2"/>
        <v>https://tubolaronline.com.br/produto/caixas-de-passagem-e-eletricas/</v>
      </c>
    </row>
    <row r="568" spans="1:9" x14ac:dyDescent="0.25">
      <c r="A568" s="29" t="s">
        <v>12</v>
      </c>
      <c r="B568" s="29" t="s">
        <v>57</v>
      </c>
      <c r="C568" s="29" t="s">
        <v>34</v>
      </c>
      <c r="D568" s="37" t="s">
        <v>3062</v>
      </c>
      <c r="E568" s="29" t="s">
        <v>517</v>
      </c>
      <c r="F568" s="29" t="s">
        <v>36</v>
      </c>
      <c r="G568" s="29">
        <v>980</v>
      </c>
      <c r="H568" s="71" t="s">
        <v>515</v>
      </c>
      <c r="I568" s="37" t="str">
        <f t="shared" si="2"/>
        <v>https://tubolaronline.com.br/produto/caixas-de-passagem-e-eletricas/</v>
      </c>
    </row>
    <row r="569" spans="1:9" x14ac:dyDescent="0.25">
      <c r="A569" s="29" t="s">
        <v>12</v>
      </c>
      <c r="B569" s="29" t="s">
        <v>57</v>
      </c>
      <c r="C569" s="29" t="s">
        <v>34</v>
      </c>
      <c r="D569" s="37" t="s">
        <v>3063</v>
      </c>
      <c r="E569" s="29" t="s">
        <v>517</v>
      </c>
      <c r="F569" s="29" t="s">
        <v>36</v>
      </c>
      <c r="G569" s="29">
        <v>1960</v>
      </c>
      <c r="H569" s="71" t="s">
        <v>515</v>
      </c>
      <c r="I569" s="37" t="str">
        <f t="shared" si="2"/>
        <v>https://tubolaronline.com.br/produto/caixas-de-passagem-e-eletricas/</v>
      </c>
    </row>
    <row r="570" spans="1:9" x14ac:dyDescent="0.25">
      <c r="A570" s="29" t="s">
        <v>12</v>
      </c>
      <c r="B570" s="29" t="s">
        <v>57</v>
      </c>
      <c r="C570" s="29" t="s">
        <v>34</v>
      </c>
      <c r="D570" s="37" t="s">
        <v>3064</v>
      </c>
      <c r="E570" s="29" t="s">
        <v>517</v>
      </c>
      <c r="F570" s="29" t="s">
        <v>36</v>
      </c>
      <c r="G570" s="29">
        <v>1450</v>
      </c>
      <c r="H570" s="71" t="s">
        <v>515</v>
      </c>
      <c r="I570" s="37" t="str">
        <f t="shared" si="2"/>
        <v>https://tubolaronline.com.br/produto/caixas-de-passagem-e-eletricas/</v>
      </c>
    </row>
    <row r="571" spans="1:9" x14ac:dyDescent="0.25">
      <c r="A571" s="29" t="s">
        <v>12</v>
      </c>
      <c r="B571" s="29" t="s">
        <v>57</v>
      </c>
      <c r="C571" s="29" t="s">
        <v>34</v>
      </c>
      <c r="D571" s="37" t="s">
        <v>3236</v>
      </c>
      <c r="E571" s="29" t="s">
        <v>517</v>
      </c>
      <c r="F571" s="29" t="s">
        <v>36</v>
      </c>
      <c r="G571" s="29">
        <v>4500</v>
      </c>
      <c r="H571" s="71" t="s">
        <v>515</v>
      </c>
      <c r="I571" s="37" t="str">
        <f t="shared" si="2"/>
        <v>https://tubolaronline.com.br/produto/caixas-de-passagem-e-eletricas/</v>
      </c>
    </row>
    <row r="572" spans="1:9" x14ac:dyDescent="0.25">
      <c r="A572" s="29" t="s">
        <v>12</v>
      </c>
      <c r="B572" s="29" t="s">
        <v>57</v>
      </c>
      <c r="C572" s="29" t="s">
        <v>34</v>
      </c>
      <c r="D572" s="37" t="s">
        <v>3065</v>
      </c>
      <c r="E572" s="29" t="s">
        <v>517</v>
      </c>
      <c r="F572" s="29" t="s">
        <v>36</v>
      </c>
      <c r="G572" s="29">
        <v>7700</v>
      </c>
      <c r="H572" s="71" t="s">
        <v>515</v>
      </c>
      <c r="I572" s="37" t="str">
        <f t="shared" si="2"/>
        <v>https://tubolaronline.com.br/produto/caixas-de-passagem-e-eletricas/</v>
      </c>
    </row>
    <row r="573" spans="1:9" x14ac:dyDescent="0.25">
      <c r="A573" s="29" t="s">
        <v>12</v>
      </c>
      <c r="B573" s="29" t="s">
        <v>57</v>
      </c>
      <c r="C573" s="29" t="s">
        <v>34</v>
      </c>
      <c r="D573" s="37" t="s">
        <v>1757</v>
      </c>
      <c r="E573" s="29" t="s">
        <v>516</v>
      </c>
      <c r="F573" s="29" t="s">
        <v>36</v>
      </c>
      <c r="G573" s="29">
        <v>1787.78</v>
      </c>
      <c r="H573" s="71" t="s">
        <v>515</v>
      </c>
      <c r="I573" s="37" t="str">
        <f>"https://mademaxi.com.br/loja/caixa-concreto-com-tampa-100x100x100-meta/"</f>
        <v>https://mademaxi.com.br/loja/caixa-concreto-com-tampa-100x100x100-meta/</v>
      </c>
    </row>
    <row r="574" spans="1:9" x14ac:dyDescent="0.25">
      <c r="A574" s="29" t="s">
        <v>12</v>
      </c>
      <c r="B574" s="29" t="s">
        <v>57</v>
      </c>
      <c r="C574" s="29" t="s">
        <v>34</v>
      </c>
      <c r="D574" s="37" t="s">
        <v>1758</v>
      </c>
      <c r="E574" s="29" t="s">
        <v>516</v>
      </c>
      <c r="F574" s="29" t="s">
        <v>36</v>
      </c>
      <c r="G574" s="29">
        <v>75.849999999999994</v>
      </c>
      <c r="H574" s="71" t="s">
        <v>515</v>
      </c>
      <c r="I574" s="37" t="str">
        <f>"https://mademaxi.com.br/loja/caixa-concreto-com-tampa-30x30x30-meta/"</f>
        <v>https://mademaxi.com.br/loja/caixa-concreto-com-tampa-30x30x30-meta/</v>
      </c>
    </row>
    <row r="575" spans="1:9" x14ac:dyDescent="0.25">
      <c r="A575" s="29" t="s">
        <v>12</v>
      </c>
      <c r="B575" s="29" t="s">
        <v>57</v>
      </c>
      <c r="C575" s="29" t="s">
        <v>34</v>
      </c>
      <c r="D575" s="37" t="s">
        <v>1759</v>
      </c>
      <c r="E575" s="29" t="s">
        <v>516</v>
      </c>
      <c r="F575" s="29" t="s">
        <v>36</v>
      </c>
      <c r="G575" s="29">
        <v>151.69</v>
      </c>
      <c r="H575" s="71" t="s">
        <v>515</v>
      </c>
      <c r="I575" s="37" t="str">
        <f>"https://mademaxi.com.br/loja/caixa-concreto-com-tampa-40x40x40-meta/"</f>
        <v>https://mademaxi.com.br/loja/caixa-concreto-com-tampa-40x40x40-meta/</v>
      </c>
    </row>
    <row r="576" spans="1:9" x14ac:dyDescent="0.25">
      <c r="A576" s="29" t="s">
        <v>12</v>
      </c>
      <c r="B576" s="29" t="s">
        <v>57</v>
      </c>
      <c r="C576" s="29" t="s">
        <v>34</v>
      </c>
      <c r="D576" s="37" t="s">
        <v>1760</v>
      </c>
      <c r="E576" s="29" t="s">
        <v>516</v>
      </c>
      <c r="F576" s="29" t="s">
        <v>36</v>
      </c>
      <c r="G576" s="29">
        <v>297.97000000000003</v>
      </c>
      <c r="H576" s="71" t="s">
        <v>515</v>
      </c>
      <c r="I576" s="37" t="str">
        <f>"https://mademaxi.com.br/loja/caixa-concreto-com-tampa-50x50x50-meta/"</f>
        <v>https://mademaxi.com.br/loja/caixa-concreto-com-tampa-50x50x50-meta/</v>
      </c>
    </row>
    <row r="577" spans="1:9" x14ac:dyDescent="0.25">
      <c r="A577" s="29" t="s">
        <v>12</v>
      </c>
      <c r="B577" s="29" t="s">
        <v>57</v>
      </c>
      <c r="C577" s="29" t="s">
        <v>34</v>
      </c>
      <c r="D577" s="37" t="s">
        <v>1761</v>
      </c>
      <c r="E577" s="29" t="s">
        <v>516</v>
      </c>
      <c r="F577" s="29" t="s">
        <v>36</v>
      </c>
      <c r="G577" s="29">
        <v>374.2</v>
      </c>
      <c r="H577" s="71" t="s">
        <v>515</v>
      </c>
      <c r="I577" s="37" t="str">
        <f>"https://mademaxi.com.br/loja/caixa-concreto-com-tampa-60x60x60-meta/"</f>
        <v>https://mademaxi.com.br/loja/caixa-concreto-com-tampa-60x60x60-meta/</v>
      </c>
    </row>
    <row r="578" spans="1:9" x14ac:dyDescent="0.25">
      <c r="A578" s="29" t="s">
        <v>12</v>
      </c>
      <c r="B578" s="29" t="s">
        <v>57</v>
      </c>
      <c r="C578" s="29" t="s">
        <v>34</v>
      </c>
      <c r="D578" s="37" t="s">
        <v>1762</v>
      </c>
      <c r="E578" s="29" t="s">
        <v>516</v>
      </c>
      <c r="F578" s="29" t="s">
        <v>36</v>
      </c>
      <c r="G578" s="29">
        <v>876.55</v>
      </c>
      <c r="H578" s="71" t="s">
        <v>515</v>
      </c>
      <c r="I578" s="37" t="str">
        <f>"https://mademaxi.com.br/loja/caixa-concreto-com-tampa-80x80x80-meta/"</f>
        <v>https://mademaxi.com.br/loja/caixa-concreto-com-tampa-80x80x80-meta/</v>
      </c>
    </row>
    <row r="579" spans="1:9" x14ac:dyDescent="0.25">
      <c r="A579" s="29" t="s">
        <v>12</v>
      </c>
      <c r="B579" s="29" t="s">
        <v>57</v>
      </c>
      <c r="C579" s="29">
        <v>39810</v>
      </c>
      <c r="D579" s="37" t="s">
        <v>2436</v>
      </c>
      <c r="E579" s="29" t="s">
        <v>37</v>
      </c>
      <c r="F579" s="29" t="s">
        <v>36</v>
      </c>
      <c r="G579" s="29">
        <v>46.67</v>
      </c>
      <c r="H579" s="71" t="s">
        <v>38</v>
      </c>
      <c r="I579" s="37" t="s">
        <v>207</v>
      </c>
    </row>
    <row r="580" spans="1:9" x14ac:dyDescent="0.25">
      <c r="A580" s="29" t="s">
        <v>12</v>
      </c>
      <c r="B580" s="29" t="s">
        <v>57</v>
      </c>
      <c r="C580" s="29">
        <v>39811</v>
      </c>
      <c r="D580" s="37" t="s">
        <v>2437</v>
      </c>
      <c r="E580" s="29" t="s">
        <v>37</v>
      </c>
      <c r="F580" s="29" t="s">
        <v>36</v>
      </c>
      <c r="G580" s="29">
        <v>57.09</v>
      </c>
      <c r="H580" s="71" t="s">
        <v>38</v>
      </c>
      <c r="I580" s="37" t="s">
        <v>207</v>
      </c>
    </row>
    <row r="581" spans="1:9" x14ac:dyDescent="0.25">
      <c r="A581" s="29" t="s">
        <v>12</v>
      </c>
      <c r="B581" s="29" t="s">
        <v>57</v>
      </c>
      <c r="C581" s="29">
        <v>39812</v>
      </c>
      <c r="D581" s="37" t="s">
        <v>2438</v>
      </c>
      <c r="E581" s="29" t="s">
        <v>37</v>
      </c>
      <c r="F581" s="29" t="s">
        <v>36</v>
      </c>
      <c r="G581" s="29">
        <v>93.87</v>
      </c>
      <c r="H581" s="71" t="s">
        <v>38</v>
      </c>
      <c r="I581" s="37" t="s">
        <v>207</v>
      </c>
    </row>
    <row r="582" spans="1:9" x14ac:dyDescent="0.25">
      <c r="A582" s="29" t="s">
        <v>12</v>
      </c>
      <c r="B582" s="29" t="s">
        <v>57</v>
      </c>
      <c r="C582" s="29">
        <v>43096</v>
      </c>
      <c r="D582" s="37" t="s">
        <v>2439</v>
      </c>
      <c r="E582" s="29" t="s">
        <v>37</v>
      </c>
      <c r="F582" s="29" t="s">
        <v>36</v>
      </c>
      <c r="G582" s="29">
        <v>311.14</v>
      </c>
      <c r="H582" s="71" t="s">
        <v>38</v>
      </c>
      <c r="I582" s="37" t="s">
        <v>207</v>
      </c>
    </row>
    <row r="583" spans="1:9" x14ac:dyDescent="0.25">
      <c r="A583" s="29" t="s">
        <v>12</v>
      </c>
      <c r="B583" s="29" t="s">
        <v>57</v>
      </c>
      <c r="C583" s="29">
        <v>43102</v>
      </c>
      <c r="D583" s="37" t="s">
        <v>2440</v>
      </c>
      <c r="E583" s="29" t="s">
        <v>37</v>
      </c>
      <c r="F583" s="29" t="s">
        <v>36</v>
      </c>
      <c r="G583" s="29">
        <v>189.19</v>
      </c>
      <c r="H583" s="71" t="s">
        <v>38</v>
      </c>
      <c r="I583" s="37" t="s">
        <v>207</v>
      </c>
    </row>
    <row r="584" spans="1:9" x14ac:dyDescent="0.25">
      <c r="A584" s="29" t="s">
        <v>12</v>
      </c>
      <c r="B584" s="29" t="s">
        <v>57</v>
      </c>
      <c r="C584" s="29">
        <v>43103</v>
      </c>
      <c r="D584" s="37" t="s">
        <v>2441</v>
      </c>
      <c r="E584" s="29" t="s">
        <v>37</v>
      </c>
      <c r="F584" s="29" t="s">
        <v>36</v>
      </c>
      <c r="G584" s="29">
        <v>278.58999999999997</v>
      </c>
      <c r="H584" s="71" t="s">
        <v>38</v>
      </c>
      <c r="I584" s="37" t="s">
        <v>207</v>
      </c>
    </row>
    <row r="585" spans="1:9" x14ac:dyDescent="0.25">
      <c r="A585" s="29" t="s">
        <v>12</v>
      </c>
      <c r="B585" s="29" t="s">
        <v>57</v>
      </c>
      <c r="C585" s="29">
        <v>43098</v>
      </c>
      <c r="D585" s="37" t="s">
        <v>2442</v>
      </c>
      <c r="E585" s="29" t="s">
        <v>37</v>
      </c>
      <c r="F585" s="29" t="s">
        <v>36</v>
      </c>
      <c r="G585" s="29">
        <v>105.39</v>
      </c>
      <c r="H585" s="71" t="s">
        <v>38</v>
      </c>
      <c r="I585" s="37" t="s">
        <v>207</v>
      </c>
    </row>
    <row r="586" spans="1:9" x14ac:dyDescent="0.25">
      <c r="A586" s="29" t="s">
        <v>12</v>
      </c>
      <c r="B586" s="29" t="s">
        <v>57</v>
      </c>
      <c r="C586" s="29">
        <v>43097</v>
      </c>
      <c r="D586" s="37" t="s">
        <v>2443</v>
      </c>
      <c r="E586" s="29" t="s">
        <v>37</v>
      </c>
      <c r="F586" s="29" t="s">
        <v>36</v>
      </c>
      <c r="G586" s="29">
        <v>62.44</v>
      </c>
      <c r="H586" s="71" t="s">
        <v>38</v>
      </c>
      <c r="I586" s="37" t="s">
        <v>207</v>
      </c>
    </row>
    <row r="587" spans="1:9" x14ac:dyDescent="0.25">
      <c r="A587" s="29" t="s">
        <v>12</v>
      </c>
      <c r="B587" s="29" t="s">
        <v>57</v>
      </c>
      <c r="C587" s="29">
        <v>43104</v>
      </c>
      <c r="D587" s="37" t="s">
        <v>2444</v>
      </c>
      <c r="E587" s="29" t="s">
        <v>37</v>
      </c>
      <c r="F587" s="29" t="s">
        <v>36</v>
      </c>
      <c r="G587" s="29">
        <v>738.62</v>
      </c>
      <c r="H587" s="71" t="s">
        <v>38</v>
      </c>
      <c r="I587" s="37" t="s">
        <v>207</v>
      </c>
    </row>
    <row r="588" spans="1:9" x14ac:dyDescent="0.25">
      <c r="A588" s="29" t="s">
        <v>12</v>
      </c>
      <c r="B588" s="29" t="s">
        <v>57</v>
      </c>
      <c r="C588" s="29">
        <v>39771</v>
      </c>
      <c r="D588" s="37" t="s">
        <v>1763</v>
      </c>
      <c r="E588" s="29" t="s">
        <v>37</v>
      </c>
      <c r="F588" s="29" t="s">
        <v>36</v>
      </c>
      <c r="G588" s="29">
        <v>31.26</v>
      </c>
      <c r="H588" s="71" t="s">
        <v>38</v>
      </c>
      <c r="I588" s="37" t="s">
        <v>207</v>
      </c>
    </row>
    <row r="589" spans="1:9" x14ac:dyDescent="0.25">
      <c r="A589" s="29" t="s">
        <v>12</v>
      </c>
      <c r="B589" s="29" t="s">
        <v>57</v>
      </c>
      <c r="C589" s="29">
        <v>39772</v>
      </c>
      <c r="D589" s="37" t="s">
        <v>1764</v>
      </c>
      <c r="E589" s="29" t="s">
        <v>37</v>
      </c>
      <c r="F589" s="29" t="s">
        <v>36</v>
      </c>
      <c r="G589" s="29">
        <v>61.45</v>
      </c>
      <c r="H589" s="71" t="s">
        <v>38</v>
      </c>
      <c r="I589" s="37" t="s">
        <v>207</v>
      </c>
    </row>
    <row r="590" spans="1:9" x14ac:dyDescent="0.25">
      <c r="A590" s="29" t="s">
        <v>12</v>
      </c>
      <c r="B590" s="29" t="s">
        <v>57</v>
      </c>
      <c r="C590" s="29">
        <v>39773</v>
      </c>
      <c r="D590" s="37" t="s">
        <v>1765</v>
      </c>
      <c r="E590" s="29" t="s">
        <v>37</v>
      </c>
      <c r="F590" s="29" t="s">
        <v>36</v>
      </c>
      <c r="G590" s="29">
        <v>98.77</v>
      </c>
      <c r="H590" s="71" t="s">
        <v>38</v>
      </c>
      <c r="I590" s="37" t="s">
        <v>207</v>
      </c>
    </row>
    <row r="591" spans="1:9" x14ac:dyDescent="0.25">
      <c r="A591" s="29" t="s">
        <v>12</v>
      </c>
      <c r="B591" s="29" t="s">
        <v>57</v>
      </c>
      <c r="C591" s="29">
        <v>39774</v>
      </c>
      <c r="D591" s="37" t="s">
        <v>1766</v>
      </c>
      <c r="E591" s="29" t="s">
        <v>37</v>
      </c>
      <c r="F591" s="29" t="s">
        <v>36</v>
      </c>
      <c r="G591" s="29">
        <v>147.74</v>
      </c>
      <c r="H591" s="71" t="s">
        <v>38</v>
      </c>
      <c r="I591" s="37" t="s">
        <v>207</v>
      </c>
    </row>
    <row r="592" spans="1:9" x14ac:dyDescent="0.25">
      <c r="A592" s="29" t="s">
        <v>12</v>
      </c>
      <c r="B592" s="29" t="s">
        <v>57</v>
      </c>
      <c r="C592" s="29">
        <v>39775</v>
      </c>
      <c r="D592" s="37" t="s">
        <v>1767</v>
      </c>
      <c r="E592" s="29" t="s">
        <v>37</v>
      </c>
      <c r="F592" s="29" t="s">
        <v>36</v>
      </c>
      <c r="G592" s="29">
        <v>197.18</v>
      </c>
      <c r="H592" s="71" t="s">
        <v>38</v>
      </c>
      <c r="I592" s="37" t="s">
        <v>207</v>
      </c>
    </row>
    <row r="593" spans="1:9" x14ac:dyDescent="0.25">
      <c r="A593" s="29" t="s">
        <v>12</v>
      </c>
      <c r="B593" s="29" t="s">
        <v>57</v>
      </c>
      <c r="C593" s="29">
        <v>39776</v>
      </c>
      <c r="D593" s="37" t="s">
        <v>1768</v>
      </c>
      <c r="E593" s="29" t="s">
        <v>37</v>
      </c>
      <c r="F593" s="29" t="s">
        <v>36</v>
      </c>
      <c r="G593" s="29">
        <v>238.3</v>
      </c>
      <c r="H593" s="71" t="s">
        <v>38</v>
      </c>
      <c r="I593" s="37" t="s">
        <v>207</v>
      </c>
    </row>
    <row r="594" spans="1:9" x14ac:dyDescent="0.25">
      <c r="A594" s="29" t="s">
        <v>12</v>
      </c>
      <c r="B594" s="29" t="s">
        <v>57</v>
      </c>
      <c r="C594" s="29">
        <v>39777</v>
      </c>
      <c r="D594" s="37" t="s">
        <v>1769</v>
      </c>
      <c r="E594" s="29" t="s">
        <v>37</v>
      </c>
      <c r="F594" s="29" t="s">
        <v>36</v>
      </c>
      <c r="G594" s="29">
        <v>302.04000000000002</v>
      </c>
      <c r="H594" s="71" t="s">
        <v>38</v>
      </c>
      <c r="I594" s="37" t="s">
        <v>207</v>
      </c>
    </row>
    <row r="595" spans="1:9" x14ac:dyDescent="0.25">
      <c r="A595" s="29" t="s">
        <v>12</v>
      </c>
      <c r="B595" s="29" t="s">
        <v>57</v>
      </c>
      <c r="C595" s="29">
        <v>20254</v>
      </c>
      <c r="D595" s="37" t="s">
        <v>1770</v>
      </c>
      <c r="E595" s="29" t="s">
        <v>37</v>
      </c>
      <c r="F595" s="29" t="s">
        <v>36</v>
      </c>
      <c r="G595" s="29">
        <v>21.92</v>
      </c>
      <c r="H595" s="71" t="s">
        <v>38</v>
      </c>
      <c r="I595" s="37" t="s">
        <v>207</v>
      </c>
    </row>
    <row r="596" spans="1:9" x14ac:dyDescent="0.25">
      <c r="A596" s="29" t="s">
        <v>12</v>
      </c>
      <c r="B596" s="29" t="s">
        <v>57</v>
      </c>
      <c r="C596" s="29">
        <v>20253</v>
      </c>
      <c r="D596" s="37" t="s">
        <v>1771</v>
      </c>
      <c r="E596" s="29" t="s">
        <v>37</v>
      </c>
      <c r="F596" s="29" t="s">
        <v>36</v>
      </c>
      <c r="G596" s="29">
        <v>71.989999999999995</v>
      </c>
      <c r="H596" s="71" t="s">
        <v>38</v>
      </c>
      <c r="I596" s="37" t="s">
        <v>207</v>
      </c>
    </row>
    <row r="597" spans="1:9" x14ac:dyDescent="0.25">
      <c r="A597" s="29" t="s">
        <v>12</v>
      </c>
      <c r="B597" s="29" t="s">
        <v>57</v>
      </c>
      <c r="C597" s="29">
        <v>1872</v>
      </c>
      <c r="D597" s="37" t="s">
        <v>2445</v>
      </c>
      <c r="E597" s="29" t="s">
        <v>37</v>
      </c>
      <c r="F597" s="29" t="s">
        <v>36</v>
      </c>
      <c r="G597" s="29">
        <v>2.64</v>
      </c>
      <c r="H597" s="71" t="s">
        <v>38</v>
      </c>
      <c r="I597" s="37" t="s">
        <v>207</v>
      </c>
    </row>
    <row r="598" spans="1:9" x14ac:dyDescent="0.25">
      <c r="A598" s="29" t="s">
        <v>12</v>
      </c>
      <c r="B598" s="29" t="s">
        <v>57</v>
      </c>
      <c r="C598" s="29">
        <v>1873</v>
      </c>
      <c r="D598" s="37" t="s">
        <v>2446</v>
      </c>
      <c r="E598" s="29" t="s">
        <v>37</v>
      </c>
      <c r="F598" s="29" t="s">
        <v>36</v>
      </c>
      <c r="G598" s="29">
        <v>5.25</v>
      </c>
      <c r="H598" s="71" t="s">
        <v>38</v>
      </c>
      <c r="I598" s="37" t="s">
        <v>207</v>
      </c>
    </row>
    <row r="599" spans="1:9" x14ac:dyDescent="0.25">
      <c r="A599" s="29" t="s">
        <v>12</v>
      </c>
      <c r="B599" s="29" t="s">
        <v>57</v>
      </c>
      <c r="C599" s="29">
        <v>14055</v>
      </c>
      <c r="D599" s="37" t="s">
        <v>1884</v>
      </c>
      <c r="E599" s="29" t="s">
        <v>37</v>
      </c>
      <c r="F599" s="29" t="s">
        <v>36</v>
      </c>
      <c r="G599" s="29">
        <v>657.84</v>
      </c>
      <c r="H599" s="71" t="s">
        <v>38</v>
      </c>
      <c r="I599" s="37" t="s">
        <v>207</v>
      </c>
    </row>
    <row r="600" spans="1:9" x14ac:dyDescent="0.25">
      <c r="A600" s="29" t="s">
        <v>12</v>
      </c>
      <c r="B600" s="29" t="s">
        <v>57</v>
      </c>
      <c r="C600" s="29">
        <v>11247</v>
      </c>
      <c r="D600" s="37" t="s">
        <v>1885</v>
      </c>
      <c r="E600" s="29" t="s">
        <v>37</v>
      </c>
      <c r="F600" s="29" t="s">
        <v>36</v>
      </c>
      <c r="G600" s="29">
        <v>1384.23</v>
      </c>
      <c r="H600" s="71" t="s">
        <v>38</v>
      </c>
      <c r="I600" s="37" t="s">
        <v>207</v>
      </c>
    </row>
    <row r="601" spans="1:9" x14ac:dyDescent="0.25">
      <c r="A601" s="29" t="s">
        <v>12</v>
      </c>
      <c r="B601" s="29" t="s">
        <v>57</v>
      </c>
      <c r="C601" s="29">
        <v>11250</v>
      </c>
      <c r="D601" s="37" t="s">
        <v>1886</v>
      </c>
      <c r="E601" s="29" t="s">
        <v>37</v>
      </c>
      <c r="F601" s="29" t="s">
        <v>36</v>
      </c>
      <c r="G601" s="29">
        <v>59.59</v>
      </c>
      <c r="H601" s="71" t="s">
        <v>38</v>
      </c>
      <c r="I601" s="37" t="s">
        <v>207</v>
      </c>
    </row>
    <row r="602" spans="1:9" x14ac:dyDescent="0.25">
      <c r="A602" s="29" t="s">
        <v>12</v>
      </c>
      <c r="B602" s="29" t="s">
        <v>57</v>
      </c>
      <c r="C602" s="29">
        <v>11249</v>
      </c>
      <c r="D602" s="37" t="s">
        <v>1887</v>
      </c>
      <c r="E602" s="29" t="s">
        <v>37</v>
      </c>
      <c r="F602" s="29" t="s">
        <v>36</v>
      </c>
      <c r="G602" s="29">
        <v>2703.89</v>
      </c>
      <c r="H602" s="71" t="s">
        <v>38</v>
      </c>
      <c r="I602" s="37" t="s">
        <v>207</v>
      </c>
    </row>
    <row r="603" spans="1:9" x14ac:dyDescent="0.25">
      <c r="A603" s="29" t="s">
        <v>12</v>
      </c>
      <c r="B603" s="29" t="s">
        <v>57</v>
      </c>
      <c r="C603" s="29">
        <v>11251</v>
      </c>
      <c r="D603" s="37" t="s">
        <v>1888</v>
      </c>
      <c r="E603" s="29" t="s">
        <v>37</v>
      </c>
      <c r="F603" s="29" t="s">
        <v>36</v>
      </c>
      <c r="G603" s="29">
        <v>132</v>
      </c>
      <c r="H603" s="71" t="s">
        <v>38</v>
      </c>
      <c r="I603" s="37" t="s">
        <v>207</v>
      </c>
    </row>
    <row r="604" spans="1:9" x14ac:dyDescent="0.25">
      <c r="A604" s="29" t="s">
        <v>12</v>
      </c>
      <c r="B604" s="29" t="s">
        <v>57</v>
      </c>
      <c r="C604" s="29">
        <v>11253</v>
      </c>
      <c r="D604" s="37" t="s">
        <v>1889</v>
      </c>
      <c r="E604" s="29" t="s">
        <v>37</v>
      </c>
      <c r="F604" s="29" t="s">
        <v>36</v>
      </c>
      <c r="G604" s="29">
        <v>218.74</v>
      </c>
      <c r="H604" s="71" t="s">
        <v>38</v>
      </c>
      <c r="I604" s="37" t="s">
        <v>207</v>
      </c>
    </row>
    <row r="605" spans="1:9" x14ac:dyDescent="0.25">
      <c r="A605" s="29" t="s">
        <v>12</v>
      </c>
      <c r="B605" s="29" t="s">
        <v>57</v>
      </c>
      <c r="C605" s="29">
        <v>11255</v>
      </c>
      <c r="D605" s="37" t="s">
        <v>1890</v>
      </c>
      <c r="E605" s="29" t="s">
        <v>37</v>
      </c>
      <c r="F605" s="29" t="s">
        <v>36</v>
      </c>
      <c r="G605" s="29">
        <v>327.01</v>
      </c>
      <c r="H605" s="71" t="s">
        <v>38</v>
      </c>
      <c r="I605" s="37" t="s">
        <v>207</v>
      </c>
    </row>
    <row r="606" spans="1:9" x14ac:dyDescent="0.25">
      <c r="A606" s="29" t="s">
        <v>12</v>
      </c>
      <c r="B606" s="29" t="s">
        <v>57</v>
      </c>
      <c r="C606" s="29">
        <v>11256</v>
      </c>
      <c r="D606" s="37" t="s">
        <v>1891</v>
      </c>
      <c r="E606" s="29" t="s">
        <v>37</v>
      </c>
      <c r="F606" s="29" t="s">
        <v>36</v>
      </c>
      <c r="G606" s="29">
        <v>409.62</v>
      </c>
      <c r="H606" s="71" t="s">
        <v>38</v>
      </c>
      <c r="I606" s="37" t="s">
        <v>207</v>
      </c>
    </row>
    <row r="607" spans="1:9" x14ac:dyDescent="0.25">
      <c r="A607" s="29" t="s">
        <v>12</v>
      </c>
      <c r="B607" s="29" t="s">
        <v>57</v>
      </c>
      <c r="C607" s="29" t="s">
        <v>34</v>
      </c>
      <c r="D607" s="37" t="s">
        <v>1502</v>
      </c>
      <c r="E607" s="29" t="s">
        <v>517</v>
      </c>
      <c r="F607" s="29" t="s">
        <v>36</v>
      </c>
      <c r="G607" s="29">
        <v>45</v>
      </c>
      <c r="H607" s="71" t="s">
        <v>515</v>
      </c>
      <c r="I607" s="37" t="str">
        <f>"https://tubolaronline.com.br/produto/caixas-de-passagem-e-eletricas/"</f>
        <v>https://tubolaronline.com.br/produto/caixas-de-passagem-e-eletricas/</v>
      </c>
    </row>
    <row r="608" spans="1:9" x14ac:dyDescent="0.25">
      <c r="A608" s="29" t="s">
        <v>12</v>
      </c>
      <c r="B608" s="29" t="s">
        <v>57</v>
      </c>
      <c r="C608" s="29" t="s">
        <v>34</v>
      </c>
      <c r="D608" s="37" t="s">
        <v>1772</v>
      </c>
      <c r="E608" s="29" t="s">
        <v>516</v>
      </c>
      <c r="F608" s="29" t="s">
        <v>36</v>
      </c>
      <c r="G608" s="29">
        <v>536.34</v>
      </c>
      <c r="H608" s="71" t="s">
        <v>515</v>
      </c>
      <c r="I608" s="37" t="str">
        <f>"https://mademaxi.com.br/loja/prolongador-20-cm-para-caixa-meta-100x100/"</f>
        <v>https://mademaxi.com.br/loja/prolongador-20-cm-para-caixa-meta-100x100/</v>
      </c>
    </row>
    <row r="609" spans="1:9" x14ac:dyDescent="0.25">
      <c r="A609" s="29" t="s">
        <v>12</v>
      </c>
      <c r="B609" s="29" t="s">
        <v>57</v>
      </c>
      <c r="C609" s="29" t="s">
        <v>34</v>
      </c>
      <c r="D609" s="37" t="s">
        <v>1773</v>
      </c>
      <c r="E609" s="29" t="s">
        <v>516</v>
      </c>
      <c r="F609" s="29" t="s">
        <v>36</v>
      </c>
      <c r="G609" s="29">
        <v>23.54</v>
      </c>
      <c r="H609" s="71" t="s">
        <v>515</v>
      </c>
      <c r="I609" s="37" t="str">
        <f>"https://mademaxi.com.br/loja/prolongador-20-cm-para-caixa-meta-30x30/"</f>
        <v>https://mademaxi.com.br/loja/prolongador-20-cm-para-caixa-meta-30x30/</v>
      </c>
    </row>
    <row r="610" spans="1:9" x14ac:dyDescent="0.25">
      <c r="A610" s="29" t="s">
        <v>12</v>
      </c>
      <c r="B610" s="29" t="s">
        <v>57</v>
      </c>
      <c r="C610" s="29" t="s">
        <v>34</v>
      </c>
      <c r="D610" s="37" t="s">
        <v>1774</v>
      </c>
      <c r="E610" s="29" t="s">
        <v>516</v>
      </c>
      <c r="F610" s="29" t="s">
        <v>36</v>
      </c>
      <c r="G610" s="29">
        <v>46.2</v>
      </c>
      <c r="H610" s="71" t="s">
        <v>515</v>
      </c>
      <c r="I610" s="37" t="str">
        <f>"https://mademaxi.com.br/loja/prolongador-20-cm-para-caixa-meta-40x40/"</f>
        <v>https://mademaxi.com.br/loja/prolongador-20-cm-para-caixa-meta-40x40/</v>
      </c>
    </row>
    <row r="611" spans="1:9" x14ac:dyDescent="0.25">
      <c r="A611" s="29" t="s">
        <v>12</v>
      </c>
      <c r="B611" s="29" t="s">
        <v>57</v>
      </c>
      <c r="C611" s="29" t="s">
        <v>34</v>
      </c>
      <c r="D611" s="37" t="s">
        <v>1775</v>
      </c>
      <c r="E611" s="29" t="s">
        <v>516</v>
      </c>
      <c r="F611" s="29" t="s">
        <v>36</v>
      </c>
      <c r="G611" s="29">
        <v>89.54</v>
      </c>
      <c r="H611" s="71" t="s">
        <v>515</v>
      </c>
      <c r="I611" s="37" t="str">
        <f>"https://mademaxi.com.br/loja/prolongador-20-cm-para-caixa-meta-50x50/"</f>
        <v>https://mademaxi.com.br/loja/prolongador-20-cm-para-caixa-meta-50x50/</v>
      </c>
    </row>
    <row r="612" spans="1:9" x14ac:dyDescent="0.25">
      <c r="A612" s="29" t="s">
        <v>12</v>
      </c>
      <c r="B612" s="29" t="s">
        <v>57</v>
      </c>
      <c r="C612" s="29" t="s">
        <v>34</v>
      </c>
      <c r="D612" s="37" t="s">
        <v>1776</v>
      </c>
      <c r="E612" s="29" t="s">
        <v>516</v>
      </c>
      <c r="F612" s="29" t="s">
        <v>36</v>
      </c>
      <c r="G612" s="29">
        <v>112.19</v>
      </c>
      <c r="H612" s="71" t="s">
        <v>515</v>
      </c>
      <c r="I612" s="37" t="str">
        <f>"https://mademaxi.com.br/loja/prolongador-20-cm-para-caixa-meta-60x60/"</f>
        <v>https://mademaxi.com.br/loja/prolongador-20-cm-para-caixa-meta-60x60/</v>
      </c>
    </row>
    <row r="613" spans="1:9" x14ac:dyDescent="0.25">
      <c r="A613" s="29" t="s">
        <v>12</v>
      </c>
      <c r="B613" s="29" t="s">
        <v>57</v>
      </c>
      <c r="C613" s="29" t="s">
        <v>34</v>
      </c>
      <c r="D613" s="37" t="s">
        <v>1777</v>
      </c>
      <c r="E613" s="29" t="s">
        <v>516</v>
      </c>
      <c r="F613" s="29" t="s">
        <v>36</v>
      </c>
      <c r="G613" s="29">
        <v>307.22000000000003</v>
      </c>
      <c r="H613" s="71" t="s">
        <v>515</v>
      </c>
      <c r="I613" s="37" t="str">
        <f>"https://mademaxi.com.br/loja/prolongador-20-cm-para-caixa-meta-80x80/"</f>
        <v>https://mademaxi.com.br/loja/prolongador-20-cm-para-caixa-meta-80x80/</v>
      </c>
    </row>
    <row r="614" spans="1:9" x14ac:dyDescent="0.25">
      <c r="A614" s="29" t="s">
        <v>12</v>
      </c>
      <c r="B614" s="29" t="s">
        <v>57</v>
      </c>
      <c r="C614" s="29" t="s">
        <v>34</v>
      </c>
      <c r="D614" s="37" t="s">
        <v>3066</v>
      </c>
      <c r="E614" s="29" t="s">
        <v>517</v>
      </c>
      <c r="F614" s="29" t="s">
        <v>36</v>
      </c>
      <c r="G614" s="29">
        <v>40</v>
      </c>
      <c r="H614" s="71" t="s">
        <v>515</v>
      </c>
      <c r="I614" s="37" t="str">
        <f>"https://tubolaronline.com.br/produto/tampas-circulares/"</f>
        <v>https://tubolaronline.com.br/produto/tampas-circulares/</v>
      </c>
    </row>
    <row r="615" spans="1:9" x14ac:dyDescent="0.25">
      <c r="A615" s="29" t="s">
        <v>12</v>
      </c>
      <c r="B615" s="29" t="s">
        <v>57</v>
      </c>
      <c r="C615" s="29" t="s">
        <v>34</v>
      </c>
      <c r="D615" s="37" t="s">
        <v>3067</v>
      </c>
      <c r="E615" s="29" t="s">
        <v>517</v>
      </c>
      <c r="F615" s="29" t="s">
        <v>36</v>
      </c>
      <c r="G615" s="29">
        <v>25</v>
      </c>
      <c r="H615" s="71" t="s">
        <v>515</v>
      </c>
      <c r="I615" s="37" t="str">
        <f t="shared" ref="I615:I621" si="3">"https://tubolaronline.com.br/produto/tampa-de-concreto-quadrada/"</f>
        <v>https://tubolaronline.com.br/produto/tampa-de-concreto-quadrada/</v>
      </c>
    </row>
    <row r="616" spans="1:9" x14ac:dyDescent="0.25">
      <c r="A616" s="29" t="s">
        <v>12</v>
      </c>
      <c r="B616" s="29" t="s">
        <v>57</v>
      </c>
      <c r="C616" s="29" t="s">
        <v>34</v>
      </c>
      <c r="D616" s="37" t="s">
        <v>3068</v>
      </c>
      <c r="E616" s="29" t="s">
        <v>517</v>
      </c>
      <c r="F616" s="29" t="s">
        <v>36</v>
      </c>
      <c r="G616" s="29">
        <v>45</v>
      </c>
      <c r="H616" s="71" t="s">
        <v>515</v>
      </c>
      <c r="I616" s="37" t="str">
        <f t="shared" si="3"/>
        <v>https://tubolaronline.com.br/produto/tampa-de-concreto-quadrada/</v>
      </c>
    </row>
    <row r="617" spans="1:9" x14ac:dyDescent="0.25">
      <c r="A617" s="29" t="s">
        <v>12</v>
      </c>
      <c r="B617" s="29" t="s">
        <v>57</v>
      </c>
      <c r="C617" s="29" t="s">
        <v>34</v>
      </c>
      <c r="D617" s="37" t="s">
        <v>3069</v>
      </c>
      <c r="E617" s="29" t="s">
        <v>517</v>
      </c>
      <c r="F617" s="29" t="s">
        <v>36</v>
      </c>
      <c r="G617" s="29">
        <v>80</v>
      </c>
      <c r="H617" s="71" t="s">
        <v>515</v>
      </c>
      <c r="I617" s="37" t="str">
        <f t="shared" si="3"/>
        <v>https://tubolaronline.com.br/produto/tampa-de-concreto-quadrada/</v>
      </c>
    </row>
    <row r="618" spans="1:9" x14ac:dyDescent="0.25">
      <c r="A618" s="29" t="s">
        <v>12</v>
      </c>
      <c r="B618" s="29" t="s">
        <v>57</v>
      </c>
      <c r="C618" s="29" t="s">
        <v>34</v>
      </c>
      <c r="D618" s="37" t="s">
        <v>3070</v>
      </c>
      <c r="E618" s="29" t="s">
        <v>517</v>
      </c>
      <c r="F618" s="29" t="s">
        <v>36</v>
      </c>
      <c r="G618" s="29">
        <v>105</v>
      </c>
      <c r="H618" s="71" t="s">
        <v>515</v>
      </c>
      <c r="I618" s="37" t="str">
        <f t="shared" si="3"/>
        <v>https://tubolaronline.com.br/produto/tampa-de-concreto-quadrada/</v>
      </c>
    </row>
    <row r="619" spans="1:9" x14ac:dyDescent="0.25">
      <c r="A619" s="29" t="s">
        <v>12</v>
      </c>
      <c r="B619" s="29" t="s">
        <v>57</v>
      </c>
      <c r="C619" s="29" t="s">
        <v>34</v>
      </c>
      <c r="D619" s="37" t="s">
        <v>3071</v>
      </c>
      <c r="E619" s="29" t="s">
        <v>517</v>
      </c>
      <c r="F619" s="29" t="s">
        <v>36</v>
      </c>
      <c r="G619" s="29">
        <v>180</v>
      </c>
      <c r="H619" s="71" t="s">
        <v>515</v>
      </c>
      <c r="I619" s="37" t="str">
        <f t="shared" si="3"/>
        <v>https://tubolaronline.com.br/produto/tampa-de-concreto-quadrada/</v>
      </c>
    </row>
    <row r="620" spans="1:9" x14ac:dyDescent="0.25">
      <c r="A620" s="29" t="s">
        <v>12</v>
      </c>
      <c r="B620" s="29" t="s">
        <v>57</v>
      </c>
      <c r="C620" s="29" t="s">
        <v>34</v>
      </c>
      <c r="D620" s="37" t="s">
        <v>3072</v>
      </c>
      <c r="E620" s="29" t="s">
        <v>517</v>
      </c>
      <c r="F620" s="29" t="s">
        <v>36</v>
      </c>
      <c r="G620" s="29">
        <v>250</v>
      </c>
      <c r="H620" s="71" t="s">
        <v>515</v>
      </c>
      <c r="I620" s="37" t="str">
        <f t="shared" si="3"/>
        <v>https://tubolaronline.com.br/produto/tampa-de-concreto-quadrada/</v>
      </c>
    </row>
    <row r="621" spans="1:9" x14ac:dyDescent="0.25">
      <c r="A621" s="29" t="s">
        <v>12</v>
      </c>
      <c r="B621" s="29" t="s">
        <v>57</v>
      </c>
      <c r="C621" s="29" t="s">
        <v>34</v>
      </c>
      <c r="D621" s="37" t="s">
        <v>3073</v>
      </c>
      <c r="E621" s="29" t="s">
        <v>517</v>
      </c>
      <c r="F621" s="29" t="s">
        <v>36</v>
      </c>
      <c r="G621" s="29">
        <v>450</v>
      </c>
      <c r="H621" s="71" t="s">
        <v>515</v>
      </c>
      <c r="I621" s="37" t="str">
        <f t="shared" si="3"/>
        <v>https://tubolaronline.com.br/produto/tampa-de-concreto-quadrada/</v>
      </c>
    </row>
    <row r="622" spans="1:9" x14ac:dyDescent="0.25">
      <c r="A622" s="29" t="s">
        <v>12</v>
      </c>
      <c r="B622" s="29" t="s">
        <v>77</v>
      </c>
      <c r="C622" s="29">
        <v>39693</v>
      </c>
      <c r="D622" s="37" t="s">
        <v>1892</v>
      </c>
      <c r="E622" s="29" t="s">
        <v>37</v>
      </c>
      <c r="F622" s="29" t="s">
        <v>36</v>
      </c>
      <c r="G622" s="29">
        <v>2572.59</v>
      </c>
      <c r="H622" s="71" t="s">
        <v>38</v>
      </c>
      <c r="I622" s="37" t="s">
        <v>207</v>
      </c>
    </row>
    <row r="623" spans="1:9" x14ac:dyDescent="0.25">
      <c r="A623" s="29" t="s">
        <v>12</v>
      </c>
      <c r="B623" s="29" t="s">
        <v>77</v>
      </c>
      <c r="C623" s="29">
        <v>11882</v>
      </c>
      <c r="D623" s="37" t="s">
        <v>3074</v>
      </c>
      <c r="E623" s="29" t="s">
        <v>37</v>
      </c>
      <c r="F623" s="29" t="s">
        <v>36</v>
      </c>
      <c r="G623" s="29">
        <v>125.07</v>
      </c>
      <c r="H623" s="71" t="s">
        <v>38</v>
      </c>
      <c r="I623" s="37" t="s">
        <v>207</v>
      </c>
    </row>
    <row r="624" spans="1:9" x14ac:dyDescent="0.25">
      <c r="A624" s="29" t="s">
        <v>12</v>
      </c>
      <c r="B624" s="29" t="s">
        <v>518</v>
      </c>
      <c r="C624" s="29" t="s">
        <v>34</v>
      </c>
      <c r="D624" s="37" t="s">
        <v>2259</v>
      </c>
      <c r="E624" s="29" t="s">
        <v>522</v>
      </c>
      <c r="F624" s="29" t="s">
        <v>36</v>
      </c>
      <c r="G624" s="29">
        <v>13.45</v>
      </c>
      <c r="H624" s="71" t="s">
        <v>515</v>
      </c>
      <c r="I624" s="37" t="str">
        <f>"https://www.tramontina.com.br/caixa-de-sobrepor-1-tomada-2p-t-10-a-250-v-tramontina-lizflex-branca/57304002.html"</f>
        <v>https://www.tramontina.com.br/caixa-de-sobrepor-1-tomada-2p-t-10-a-250-v-tramontina-lizflex-branca/57304002.html</v>
      </c>
    </row>
    <row r="625" spans="1:9" x14ac:dyDescent="0.25">
      <c r="A625" s="29" t="s">
        <v>12</v>
      </c>
      <c r="B625" s="29" t="s">
        <v>518</v>
      </c>
      <c r="C625" s="29" t="s">
        <v>34</v>
      </c>
      <c r="D625" s="37" t="s">
        <v>1503</v>
      </c>
      <c r="E625" s="29" t="s">
        <v>37</v>
      </c>
      <c r="F625" s="29" t="s">
        <v>36</v>
      </c>
      <c r="G625" s="29">
        <v>13.45</v>
      </c>
      <c r="H625" s="71" t="s">
        <v>515</v>
      </c>
      <c r="I625" s="37" t="s">
        <v>37</v>
      </c>
    </row>
    <row r="626" spans="1:9" x14ac:dyDescent="0.25">
      <c r="A626" s="29" t="s">
        <v>12</v>
      </c>
      <c r="B626" s="29" t="s">
        <v>518</v>
      </c>
      <c r="C626" s="29" t="s">
        <v>34</v>
      </c>
      <c r="D626" s="37" t="s">
        <v>2260</v>
      </c>
      <c r="E626" s="29" t="s">
        <v>522</v>
      </c>
      <c r="F626" s="29" t="s">
        <v>36</v>
      </c>
      <c r="G626" s="29">
        <v>13.45</v>
      </c>
      <c r="H626" s="71" t="s">
        <v>515</v>
      </c>
      <c r="I626" s="37" t="str">
        <f>"https://www.tramontina.com.br/caixa-de-sobrepor-com-1-tomada-2p-t-20-a-250-v-tramontina-lizflex-branca/57304003.html"</f>
        <v>https://www.tramontina.com.br/caixa-de-sobrepor-com-1-tomada-2p-t-20-a-250-v-tramontina-lizflex-branca/57304003.html</v>
      </c>
    </row>
    <row r="627" spans="1:9" x14ac:dyDescent="0.25">
      <c r="A627" s="29" t="s">
        <v>12</v>
      </c>
      <c r="B627" s="29" t="s">
        <v>518</v>
      </c>
      <c r="C627" s="29" t="s">
        <v>34</v>
      </c>
      <c r="D627" s="37" t="s">
        <v>2261</v>
      </c>
      <c r="E627" s="29" t="s">
        <v>522</v>
      </c>
      <c r="F627" s="29" t="s">
        <v>36</v>
      </c>
      <c r="G627" s="29">
        <v>19.77</v>
      </c>
      <c r="H627" s="71" t="s">
        <v>515</v>
      </c>
      <c r="I627" s="37" t="str">
        <f>"https://www.tramontina.com.br/caixa-de-sobrepor-com-2-tomadas-2p-t-10-a-250-v-tramontina-lizflex-branca/57304012.html"</f>
        <v>https://www.tramontina.com.br/caixa-de-sobrepor-com-2-tomadas-2p-t-10-a-250-v-tramontina-lizflex-branca/57304012.html</v>
      </c>
    </row>
    <row r="628" spans="1:9" x14ac:dyDescent="0.25">
      <c r="A628" s="29" t="s">
        <v>12</v>
      </c>
      <c r="B628" s="29" t="s">
        <v>518</v>
      </c>
      <c r="C628" s="29" t="s">
        <v>34</v>
      </c>
      <c r="D628" s="37" t="s">
        <v>2262</v>
      </c>
      <c r="E628" s="29" t="s">
        <v>522</v>
      </c>
      <c r="F628" s="29" t="s">
        <v>36</v>
      </c>
      <c r="G628" s="29">
        <v>20.67</v>
      </c>
      <c r="H628" s="71" t="s">
        <v>515</v>
      </c>
      <c r="I628" s="37" t="str">
        <f>"https://www.tramontina.com.br/caixa-de-sobrepor-com-2-tomadas-2p-t-20-a-250-v-tramontina-lizflex-branca/57304025.html"</f>
        <v>https://www.tramontina.com.br/caixa-de-sobrepor-com-2-tomadas-2p-t-20-a-250-v-tramontina-lizflex-branca/57304025.html</v>
      </c>
    </row>
    <row r="629" spans="1:9" x14ac:dyDescent="0.25">
      <c r="A629" s="29" t="s">
        <v>12</v>
      </c>
      <c r="B629" s="29" t="s">
        <v>518</v>
      </c>
      <c r="C629" s="29" t="s">
        <v>34</v>
      </c>
      <c r="D629" s="37" t="s">
        <v>2263</v>
      </c>
      <c r="E629" s="29" t="s">
        <v>522</v>
      </c>
      <c r="F629" s="29" t="s">
        <v>36</v>
      </c>
      <c r="G629" s="29">
        <v>26.99</v>
      </c>
      <c r="H629" s="71" t="s">
        <v>515</v>
      </c>
      <c r="I629" s="37" t="str">
        <f>"https://www.tramontina.com.br/caixa-de-sobrepor-com-3-tomadas-2p-t-10-a-250-v-tramontina-lizflex-branca/57304027.html"</f>
        <v>https://www.tramontina.com.br/caixa-de-sobrepor-com-3-tomadas-2p-t-10-a-250-v-tramontina-lizflex-branca/57304027.html</v>
      </c>
    </row>
    <row r="630" spans="1:9" x14ac:dyDescent="0.25">
      <c r="A630" s="29" t="s">
        <v>12</v>
      </c>
      <c r="B630" s="29" t="s">
        <v>518</v>
      </c>
      <c r="C630" s="29" t="s">
        <v>34</v>
      </c>
      <c r="D630" s="37" t="s">
        <v>2264</v>
      </c>
      <c r="E630" s="29" t="s">
        <v>522</v>
      </c>
      <c r="F630" s="29" t="s">
        <v>36</v>
      </c>
      <c r="G630" s="29">
        <v>26.42</v>
      </c>
      <c r="H630" s="71" t="s">
        <v>515</v>
      </c>
      <c r="I630" s="37" t="str">
        <f>"https://www.tramontina.com.br/caixa-de-sobrepor-com-3-tomadas-2p-t-20-a-250-v-tramontina-lizflex-branca/57304028.html"</f>
        <v>https://www.tramontina.com.br/caixa-de-sobrepor-com-3-tomadas-2p-t-20-a-250-v-tramontina-lizflex-branca/57304028.html</v>
      </c>
    </row>
    <row r="631" spans="1:9" x14ac:dyDescent="0.25">
      <c r="A631" s="29" t="s">
        <v>12</v>
      </c>
      <c r="B631" s="29" t="s">
        <v>518</v>
      </c>
      <c r="C631" s="29" t="s">
        <v>34</v>
      </c>
      <c r="D631" s="37" t="s">
        <v>519</v>
      </c>
      <c r="E631" s="29" t="s">
        <v>521</v>
      </c>
      <c r="F631" s="29" t="s">
        <v>36</v>
      </c>
      <c r="G631" s="29">
        <v>8.5500000000000007</v>
      </c>
      <c r="H631" s="71" t="s">
        <v>515</v>
      </c>
      <c r="I631" s="37" t="str">
        <f>"https://www.eletrotrafo.com.br/sistema-x-schneider-caixa-sobrepor-1modulo-paramiluz-s3b76010/p?skuId=1528; https://www.leroymerlin.com.br/caixa-de-sobrepor-para-1-modulo-branco-miluz-schneider_92109346"</f>
        <v>https://www.eletrotrafo.com.br/sistema-x-schneider-caixa-sobrepor-1modulo-paramiluz-s3b76010/p?skuId=1528; https://www.leroymerlin.com.br/caixa-de-sobrepor-para-1-modulo-branco-miluz-schneider_92109346</v>
      </c>
    </row>
    <row r="632" spans="1:9" x14ac:dyDescent="0.25">
      <c r="A632" s="29" t="s">
        <v>12</v>
      </c>
      <c r="B632" s="29" t="s">
        <v>518</v>
      </c>
      <c r="C632" s="29" t="s">
        <v>34</v>
      </c>
      <c r="D632" s="37" t="s">
        <v>520</v>
      </c>
      <c r="E632" s="29" t="s">
        <v>521</v>
      </c>
      <c r="F632" s="29" t="s">
        <v>36</v>
      </c>
      <c r="G632" s="29">
        <v>8.5500000000000007</v>
      </c>
      <c r="H632" s="71" t="s">
        <v>515</v>
      </c>
      <c r="I632" s="37" t="str">
        <f>"https://www.eletrotrafo.com.br/sistema-x-schneider-caixa-sobrepor-2modulos-paramiluz-s3b76020/p?skuId=1529; https://www.leroymerlin.com.br/caixa-de-sobrepor-para-2-modulos-branco-miluz-schneider_92109353"</f>
        <v>https://www.eletrotrafo.com.br/sistema-x-schneider-caixa-sobrepor-2modulos-paramiluz-s3b76020/p?skuId=1529; https://www.leroymerlin.com.br/caixa-de-sobrepor-para-2-modulos-branco-miluz-schneider_92109353</v>
      </c>
    </row>
    <row r="633" spans="1:9" x14ac:dyDescent="0.25">
      <c r="A633" s="29" t="s">
        <v>12</v>
      </c>
      <c r="B633" s="29" t="s">
        <v>125</v>
      </c>
      <c r="C633" s="29">
        <v>1871</v>
      </c>
      <c r="D633" s="37" t="s">
        <v>2447</v>
      </c>
      <c r="E633" s="29" t="s">
        <v>37</v>
      </c>
      <c r="F633" s="29" t="s">
        <v>36</v>
      </c>
      <c r="G633" s="29">
        <v>4.72</v>
      </c>
      <c r="H633" s="71" t="s">
        <v>38</v>
      </c>
      <c r="I633" s="37" t="s">
        <v>207</v>
      </c>
    </row>
    <row r="634" spans="1:9" x14ac:dyDescent="0.25">
      <c r="A634" s="29" t="s">
        <v>12</v>
      </c>
      <c r="B634" s="29" t="s">
        <v>125</v>
      </c>
      <c r="C634" s="29">
        <v>12001</v>
      </c>
      <c r="D634" s="37" t="s">
        <v>2448</v>
      </c>
      <c r="E634" s="29" t="s">
        <v>37</v>
      </c>
      <c r="F634" s="29" t="s">
        <v>36</v>
      </c>
      <c r="G634" s="29">
        <v>6.82</v>
      </c>
      <c r="H634" s="71" t="s">
        <v>38</v>
      </c>
      <c r="I634" s="37" t="s">
        <v>207</v>
      </c>
    </row>
    <row r="635" spans="1:9" x14ac:dyDescent="0.25">
      <c r="A635" s="29" t="s">
        <v>12</v>
      </c>
      <c r="B635" s="29" t="s">
        <v>70</v>
      </c>
      <c r="C635" s="29">
        <v>1631</v>
      </c>
      <c r="D635" s="37" t="s">
        <v>3237</v>
      </c>
      <c r="E635" s="29" t="s">
        <v>37</v>
      </c>
      <c r="F635" s="29" t="s">
        <v>36</v>
      </c>
      <c r="G635" s="29">
        <v>135.80000000000001</v>
      </c>
      <c r="H635" s="71" t="s">
        <v>38</v>
      </c>
      <c r="I635" s="37" t="s">
        <v>207</v>
      </c>
    </row>
    <row r="636" spans="1:9" x14ac:dyDescent="0.25">
      <c r="A636" s="29" t="s">
        <v>12</v>
      </c>
      <c r="B636" s="29" t="s">
        <v>70</v>
      </c>
      <c r="C636" s="29">
        <v>1633</v>
      </c>
      <c r="D636" s="37" t="s">
        <v>3238</v>
      </c>
      <c r="E636" s="29" t="s">
        <v>37</v>
      </c>
      <c r="F636" s="29" t="s">
        <v>36</v>
      </c>
      <c r="G636" s="29">
        <v>230.73</v>
      </c>
      <c r="H636" s="71" t="s">
        <v>38</v>
      </c>
      <c r="I636" s="37" t="s">
        <v>207</v>
      </c>
    </row>
    <row r="637" spans="1:9" x14ac:dyDescent="0.25">
      <c r="A637" s="29" t="s">
        <v>12</v>
      </c>
      <c r="B637" s="29" t="s">
        <v>71</v>
      </c>
      <c r="C637" s="29">
        <v>43091</v>
      </c>
      <c r="D637" s="37" t="s">
        <v>2449</v>
      </c>
      <c r="E637" s="29" t="s">
        <v>37</v>
      </c>
      <c r="F637" s="29" t="s">
        <v>36</v>
      </c>
      <c r="G637" s="29">
        <v>8563.7099999999991</v>
      </c>
      <c r="H637" s="71" t="s">
        <v>38</v>
      </c>
      <c r="I637" s="37" t="s">
        <v>207</v>
      </c>
    </row>
    <row r="638" spans="1:9" x14ac:dyDescent="0.25">
      <c r="A638" s="29" t="s">
        <v>12</v>
      </c>
      <c r="B638" s="29" t="s">
        <v>71</v>
      </c>
      <c r="C638" s="29">
        <v>43092</v>
      </c>
      <c r="D638" s="37" t="s">
        <v>2450</v>
      </c>
      <c r="E638" s="29" t="s">
        <v>37</v>
      </c>
      <c r="F638" s="29" t="s">
        <v>36</v>
      </c>
      <c r="G638" s="29">
        <v>11418.28</v>
      </c>
      <c r="H638" s="71" t="s">
        <v>38</v>
      </c>
      <c r="I638" s="37" t="s">
        <v>207</v>
      </c>
    </row>
    <row r="639" spans="1:9" x14ac:dyDescent="0.25">
      <c r="A639" s="29" t="s">
        <v>12</v>
      </c>
      <c r="B639" s="29" t="s">
        <v>71</v>
      </c>
      <c r="C639" s="29">
        <v>43089</v>
      </c>
      <c r="D639" s="37" t="s">
        <v>2451</v>
      </c>
      <c r="E639" s="29" t="s">
        <v>37</v>
      </c>
      <c r="F639" s="29" t="s">
        <v>36</v>
      </c>
      <c r="G639" s="29">
        <v>1989.96</v>
      </c>
      <c r="H639" s="71" t="s">
        <v>38</v>
      </c>
      <c r="I639" s="37" t="s">
        <v>207</v>
      </c>
    </row>
    <row r="640" spans="1:9" x14ac:dyDescent="0.25">
      <c r="A640" s="29" t="s">
        <v>12</v>
      </c>
      <c r="B640" s="29" t="s">
        <v>71</v>
      </c>
      <c r="C640" s="29">
        <v>43090</v>
      </c>
      <c r="D640" s="37" t="s">
        <v>2452</v>
      </c>
      <c r="E640" s="29" t="s">
        <v>37</v>
      </c>
      <c r="F640" s="29" t="s">
        <v>36</v>
      </c>
      <c r="G640" s="29">
        <v>4391.6400000000003</v>
      </c>
      <c r="H640" s="71" t="s">
        <v>38</v>
      </c>
      <c r="I640" s="37" t="s">
        <v>207</v>
      </c>
    </row>
    <row r="641" spans="1:9" x14ac:dyDescent="0.25">
      <c r="A641" s="29" t="s">
        <v>12</v>
      </c>
      <c r="B641" s="29" t="s">
        <v>72</v>
      </c>
      <c r="C641" s="29">
        <v>420</v>
      </c>
      <c r="D641" s="37" t="s">
        <v>2106</v>
      </c>
      <c r="E641" s="29" t="s">
        <v>37</v>
      </c>
      <c r="F641" s="29" t="s">
        <v>36</v>
      </c>
      <c r="G641" s="29">
        <v>46.13</v>
      </c>
      <c r="H641" s="71" t="s">
        <v>38</v>
      </c>
      <c r="I641" s="37" t="s">
        <v>207</v>
      </c>
    </row>
    <row r="642" spans="1:9" x14ac:dyDescent="0.25">
      <c r="A642" s="29" t="s">
        <v>12</v>
      </c>
      <c r="B642" s="29" t="s">
        <v>73</v>
      </c>
      <c r="C642" s="29">
        <v>12329</v>
      </c>
      <c r="D642" s="37" t="s">
        <v>1893</v>
      </c>
      <c r="E642" s="29" t="s">
        <v>37</v>
      </c>
      <c r="F642" s="29" t="s">
        <v>41</v>
      </c>
      <c r="G642" s="29">
        <v>141.88</v>
      </c>
      <c r="H642" s="71" t="s">
        <v>38</v>
      </c>
      <c r="I642" s="37" t="s">
        <v>207</v>
      </c>
    </row>
    <row r="643" spans="1:9" x14ac:dyDescent="0.25">
      <c r="A643" s="29" t="s">
        <v>12</v>
      </c>
      <c r="B643" s="29" t="s">
        <v>799</v>
      </c>
      <c r="C643" s="29" t="s">
        <v>34</v>
      </c>
      <c r="D643" s="37" t="s">
        <v>877</v>
      </c>
      <c r="E643" s="29" t="s">
        <v>798</v>
      </c>
      <c r="F643" s="29" t="s">
        <v>44</v>
      </c>
      <c r="G643" s="29">
        <v>2.64</v>
      </c>
      <c r="H643" s="71" t="s">
        <v>793</v>
      </c>
      <c r="I643" s="37" t="str">
        <f t="shared" ref="I643:I663" si="4">"https://www.infraeletrocalhas.com.br/conduites.asp?produto=Sealtubo-Kanaflex-Hiperflex-conduite"</f>
        <v>https://www.infraeletrocalhas.com.br/conduites.asp?produto=Sealtubo-Kanaflex-Hiperflex-conduite</v>
      </c>
    </row>
    <row r="644" spans="1:9" x14ac:dyDescent="0.25">
      <c r="A644" s="29" t="s">
        <v>12</v>
      </c>
      <c r="B644" s="29" t="s">
        <v>799</v>
      </c>
      <c r="C644" s="29" t="s">
        <v>34</v>
      </c>
      <c r="D644" s="37" t="s">
        <v>878</v>
      </c>
      <c r="E644" s="29" t="s">
        <v>798</v>
      </c>
      <c r="F644" s="29" t="s">
        <v>44</v>
      </c>
      <c r="G644" s="29">
        <v>5.38</v>
      </c>
      <c r="H644" s="71" t="s">
        <v>793</v>
      </c>
      <c r="I644" s="37" t="str">
        <f t="shared" si="4"/>
        <v>https://www.infraeletrocalhas.com.br/conduites.asp?produto=Sealtubo-Kanaflex-Hiperflex-conduite</v>
      </c>
    </row>
    <row r="645" spans="1:9" x14ac:dyDescent="0.25">
      <c r="A645" s="29" t="s">
        <v>12</v>
      </c>
      <c r="B645" s="29" t="s">
        <v>799</v>
      </c>
      <c r="C645" s="29" t="s">
        <v>34</v>
      </c>
      <c r="D645" s="37" t="s">
        <v>879</v>
      </c>
      <c r="E645" s="29" t="s">
        <v>798</v>
      </c>
      <c r="F645" s="29" t="s">
        <v>44</v>
      </c>
      <c r="G645" s="29">
        <v>3.96</v>
      </c>
      <c r="H645" s="71" t="s">
        <v>793</v>
      </c>
      <c r="I645" s="37" t="str">
        <f t="shared" si="4"/>
        <v>https://www.infraeletrocalhas.com.br/conduites.asp?produto=Sealtubo-Kanaflex-Hiperflex-conduite</v>
      </c>
    </row>
    <row r="646" spans="1:9" x14ac:dyDescent="0.25">
      <c r="A646" s="29" t="s">
        <v>12</v>
      </c>
      <c r="B646" s="29" t="s">
        <v>799</v>
      </c>
      <c r="C646" s="29" t="s">
        <v>34</v>
      </c>
      <c r="D646" s="37" t="s">
        <v>880</v>
      </c>
      <c r="E646" s="29" t="s">
        <v>798</v>
      </c>
      <c r="F646" s="29" t="s">
        <v>44</v>
      </c>
      <c r="G646" s="29">
        <v>6</v>
      </c>
      <c r="H646" s="71" t="s">
        <v>793</v>
      </c>
      <c r="I646" s="37" t="str">
        <f t="shared" si="4"/>
        <v>https://www.infraeletrocalhas.com.br/conduites.asp?produto=Sealtubo-Kanaflex-Hiperflex-conduite</v>
      </c>
    </row>
    <row r="647" spans="1:9" x14ac:dyDescent="0.25">
      <c r="A647" s="29" t="s">
        <v>12</v>
      </c>
      <c r="B647" s="29" t="s">
        <v>799</v>
      </c>
      <c r="C647" s="29" t="s">
        <v>34</v>
      </c>
      <c r="D647" s="37" t="s">
        <v>881</v>
      </c>
      <c r="E647" s="29" t="s">
        <v>798</v>
      </c>
      <c r="F647" s="29" t="s">
        <v>44</v>
      </c>
      <c r="G647" s="29">
        <v>11.98</v>
      </c>
      <c r="H647" s="71" t="s">
        <v>793</v>
      </c>
      <c r="I647" s="37" t="str">
        <f t="shared" si="4"/>
        <v>https://www.infraeletrocalhas.com.br/conduites.asp?produto=Sealtubo-Kanaflex-Hiperflex-conduite</v>
      </c>
    </row>
    <row r="648" spans="1:9" x14ac:dyDescent="0.25">
      <c r="A648" s="29" t="s">
        <v>12</v>
      </c>
      <c r="B648" s="29" t="s">
        <v>799</v>
      </c>
      <c r="C648" s="29" t="s">
        <v>34</v>
      </c>
      <c r="D648" s="37" t="s">
        <v>882</v>
      </c>
      <c r="E648" s="29" t="s">
        <v>798</v>
      </c>
      <c r="F648" s="29" t="s">
        <v>44</v>
      </c>
      <c r="G648" s="29">
        <v>1.2</v>
      </c>
      <c r="H648" s="71" t="s">
        <v>793</v>
      </c>
      <c r="I648" s="37" t="str">
        <f t="shared" si="4"/>
        <v>https://www.infraeletrocalhas.com.br/conduites.asp?produto=Sealtubo-Kanaflex-Hiperflex-conduite</v>
      </c>
    </row>
    <row r="649" spans="1:9" x14ac:dyDescent="0.25">
      <c r="A649" s="29" t="s">
        <v>12</v>
      </c>
      <c r="B649" s="29" t="s">
        <v>799</v>
      </c>
      <c r="C649" s="29" t="s">
        <v>34</v>
      </c>
      <c r="D649" s="37" t="s">
        <v>883</v>
      </c>
      <c r="E649" s="29" t="s">
        <v>798</v>
      </c>
      <c r="F649" s="29" t="s">
        <v>44</v>
      </c>
      <c r="G649" s="29">
        <v>16.78</v>
      </c>
      <c r="H649" s="71" t="s">
        <v>793</v>
      </c>
      <c r="I649" s="37" t="str">
        <f t="shared" si="4"/>
        <v>https://www.infraeletrocalhas.com.br/conduites.asp?produto=Sealtubo-Kanaflex-Hiperflex-conduite</v>
      </c>
    </row>
    <row r="650" spans="1:9" x14ac:dyDescent="0.25">
      <c r="A650" s="29" t="s">
        <v>12</v>
      </c>
      <c r="B650" s="29" t="s">
        <v>799</v>
      </c>
      <c r="C650" s="29" t="s">
        <v>34</v>
      </c>
      <c r="D650" s="37" t="s">
        <v>884</v>
      </c>
      <c r="E650" s="29" t="s">
        <v>798</v>
      </c>
      <c r="F650" s="29" t="s">
        <v>44</v>
      </c>
      <c r="G650" s="29">
        <v>6.6</v>
      </c>
      <c r="H650" s="71" t="s">
        <v>793</v>
      </c>
      <c r="I650" s="37" t="str">
        <f t="shared" si="4"/>
        <v>https://www.infraeletrocalhas.com.br/conduites.asp?produto=Sealtubo-Kanaflex-Hiperflex-conduite</v>
      </c>
    </row>
    <row r="651" spans="1:9" x14ac:dyDescent="0.25">
      <c r="A651" s="29" t="s">
        <v>12</v>
      </c>
      <c r="B651" s="29" t="s">
        <v>799</v>
      </c>
      <c r="C651" s="29" t="s">
        <v>34</v>
      </c>
      <c r="D651" s="37" t="s">
        <v>885</v>
      </c>
      <c r="E651" s="29" t="s">
        <v>798</v>
      </c>
      <c r="F651" s="29" t="s">
        <v>44</v>
      </c>
      <c r="G651" s="29">
        <v>12</v>
      </c>
      <c r="H651" s="71" t="s">
        <v>793</v>
      </c>
      <c r="I651" s="37" t="str">
        <f t="shared" si="4"/>
        <v>https://www.infraeletrocalhas.com.br/conduites.asp?produto=Sealtubo-Kanaflex-Hiperflex-conduite</v>
      </c>
    </row>
    <row r="652" spans="1:9" x14ac:dyDescent="0.25">
      <c r="A652" s="29" t="s">
        <v>12</v>
      </c>
      <c r="B652" s="29" t="s">
        <v>799</v>
      </c>
      <c r="C652" s="29" t="s">
        <v>34</v>
      </c>
      <c r="D652" s="37" t="s">
        <v>886</v>
      </c>
      <c r="E652" s="29" t="s">
        <v>798</v>
      </c>
      <c r="F652" s="29" t="s">
        <v>44</v>
      </c>
      <c r="G652" s="29">
        <v>7.86</v>
      </c>
      <c r="H652" s="71" t="s">
        <v>793</v>
      </c>
      <c r="I652" s="37" t="str">
        <f t="shared" si="4"/>
        <v>https://www.infraeletrocalhas.com.br/conduites.asp?produto=Sealtubo-Kanaflex-Hiperflex-conduite</v>
      </c>
    </row>
    <row r="653" spans="1:9" x14ac:dyDescent="0.25">
      <c r="A653" s="29" t="s">
        <v>12</v>
      </c>
      <c r="B653" s="29" t="s">
        <v>799</v>
      </c>
      <c r="C653" s="29" t="s">
        <v>34</v>
      </c>
      <c r="D653" s="37" t="s">
        <v>887</v>
      </c>
      <c r="E653" s="29" t="s">
        <v>798</v>
      </c>
      <c r="F653" s="29" t="s">
        <v>44</v>
      </c>
      <c r="G653" s="29">
        <v>3.56</v>
      </c>
      <c r="H653" s="71" t="s">
        <v>793</v>
      </c>
      <c r="I653" s="37" t="str">
        <f t="shared" si="4"/>
        <v>https://www.infraeletrocalhas.com.br/conduites.asp?produto=Sealtubo-Kanaflex-Hiperflex-conduite</v>
      </c>
    </row>
    <row r="654" spans="1:9" x14ac:dyDescent="0.25">
      <c r="A654" s="29" t="s">
        <v>12</v>
      </c>
      <c r="B654" s="29" t="s">
        <v>799</v>
      </c>
      <c r="C654" s="29" t="s">
        <v>34</v>
      </c>
      <c r="D654" s="37" t="s">
        <v>888</v>
      </c>
      <c r="E654" s="29" t="s">
        <v>798</v>
      </c>
      <c r="F654" s="29" t="s">
        <v>44</v>
      </c>
      <c r="G654" s="29">
        <v>16.190000000000001</v>
      </c>
      <c r="H654" s="71" t="s">
        <v>793</v>
      </c>
      <c r="I654" s="37" t="str">
        <f t="shared" si="4"/>
        <v>https://www.infraeletrocalhas.com.br/conduites.asp?produto=Sealtubo-Kanaflex-Hiperflex-conduite</v>
      </c>
    </row>
    <row r="655" spans="1:9" x14ac:dyDescent="0.25">
      <c r="A655" s="29" t="s">
        <v>12</v>
      </c>
      <c r="B655" s="29" t="s">
        <v>799</v>
      </c>
      <c r="C655" s="29" t="s">
        <v>34</v>
      </c>
      <c r="D655" s="37" t="s">
        <v>889</v>
      </c>
      <c r="E655" s="29" t="s">
        <v>798</v>
      </c>
      <c r="F655" s="29" t="s">
        <v>44</v>
      </c>
      <c r="G655" s="29">
        <v>4.68</v>
      </c>
      <c r="H655" s="71" t="s">
        <v>793</v>
      </c>
      <c r="I655" s="37" t="str">
        <f t="shared" si="4"/>
        <v>https://www.infraeletrocalhas.com.br/conduites.asp?produto=Sealtubo-Kanaflex-Hiperflex-conduite</v>
      </c>
    </row>
    <row r="656" spans="1:9" x14ac:dyDescent="0.25">
      <c r="A656" s="29" t="s">
        <v>12</v>
      </c>
      <c r="B656" s="29" t="s">
        <v>799</v>
      </c>
      <c r="C656" s="29" t="s">
        <v>34</v>
      </c>
      <c r="D656" s="37" t="s">
        <v>890</v>
      </c>
      <c r="E656" s="29" t="s">
        <v>798</v>
      </c>
      <c r="F656" s="29" t="s">
        <v>44</v>
      </c>
      <c r="G656" s="29">
        <v>13.5</v>
      </c>
      <c r="H656" s="71" t="s">
        <v>793</v>
      </c>
      <c r="I656" s="37" t="str">
        <f t="shared" si="4"/>
        <v>https://www.infraeletrocalhas.com.br/conduites.asp?produto=Sealtubo-Kanaflex-Hiperflex-conduite</v>
      </c>
    </row>
    <row r="657" spans="1:9" x14ac:dyDescent="0.25">
      <c r="A657" s="29" t="s">
        <v>12</v>
      </c>
      <c r="B657" s="29" t="s">
        <v>799</v>
      </c>
      <c r="C657" s="29" t="s">
        <v>34</v>
      </c>
      <c r="D657" s="37" t="s">
        <v>891</v>
      </c>
      <c r="E657" s="29" t="s">
        <v>798</v>
      </c>
      <c r="F657" s="29" t="s">
        <v>44</v>
      </c>
      <c r="G657" s="29">
        <v>23.4</v>
      </c>
      <c r="H657" s="71" t="s">
        <v>793</v>
      </c>
      <c r="I657" s="37" t="str">
        <f t="shared" si="4"/>
        <v>https://www.infraeletrocalhas.com.br/conduites.asp?produto=Sealtubo-Kanaflex-Hiperflex-conduite</v>
      </c>
    </row>
    <row r="658" spans="1:9" x14ac:dyDescent="0.25">
      <c r="A658" s="29" t="s">
        <v>12</v>
      </c>
      <c r="B658" s="29" t="s">
        <v>799</v>
      </c>
      <c r="C658" s="29" t="s">
        <v>34</v>
      </c>
      <c r="D658" s="37" t="s">
        <v>892</v>
      </c>
      <c r="E658" s="29" t="s">
        <v>798</v>
      </c>
      <c r="F658" s="29" t="s">
        <v>44</v>
      </c>
      <c r="G658" s="29">
        <v>17.649999999999999</v>
      </c>
      <c r="H658" s="71" t="s">
        <v>793</v>
      </c>
      <c r="I658" s="37" t="str">
        <f t="shared" si="4"/>
        <v>https://www.infraeletrocalhas.com.br/conduites.asp?produto=Sealtubo-Kanaflex-Hiperflex-conduite</v>
      </c>
    </row>
    <row r="659" spans="1:9" x14ac:dyDescent="0.25">
      <c r="A659" s="29" t="s">
        <v>12</v>
      </c>
      <c r="B659" s="29" t="s">
        <v>799</v>
      </c>
      <c r="C659" s="29" t="s">
        <v>34</v>
      </c>
      <c r="D659" s="37" t="s">
        <v>893</v>
      </c>
      <c r="E659" s="29" t="s">
        <v>798</v>
      </c>
      <c r="F659" s="29" t="s">
        <v>44</v>
      </c>
      <c r="G659" s="29">
        <v>7.95</v>
      </c>
      <c r="H659" s="71" t="s">
        <v>793</v>
      </c>
      <c r="I659" s="37" t="str">
        <f t="shared" si="4"/>
        <v>https://www.infraeletrocalhas.com.br/conduites.asp?produto=Sealtubo-Kanaflex-Hiperflex-conduite</v>
      </c>
    </row>
    <row r="660" spans="1:9" x14ac:dyDescent="0.25">
      <c r="A660" s="29" t="s">
        <v>12</v>
      </c>
      <c r="B660" s="29" t="s">
        <v>799</v>
      </c>
      <c r="C660" s="29" t="s">
        <v>34</v>
      </c>
      <c r="D660" s="37" t="s">
        <v>894</v>
      </c>
      <c r="E660" s="29" t="s">
        <v>798</v>
      </c>
      <c r="F660" s="29" t="s">
        <v>44</v>
      </c>
      <c r="G660" s="29">
        <v>31.2</v>
      </c>
      <c r="H660" s="71" t="s">
        <v>793</v>
      </c>
      <c r="I660" s="37" t="str">
        <f t="shared" si="4"/>
        <v>https://www.infraeletrocalhas.com.br/conduites.asp?produto=Sealtubo-Kanaflex-Hiperflex-conduite</v>
      </c>
    </row>
    <row r="661" spans="1:9" x14ac:dyDescent="0.25">
      <c r="A661" s="29" t="s">
        <v>12</v>
      </c>
      <c r="B661" s="29" t="s">
        <v>799</v>
      </c>
      <c r="C661" s="29" t="s">
        <v>34</v>
      </c>
      <c r="D661" s="37" t="s">
        <v>895</v>
      </c>
      <c r="E661" s="29" t="s">
        <v>798</v>
      </c>
      <c r="F661" s="29" t="s">
        <v>44</v>
      </c>
      <c r="G661" s="29">
        <v>9.6999999999999993</v>
      </c>
      <c r="H661" s="71" t="s">
        <v>793</v>
      </c>
      <c r="I661" s="37" t="str">
        <f t="shared" si="4"/>
        <v>https://www.infraeletrocalhas.com.br/conduites.asp?produto=Sealtubo-Kanaflex-Hiperflex-conduite</v>
      </c>
    </row>
    <row r="662" spans="1:9" x14ac:dyDescent="0.25">
      <c r="A662" s="29" t="s">
        <v>12</v>
      </c>
      <c r="B662" s="29" t="s">
        <v>799</v>
      </c>
      <c r="C662" s="29" t="s">
        <v>34</v>
      </c>
      <c r="D662" s="37" t="s">
        <v>896</v>
      </c>
      <c r="E662" s="29" t="s">
        <v>798</v>
      </c>
      <c r="F662" s="29" t="s">
        <v>44</v>
      </c>
      <c r="G662" s="29">
        <v>19.95</v>
      </c>
      <c r="H662" s="71" t="s">
        <v>793</v>
      </c>
      <c r="I662" s="37" t="str">
        <f t="shared" si="4"/>
        <v>https://www.infraeletrocalhas.com.br/conduites.asp?produto=Sealtubo-Kanaflex-Hiperflex-conduite</v>
      </c>
    </row>
    <row r="663" spans="1:9" x14ac:dyDescent="0.25">
      <c r="A663" s="29" t="s">
        <v>12</v>
      </c>
      <c r="B663" s="29" t="s">
        <v>799</v>
      </c>
      <c r="C663" s="29" t="s">
        <v>34</v>
      </c>
      <c r="D663" s="37" t="s">
        <v>897</v>
      </c>
      <c r="E663" s="29" t="s">
        <v>798</v>
      </c>
      <c r="F663" s="29" t="s">
        <v>44</v>
      </c>
      <c r="G663" s="29">
        <v>14.85</v>
      </c>
      <c r="H663" s="71" t="s">
        <v>793</v>
      </c>
      <c r="I663" s="37" t="str">
        <f t="shared" si="4"/>
        <v>https://www.infraeletrocalhas.com.br/conduites.asp?produto=Sealtubo-Kanaflex-Hiperflex-conduite</v>
      </c>
    </row>
    <row r="664" spans="1:9" x14ac:dyDescent="0.25">
      <c r="A664" s="29" t="s">
        <v>12</v>
      </c>
      <c r="B664" s="29" t="s">
        <v>62</v>
      </c>
      <c r="C664" s="29" t="s">
        <v>34</v>
      </c>
      <c r="D664" s="37" t="s">
        <v>1794</v>
      </c>
      <c r="E664" s="29" t="s">
        <v>798</v>
      </c>
      <c r="F664" s="29" t="s">
        <v>36</v>
      </c>
      <c r="G664" s="29">
        <v>16.5</v>
      </c>
      <c r="H664" s="71" t="s">
        <v>800</v>
      </c>
      <c r="I664" s="37" t="str">
        <f t="shared" ref="I664:I670" si="5">"https://www.infraeletrocalhas.com.br/conduletes.asp?produto=Condulete-dailet"</f>
        <v>https://www.infraeletrocalhas.com.br/conduletes.asp?produto=Condulete-dailet</v>
      </c>
    </row>
    <row r="665" spans="1:9" x14ac:dyDescent="0.25">
      <c r="A665" s="29" t="s">
        <v>12</v>
      </c>
      <c r="B665" s="29" t="s">
        <v>62</v>
      </c>
      <c r="C665" s="29" t="s">
        <v>34</v>
      </c>
      <c r="D665" s="37" t="s">
        <v>1795</v>
      </c>
      <c r="E665" s="29" t="s">
        <v>798</v>
      </c>
      <c r="F665" s="29" t="s">
        <v>36</v>
      </c>
      <c r="G665" s="29">
        <v>28.4</v>
      </c>
      <c r="H665" s="71" t="s">
        <v>800</v>
      </c>
      <c r="I665" s="37" t="str">
        <f t="shared" si="5"/>
        <v>https://www.infraeletrocalhas.com.br/conduletes.asp?produto=Condulete-dailet</v>
      </c>
    </row>
    <row r="666" spans="1:9" x14ac:dyDescent="0.25">
      <c r="A666" s="29" t="s">
        <v>12</v>
      </c>
      <c r="B666" s="29" t="s">
        <v>62</v>
      </c>
      <c r="C666" s="29" t="s">
        <v>34</v>
      </c>
      <c r="D666" s="37" t="s">
        <v>1796</v>
      </c>
      <c r="E666" s="29" t="s">
        <v>798</v>
      </c>
      <c r="F666" s="29" t="s">
        <v>36</v>
      </c>
      <c r="G666" s="29">
        <v>23.95</v>
      </c>
      <c r="H666" s="71" t="s">
        <v>800</v>
      </c>
      <c r="I666" s="37" t="str">
        <f t="shared" si="5"/>
        <v>https://www.infraeletrocalhas.com.br/conduletes.asp?produto=Condulete-dailet</v>
      </c>
    </row>
    <row r="667" spans="1:9" x14ac:dyDescent="0.25">
      <c r="A667" s="29" t="s">
        <v>12</v>
      </c>
      <c r="B667" s="29" t="s">
        <v>62</v>
      </c>
      <c r="C667" s="29" t="s">
        <v>34</v>
      </c>
      <c r="D667" s="37" t="s">
        <v>1797</v>
      </c>
      <c r="E667" s="29" t="s">
        <v>798</v>
      </c>
      <c r="F667" s="29" t="s">
        <v>36</v>
      </c>
      <c r="G667" s="29">
        <v>38.4</v>
      </c>
      <c r="H667" s="71" t="s">
        <v>800</v>
      </c>
      <c r="I667" s="37" t="str">
        <f t="shared" si="5"/>
        <v>https://www.infraeletrocalhas.com.br/conduletes.asp?produto=Condulete-dailet</v>
      </c>
    </row>
    <row r="668" spans="1:9" x14ac:dyDescent="0.25">
      <c r="A668" s="29" t="s">
        <v>12</v>
      </c>
      <c r="B668" s="29" t="s">
        <v>62</v>
      </c>
      <c r="C668" s="29" t="s">
        <v>34</v>
      </c>
      <c r="D668" s="37" t="s">
        <v>1798</v>
      </c>
      <c r="E668" s="29" t="s">
        <v>798</v>
      </c>
      <c r="F668" s="29" t="s">
        <v>36</v>
      </c>
      <c r="G668" s="29">
        <v>78.400000000000006</v>
      </c>
      <c r="H668" s="71" t="s">
        <v>800</v>
      </c>
      <c r="I668" s="37" t="str">
        <f t="shared" si="5"/>
        <v>https://www.infraeletrocalhas.com.br/conduletes.asp?produto=Condulete-dailet</v>
      </c>
    </row>
    <row r="669" spans="1:9" x14ac:dyDescent="0.25">
      <c r="A669" s="29" t="s">
        <v>12</v>
      </c>
      <c r="B669" s="29" t="s">
        <v>62</v>
      </c>
      <c r="C669" s="29" t="s">
        <v>34</v>
      </c>
      <c r="D669" s="37" t="s">
        <v>1799</v>
      </c>
      <c r="E669" s="29" t="s">
        <v>798</v>
      </c>
      <c r="F669" s="29" t="s">
        <v>36</v>
      </c>
      <c r="G669" s="29">
        <v>116.2</v>
      </c>
      <c r="H669" s="71" t="s">
        <v>800</v>
      </c>
      <c r="I669" s="37" t="str">
        <f t="shared" si="5"/>
        <v>https://www.infraeletrocalhas.com.br/conduletes.asp?produto=Condulete-dailet</v>
      </c>
    </row>
    <row r="670" spans="1:9" x14ac:dyDescent="0.25">
      <c r="A670" s="29" t="s">
        <v>12</v>
      </c>
      <c r="B670" s="29" t="s">
        <v>62</v>
      </c>
      <c r="C670" s="29" t="s">
        <v>34</v>
      </c>
      <c r="D670" s="37" t="s">
        <v>1800</v>
      </c>
      <c r="E670" s="29" t="s">
        <v>798</v>
      </c>
      <c r="F670" s="29" t="s">
        <v>36</v>
      </c>
      <c r="G670" s="29">
        <v>11.4</v>
      </c>
      <c r="H670" s="71" t="s">
        <v>800</v>
      </c>
      <c r="I670" s="37" t="str">
        <f t="shared" si="5"/>
        <v>https://www.infraeletrocalhas.com.br/conduletes.asp?produto=Condulete-dailet</v>
      </c>
    </row>
    <row r="671" spans="1:9" x14ac:dyDescent="0.25">
      <c r="A671" s="29" t="s">
        <v>12</v>
      </c>
      <c r="B671" s="29" t="s">
        <v>62</v>
      </c>
      <c r="C671" s="29">
        <v>14054</v>
      </c>
      <c r="D671" s="37" t="s">
        <v>1504</v>
      </c>
      <c r="E671" s="29" t="s">
        <v>37</v>
      </c>
      <c r="F671" s="29" t="s">
        <v>36</v>
      </c>
      <c r="G671" s="29">
        <v>17.04</v>
      </c>
      <c r="H671" s="71" t="s">
        <v>38</v>
      </c>
      <c r="I671" s="37" t="s">
        <v>207</v>
      </c>
    </row>
    <row r="672" spans="1:9" x14ac:dyDescent="0.25">
      <c r="A672" s="29" t="s">
        <v>12</v>
      </c>
      <c r="B672" s="29" t="s">
        <v>62</v>
      </c>
      <c r="C672" s="29">
        <v>14052</v>
      </c>
      <c r="D672" s="37" t="s">
        <v>1505</v>
      </c>
      <c r="E672" s="29" t="s">
        <v>37</v>
      </c>
      <c r="F672" s="29" t="s">
        <v>36</v>
      </c>
      <c r="G672" s="29">
        <v>13.1</v>
      </c>
      <c r="H672" s="71" t="s">
        <v>38</v>
      </c>
      <c r="I672" s="37" t="s">
        <v>207</v>
      </c>
    </row>
    <row r="673" spans="1:9" x14ac:dyDescent="0.25">
      <c r="A673" s="29" t="s">
        <v>12</v>
      </c>
      <c r="B673" s="29" t="s">
        <v>62</v>
      </c>
      <c r="C673" s="29">
        <v>14053</v>
      </c>
      <c r="D673" s="37" t="s">
        <v>1506</v>
      </c>
      <c r="E673" s="29" t="s">
        <v>37</v>
      </c>
      <c r="F673" s="29" t="s">
        <v>36</v>
      </c>
      <c r="G673" s="29">
        <v>13.3</v>
      </c>
      <c r="H673" s="71" t="s">
        <v>38</v>
      </c>
      <c r="I673" s="37" t="s">
        <v>207</v>
      </c>
    </row>
    <row r="674" spans="1:9" x14ac:dyDescent="0.25">
      <c r="A674" s="29" t="s">
        <v>12</v>
      </c>
      <c r="B674" s="29" t="s">
        <v>62</v>
      </c>
      <c r="C674" s="29">
        <v>2560</v>
      </c>
      <c r="D674" s="37" t="s">
        <v>1507</v>
      </c>
      <c r="E674" s="29" t="s">
        <v>37</v>
      </c>
      <c r="F674" s="29" t="s">
        <v>36</v>
      </c>
      <c r="G674" s="29">
        <v>17.63</v>
      </c>
      <c r="H674" s="71" t="s">
        <v>38</v>
      </c>
      <c r="I674" s="37" t="s">
        <v>207</v>
      </c>
    </row>
    <row r="675" spans="1:9" x14ac:dyDescent="0.25">
      <c r="A675" s="29" t="s">
        <v>12</v>
      </c>
      <c r="B675" s="29" t="s">
        <v>62</v>
      </c>
      <c r="C675" s="29">
        <v>2558</v>
      </c>
      <c r="D675" s="37" t="s">
        <v>1508</v>
      </c>
      <c r="E675" s="29" t="s">
        <v>37</v>
      </c>
      <c r="F675" s="29" t="s">
        <v>36</v>
      </c>
      <c r="G675" s="29">
        <v>10.02</v>
      </c>
      <c r="H675" s="71" t="s">
        <v>38</v>
      </c>
      <c r="I675" s="37" t="s">
        <v>207</v>
      </c>
    </row>
    <row r="676" spans="1:9" x14ac:dyDescent="0.25">
      <c r="A676" s="29" t="s">
        <v>12</v>
      </c>
      <c r="B676" s="29" t="s">
        <v>62</v>
      </c>
      <c r="C676" s="29">
        <v>2559</v>
      </c>
      <c r="D676" s="37" t="s">
        <v>1509</v>
      </c>
      <c r="E676" s="29" t="s">
        <v>37</v>
      </c>
      <c r="F676" s="29" t="s">
        <v>36</v>
      </c>
      <c r="G676" s="29">
        <v>14.1</v>
      </c>
      <c r="H676" s="71" t="s">
        <v>38</v>
      </c>
      <c r="I676" s="37" t="s">
        <v>207</v>
      </c>
    </row>
    <row r="677" spans="1:9" x14ac:dyDescent="0.25">
      <c r="A677" s="29" t="s">
        <v>12</v>
      </c>
      <c r="B677" s="29" t="s">
        <v>62</v>
      </c>
      <c r="C677" s="29">
        <v>2592</v>
      </c>
      <c r="D677" s="37" t="s">
        <v>1510</v>
      </c>
      <c r="E677" s="29" t="s">
        <v>37</v>
      </c>
      <c r="F677" s="29" t="s">
        <v>36</v>
      </c>
      <c r="G677" s="29">
        <v>233.74</v>
      </c>
      <c r="H677" s="71" t="s">
        <v>38</v>
      </c>
      <c r="I677" s="37" t="s">
        <v>207</v>
      </c>
    </row>
    <row r="678" spans="1:9" x14ac:dyDescent="0.25">
      <c r="A678" s="29" t="s">
        <v>12</v>
      </c>
      <c r="B678" s="29" t="s">
        <v>62</v>
      </c>
      <c r="C678" s="29">
        <v>2589</v>
      </c>
      <c r="D678" s="37" t="s">
        <v>1511</v>
      </c>
      <c r="E678" s="29" t="s">
        <v>37</v>
      </c>
      <c r="F678" s="29" t="s">
        <v>36</v>
      </c>
      <c r="G678" s="29">
        <v>31.26</v>
      </c>
      <c r="H678" s="71" t="s">
        <v>38</v>
      </c>
      <c r="I678" s="37" t="s">
        <v>207</v>
      </c>
    </row>
    <row r="679" spans="1:9" x14ac:dyDescent="0.25">
      <c r="A679" s="29" t="s">
        <v>12</v>
      </c>
      <c r="B679" s="29" t="s">
        <v>62</v>
      </c>
      <c r="C679" s="29">
        <v>2566</v>
      </c>
      <c r="D679" s="37" t="s">
        <v>1512</v>
      </c>
      <c r="E679" s="29" t="s">
        <v>37</v>
      </c>
      <c r="F679" s="29" t="s">
        <v>36</v>
      </c>
      <c r="G679" s="29">
        <v>23.52</v>
      </c>
      <c r="H679" s="71" t="s">
        <v>38</v>
      </c>
      <c r="I679" s="37" t="s">
        <v>207</v>
      </c>
    </row>
    <row r="680" spans="1:9" x14ac:dyDescent="0.25">
      <c r="A680" s="29" t="s">
        <v>12</v>
      </c>
      <c r="B680" s="29" t="s">
        <v>62</v>
      </c>
      <c r="C680" s="29">
        <v>2590</v>
      </c>
      <c r="D680" s="37" t="s">
        <v>1513</v>
      </c>
      <c r="E680" s="29" t="s">
        <v>37</v>
      </c>
      <c r="F680" s="29" t="s">
        <v>36</v>
      </c>
      <c r="G680" s="29">
        <v>19.18</v>
      </c>
      <c r="H680" s="71" t="s">
        <v>38</v>
      </c>
      <c r="I680" s="37" t="s">
        <v>207</v>
      </c>
    </row>
    <row r="681" spans="1:9" x14ac:dyDescent="0.25">
      <c r="A681" s="29" t="s">
        <v>12</v>
      </c>
      <c r="B681" s="29" t="s">
        <v>62</v>
      </c>
      <c r="C681" s="29">
        <v>2591</v>
      </c>
      <c r="D681" s="37" t="s">
        <v>1514</v>
      </c>
      <c r="E681" s="29" t="s">
        <v>37</v>
      </c>
      <c r="F681" s="29" t="s">
        <v>36</v>
      </c>
      <c r="G681" s="29">
        <v>11.4</v>
      </c>
      <c r="H681" s="71" t="s">
        <v>38</v>
      </c>
      <c r="I681" s="37" t="s">
        <v>207</v>
      </c>
    </row>
    <row r="682" spans="1:9" x14ac:dyDescent="0.25">
      <c r="A682" s="29" t="s">
        <v>12</v>
      </c>
      <c r="B682" s="29" t="s">
        <v>62</v>
      </c>
      <c r="C682" s="29">
        <v>2567</v>
      </c>
      <c r="D682" s="37" t="s">
        <v>1515</v>
      </c>
      <c r="E682" s="29" t="s">
        <v>37</v>
      </c>
      <c r="F682" s="29" t="s">
        <v>36</v>
      </c>
      <c r="G682" s="29">
        <v>45.86</v>
      </c>
      <c r="H682" s="71" t="s">
        <v>38</v>
      </c>
      <c r="I682" s="37" t="s">
        <v>207</v>
      </c>
    </row>
    <row r="683" spans="1:9" x14ac:dyDescent="0.25">
      <c r="A683" s="29" t="s">
        <v>12</v>
      </c>
      <c r="B683" s="29" t="s">
        <v>62</v>
      </c>
      <c r="C683" s="29">
        <v>2568</v>
      </c>
      <c r="D683" s="37" t="s">
        <v>1516</v>
      </c>
      <c r="E683" s="29" t="s">
        <v>37</v>
      </c>
      <c r="F683" s="29" t="s">
        <v>36</v>
      </c>
      <c r="G683" s="29">
        <v>127.35</v>
      </c>
      <c r="H683" s="71" t="s">
        <v>38</v>
      </c>
      <c r="I683" s="37" t="s">
        <v>207</v>
      </c>
    </row>
    <row r="684" spans="1:9" x14ac:dyDescent="0.25">
      <c r="A684" s="29" t="s">
        <v>12</v>
      </c>
      <c r="B684" s="29" t="s">
        <v>62</v>
      </c>
      <c r="C684" s="29">
        <v>2565</v>
      </c>
      <c r="D684" s="37" t="s">
        <v>1517</v>
      </c>
      <c r="E684" s="29" t="s">
        <v>37</v>
      </c>
      <c r="F684" s="29" t="s">
        <v>36</v>
      </c>
      <c r="G684" s="29">
        <v>11.42</v>
      </c>
      <c r="H684" s="71" t="s">
        <v>38</v>
      </c>
      <c r="I684" s="37" t="s">
        <v>207</v>
      </c>
    </row>
    <row r="685" spans="1:9" x14ac:dyDescent="0.25">
      <c r="A685" s="29" t="s">
        <v>12</v>
      </c>
      <c r="B685" s="29" t="s">
        <v>62</v>
      </c>
      <c r="C685" s="29">
        <v>2594</v>
      </c>
      <c r="D685" s="37" t="s">
        <v>1518</v>
      </c>
      <c r="E685" s="29" t="s">
        <v>37</v>
      </c>
      <c r="F685" s="29" t="s">
        <v>36</v>
      </c>
      <c r="G685" s="29">
        <v>212.16</v>
      </c>
      <c r="H685" s="71" t="s">
        <v>38</v>
      </c>
      <c r="I685" s="37" t="s">
        <v>207</v>
      </c>
    </row>
    <row r="686" spans="1:9" x14ac:dyDescent="0.25">
      <c r="A686" s="29" t="s">
        <v>12</v>
      </c>
      <c r="B686" s="29" t="s">
        <v>62</v>
      </c>
      <c r="C686" s="29">
        <v>2587</v>
      </c>
      <c r="D686" s="37" t="s">
        <v>2964</v>
      </c>
      <c r="E686" s="29" t="s">
        <v>37</v>
      </c>
      <c r="F686" s="29" t="s">
        <v>36</v>
      </c>
      <c r="G686" s="29">
        <v>36.159999999999997</v>
      </c>
      <c r="H686" s="71" t="s">
        <v>38</v>
      </c>
      <c r="I686" s="37" t="s">
        <v>207</v>
      </c>
    </row>
    <row r="687" spans="1:9" x14ac:dyDescent="0.25">
      <c r="A687" s="29" t="s">
        <v>12</v>
      </c>
      <c r="B687" s="29" t="s">
        <v>62</v>
      </c>
      <c r="C687" s="29">
        <v>2588</v>
      </c>
      <c r="D687" s="37" t="s">
        <v>2965</v>
      </c>
      <c r="E687" s="29" t="s">
        <v>37</v>
      </c>
      <c r="F687" s="29" t="s">
        <v>36</v>
      </c>
      <c r="G687" s="29">
        <v>28.72</v>
      </c>
      <c r="H687" s="71" t="s">
        <v>38</v>
      </c>
      <c r="I687" s="37" t="s">
        <v>207</v>
      </c>
    </row>
    <row r="688" spans="1:9" x14ac:dyDescent="0.25">
      <c r="A688" s="29" t="s">
        <v>12</v>
      </c>
      <c r="B688" s="29" t="s">
        <v>62</v>
      </c>
      <c r="C688" s="29">
        <v>2570</v>
      </c>
      <c r="D688" s="37" t="s">
        <v>2966</v>
      </c>
      <c r="E688" s="29" t="s">
        <v>37</v>
      </c>
      <c r="F688" s="29" t="s">
        <v>36</v>
      </c>
      <c r="G688" s="29">
        <v>18.55</v>
      </c>
      <c r="H688" s="71" t="s">
        <v>38</v>
      </c>
      <c r="I688" s="37" t="s">
        <v>207</v>
      </c>
    </row>
    <row r="689" spans="1:9" x14ac:dyDescent="0.25">
      <c r="A689" s="29" t="s">
        <v>12</v>
      </c>
      <c r="B689" s="29" t="s">
        <v>62</v>
      </c>
      <c r="C689" s="29">
        <v>2569</v>
      </c>
      <c r="D689" s="37" t="s">
        <v>2967</v>
      </c>
      <c r="E689" s="29" t="s">
        <v>37</v>
      </c>
      <c r="F689" s="29" t="s">
        <v>36</v>
      </c>
      <c r="G689" s="29">
        <v>11.07</v>
      </c>
      <c r="H689" s="71" t="s">
        <v>38</v>
      </c>
      <c r="I689" s="37" t="s">
        <v>207</v>
      </c>
    </row>
    <row r="690" spans="1:9" x14ac:dyDescent="0.25">
      <c r="A690" s="29" t="s">
        <v>12</v>
      </c>
      <c r="B690" s="29" t="s">
        <v>62</v>
      </c>
      <c r="C690" s="29">
        <v>2571</v>
      </c>
      <c r="D690" s="37" t="s">
        <v>2968</v>
      </c>
      <c r="E690" s="29" t="s">
        <v>37</v>
      </c>
      <c r="F690" s="29" t="s">
        <v>36</v>
      </c>
      <c r="G690" s="29">
        <v>55.07</v>
      </c>
      <c r="H690" s="71" t="s">
        <v>38</v>
      </c>
      <c r="I690" s="37" t="s">
        <v>207</v>
      </c>
    </row>
    <row r="691" spans="1:9" x14ac:dyDescent="0.25">
      <c r="A691" s="29" t="s">
        <v>12</v>
      </c>
      <c r="B691" s="29" t="s">
        <v>62</v>
      </c>
      <c r="C691" s="29">
        <v>2572</v>
      </c>
      <c r="D691" s="37" t="s">
        <v>2969</v>
      </c>
      <c r="E691" s="29" t="s">
        <v>37</v>
      </c>
      <c r="F691" s="29" t="s">
        <v>36</v>
      </c>
      <c r="G691" s="29">
        <v>162.86000000000001</v>
      </c>
      <c r="H691" s="71" t="s">
        <v>38</v>
      </c>
      <c r="I691" s="37" t="s">
        <v>207</v>
      </c>
    </row>
    <row r="692" spans="1:9" x14ac:dyDescent="0.25">
      <c r="A692" s="29" t="s">
        <v>12</v>
      </c>
      <c r="B692" s="29" t="s">
        <v>62</v>
      </c>
      <c r="C692" s="29">
        <v>2593</v>
      </c>
      <c r="D692" s="37" t="s">
        <v>2970</v>
      </c>
      <c r="E692" s="29" t="s">
        <v>37</v>
      </c>
      <c r="F692" s="29" t="s">
        <v>36</v>
      </c>
      <c r="G692" s="29">
        <v>11.8</v>
      </c>
      <c r="H692" s="71" t="s">
        <v>38</v>
      </c>
      <c r="I692" s="37" t="s">
        <v>207</v>
      </c>
    </row>
    <row r="693" spans="1:9" x14ac:dyDescent="0.25">
      <c r="A693" s="29" t="s">
        <v>12</v>
      </c>
      <c r="B693" s="29" t="s">
        <v>62</v>
      </c>
      <c r="C693" s="29">
        <v>2595</v>
      </c>
      <c r="D693" s="37" t="s">
        <v>2971</v>
      </c>
      <c r="E693" s="29" t="s">
        <v>37</v>
      </c>
      <c r="F693" s="29" t="s">
        <v>36</v>
      </c>
      <c r="G693" s="29">
        <v>254.09</v>
      </c>
      <c r="H693" s="71" t="s">
        <v>38</v>
      </c>
      <c r="I693" s="37" t="s">
        <v>207</v>
      </c>
    </row>
    <row r="694" spans="1:9" x14ac:dyDescent="0.25">
      <c r="A694" s="29" t="s">
        <v>12</v>
      </c>
      <c r="B694" s="29" t="s">
        <v>62</v>
      </c>
      <c r="C694" s="29">
        <v>2576</v>
      </c>
      <c r="D694" s="37" t="s">
        <v>1519</v>
      </c>
      <c r="E694" s="29" t="s">
        <v>37</v>
      </c>
      <c r="F694" s="29" t="s">
        <v>36</v>
      </c>
      <c r="G694" s="29">
        <v>43.31</v>
      </c>
      <c r="H694" s="71" t="s">
        <v>38</v>
      </c>
      <c r="I694" s="37" t="s">
        <v>207</v>
      </c>
    </row>
    <row r="695" spans="1:9" x14ac:dyDescent="0.25">
      <c r="A695" s="29" t="s">
        <v>12</v>
      </c>
      <c r="B695" s="29" t="s">
        <v>62</v>
      </c>
      <c r="C695" s="29">
        <v>2575</v>
      </c>
      <c r="D695" s="37" t="s">
        <v>1520</v>
      </c>
      <c r="E695" s="29" t="s">
        <v>37</v>
      </c>
      <c r="F695" s="29" t="s">
        <v>36</v>
      </c>
      <c r="G695" s="29">
        <v>32.56</v>
      </c>
      <c r="H695" s="71" t="s">
        <v>38</v>
      </c>
      <c r="I695" s="37" t="s">
        <v>207</v>
      </c>
    </row>
    <row r="696" spans="1:9" x14ac:dyDescent="0.25">
      <c r="A696" s="29" t="s">
        <v>12</v>
      </c>
      <c r="B696" s="29" t="s">
        <v>62</v>
      </c>
      <c r="C696" s="29">
        <v>2586</v>
      </c>
      <c r="D696" s="37" t="s">
        <v>1521</v>
      </c>
      <c r="E696" s="29" t="s">
        <v>37</v>
      </c>
      <c r="F696" s="29" t="s">
        <v>36</v>
      </c>
      <c r="G696" s="29">
        <v>21.92</v>
      </c>
      <c r="H696" s="71" t="s">
        <v>38</v>
      </c>
      <c r="I696" s="37" t="s">
        <v>207</v>
      </c>
    </row>
    <row r="697" spans="1:9" x14ac:dyDescent="0.25">
      <c r="A697" s="29" t="s">
        <v>12</v>
      </c>
      <c r="B697" s="29" t="s">
        <v>62</v>
      </c>
      <c r="C697" s="29">
        <v>2573</v>
      </c>
      <c r="D697" s="37" t="s">
        <v>1522</v>
      </c>
      <c r="E697" s="29" t="s">
        <v>37</v>
      </c>
      <c r="F697" s="29" t="s">
        <v>36</v>
      </c>
      <c r="G697" s="29">
        <v>13.52</v>
      </c>
      <c r="H697" s="71" t="s">
        <v>38</v>
      </c>
      <c r="I697" s="37" t="s">
        <v>207</v>
      </c>
    </row>
    <row r="698" spans="1:9" x14ac:dyDescent="0.25">
      <c r="A698" s="29" t="s">
        <v>12</v>
      </c>
      <c r="B698" s="29" t="s">
        <v>62</v>
      </c>
      <c r="C698" s="29">
        <v>2577</v>
      </c>
      <c r="D698" s="37" t="s">
        <v>1523</v>
      </c>
      <c r="E698" s="29" t="s">
        <v>37</v>
      </c>
      <c r="F698" s="29" t="s">
        <v>36</v>
      </c>
      <c r="G698" s="29">
        <v>58.69</v>
      </c>
      <c r="H698" s="71" t="s">
        <v>38</v>
      </c>
      <c r="I698" s="37" t="s">
        <v>207</v>
      </c>
    </row>
    <row r="699" spans="1:9" x14ac:dyDescent="0.25">
      <c r="A699" s="29" t="s">
        <v>12</v>
      </c>
      <c r="B699" s="29" t="s">
        <v>62</v>
      </c>
      <c r="C699" s="29">
        <v>2578</v>
      </c>
      <c r="D699" s="37" t="s">
        <v>1524</v>
      </c>
      <c r="E699" s="29" t="s">
        <v>37</v>
      </c>
      <c r="F699" s="29" t="s">
        <v>36</v>
      </c>
      <c r="G699" s="29">
        <v>183.25</v>
      </c>
      <c r="H699" s="71" t="s">
        <v>38</v>
      </c>
      <c r="I699" s="37" t="s">
        <v>207</v>
      </c>
    </row>
    <row r="700" spans="1:9" x14ac:dyDescent="0.25">
      <c r="A700" s="29" t="s">
        <v>12</v>
      </c>
      <c r="B700" s="29" t="s">
        <v>62</v>
      </c>
      <c r="C700" s="29">
        <v>2574</v>
      </c>
      <c r="D700" s="37" t="s">
        <v>1525</v>
      </c>
      <c r="E700" s="29" t="s">
        <v>37</v>
      </c>
      <c r="F700" s="29" t="s">
        <v>36</v>
      </c>
      <c r="G700" s="29">
        <v>13.61</v>
      </c>
      <c r="H700" s="71" t="s">
        <v>38</v>
      </c>
      <c r="I700" s="37" t="s">
        <v>207</v>
      </c>
    </row>
    <row r="701" spans="1:9" x14ac:dyDescent="0.25">
      <c r="A701" s="29" t="s">
        <v>12</v>
      </c>
      <c r="B701" s="29" t="s">
        <v>62</v>
      </c>
      <c r="C701" s="29">
        <v>2585</v>
      </c>
      <c r="D701" s="37" t="s">
        <v>1526</v>
      </c>
      <c r="E701" s="29" t="s">
        <v>37</v>
      </c>
      <c r="F701" s="29" t="s">
        <v>36</v>
      </c>
      <c r="G701" s="29">
        <v>251.46</v>
      </c>
      <c r="H701" s="71" t="s">
        <v>38</v>
      </c>
      <c r="I701" s="37" t="s">
        <v>207</v>
      </c>
    </row>
    <row r="702" spans="1:9" x14ac:dyDescent="0.25">
      <c r="A702" s="29" t="s">
        <v>12</v>
      </c>
      <c r="B702" s="29" t="s">
        <v>62</v>
      </c>
      <c r="C702" s="29">
        <v>12008</v>
      </c>
      <c r="D702" s="37" t="s">
        <v>2972</v>
      </c>
      <c r="E702" s="29" t="s">
        <v>37</v>
      </c>
      <c r="F702" s="29" t="s">
        <v>36</v>
      </c>
      <c r="G702" s="29">
        <v>134.91999999999999</v>
      </c>
      <c r="H702" s="71" t="s">
        <v>38</v>
      </c>
      <c r="I702" s="37" t="s">
        <v>207</v>
      </c>
    </row>
    <row r="703" spans="1:9" x14ac:dyDescent="0.25">
      <c r="A703" s="29" t="s">
        <v>12</v>
      </c>
      <c r="B703" s="29" t="s">
        <v>62</v>
      </c>
      <c r="C703" s="29">
        <v>2582</v>
      </c>
      <c r="D703" s="37" t="s">
        <v>1527</v>
      </c>
      <c r="E703" s="29" t="s">
        <v>37</v>
      </c>
      <c r="F703" s="29" t="s">
        <v>36</v>
      </c>
      <c r="G703" s="29">
        <v>40.18</v>
      </c>
      <c r="H703" s="71" t="s">
        <v>38</v>
      </c>
      <c r="I703" s="37" t="s">
        <v>207</v>
      </c>
    </row>
    <row r="704" spans="1:9" x14ac:dyDescent="0.25">
      <c r="A704" s="29" t="s">
        <v>12</v>
      </c>
      <c r="B704" s="29" t="s">
        <v>62</v>
      </c>
      <c r="C704" s="29">
        <v>2597</v>
      </c>
      <c r="D704" s="37" t="s">
        <v>1528</v>
      </c>
      <c r="E704" s="29" t="s">
        <v>37</v>
      </c>
      <c r="F704" s="29" t="s">
        <v>36</v>
      </c>
      <c r="G704" s="29">
        <v>34.43</v>
      </c>
      <c r="H704" s="71" t="s">
        <v>38</v>
      </c>
      <c r="I704" s="37" t="s">
        <v>207</v>
      </c>
    </row>
    <row r="705" spans="1:9" x14ac:dyDescent="0.25">
      <c r="A705" s="29" t="s">
        <v>12</v>
      </c>
      <c r="B705" s="29" t="s">
        <v>62</v>
      </c>
      <c r="C705" s="29">
        <v>2581</v>
      </c>
      <c r="D705" s="37" t="s">
        <v>1529</v>
      </c>
      <c r="E705" s="29" t="s">
        <v>37</v>
      </c>
      <c r="F705" s="29" t="s">
        <v>36</v>
      </c>
      <c r="G705" s="29">
        <v>20.98</v>
      </c>
      <c r="H705" s="71" t="s">
        <v>38</v>
      </c>
      <c r="I705" s="37" t="s">
        <v>207</v>
      </c>
    </row>
    <row r="706" spans="1:9" x14ac:dyDescent="0.25">
      <c r="A706" s="29" t="s">
        <v>12</v>
      </c>
      <c r="B706" s="29" t="s">
        <v>62</v>
      </c>
      <c r="C706" s="29">
        <v>2579</v>
      </c>
      <c r="D706" s="37" t="s">
        <v>1530</v>
      </c>
      <c r="E706" s="29" t="s">
        <v>37</v>
      </c>
      <c r="F706" s="29" t="s">
        <v>36</v>
      </c>
      <c r="G706" s="29">
        <v>16.39</v>
      </c>
      <c r="H706" s="71" t="s">
        <v>38</v>
      </c>
      <c r="I706" s="37" t="s">
        <v>207</v>
      </c>
    </row>
    <row r="707" spans="1:9" x14ac:dyDescent="0.25">
      <c r="A707" s="29" t="s">
        <v>12</v>
      </c>
      <c r="B707" s="29" t="s">
        <v>62</v>
      </c>
      <c r="C707" s="29">
        <v>2596</v>
      </c>
      <c r="D707" s="37" t="s">
        <v>1531</v>
      </c>
      <c r="E707" s="29" t="s">
        <v>37</v>
      </c>
      <c r="F707" s="29" t="s">
        <v>36</v>
      </c>
      <c r="G707" s="29">
        <v>62.04</v>
      </c>
      <c r="H707" s="71" t="s">
        <v>38</v>
      </c>
      <c r="I707" s="37" t="s">
        <v>207</v>
      </c>
    </row>
    <row r="708" spans="1:9" x14ac:dyDescent="0.25">
      <c r="A708" s="29" t="s">
        <v>12</v>
      </c>
      <c r="B708" s="29" t="s">
        <v>62</v>
      </c>
      <c r="C708" s="29">
        <v>2583</v>
      </c>
      <c r="D708" s="37" t="s">
        <v>1532</v>
      </c>
      <c r="E708" s="29" t="s">
        <v>37</v>
      </c>
      <c r="F708" s="29" t="s">
        <v>36</v>
      </c>
      <c r="G708" s="29">
        <v>150.9</v>
      </c>
      <c r="H708" s="71" t="s">
        <v>38</v>
      </c>
      <c r="I708" s="37" t="s">
        <v>207</v>
      </c>
    </row>
    <row r="709" spans="1:9" x14ac:dyDescent="0.25">
      <c r="A709" s="29" t="s">
        <v>12</v>
      </c>
      <c r="B709" s="29" t="s">
        <v>62</v>
      </c>
      <c r="C709" s="29">
        <v>2580</v>
      </c>
      <c r="D709" s="37" t="s">
        <v>1533</v>
      </c>
      <c r="E709" s="29" t="s">
        <v>37</v>
      </c>
      <c r="F709" s="29" t="s">
        <v>36</v>
      </c>
      <c r="G709" s="29">
        <v>17.97</v>
      </c>
      <c r="H709" s="71" t="s">
        <v>38</v>
      </c>
      <c r="I709" s="37" t="s">
        <v>207</v>
      </c>
    </row>
    <row r="710" spans="1:9" x14ac:dyDescent="0.25">
      <c r="A710" s="29" t="s">
        <v>12</v>
      </c>
      <c r="B710" s="29" t="s">
        <v>62</v>
      </c>
      <c r="C710" s="29">
        <v>2584</v>
      </c>
      <c r="D710" s="37" t="s">
        <v>1534</v>
      </c>
      <c r="E710" s="29" t="s">
        <v>37</v>
      </c>
      <c r="F710" s="29" t="s">
        <v>36</v>
      </c>
      <c r="G710" s="29">
        <v>251.2</v>
      </c>
      <c r="H710" s="71" t="s">
        <v>38</v>
      </c>
      <c r="I710" s="37" t="s">
        <v>207</v>
      </c>
    </row>
    <row r="711" spans="1:9" x14ac:dyDescent="0.25">
      <c r="A711" s="29" t="s">
        <v>12</v>
      </c>
      <c r="B711" s="29" t="s">
        <v>62</v>
      </c>
      <c r="C711" s="29" t="s">
        <v>34</v>
      </c>
      <c r="D711" s="37" t="s">
        <v>2453</v>
      </c>
      <c r="E711" s="29" t="s">
        <v>801</v>
      </c>
      <c r="F711" s="29" t="s">
        <v>36</v>
      </c>
      <c r="G711" s="29">
        <v>7.5</v>
      </c>
      <c r="H711" s="71" t="s">
        <v>800</v>
      </c>
      <c r="I711" s="37" t="str">
        <f>"https://www.infraeletrocalhas.com.br/conduletes.asp?produto=Condulete-dailet"</f>
        <v>https://www.infraeletrocalhas.com.br/conduletes.asp?produto=Condulete-dailet</v>
      </c>
    </row>
    <row r="712" spans="1:9" x14ac:dyDescent="0.25">
      <c r="A712" s="29" t="s">
        <v>12</v>
      </c>
      <c r="B712" s="29" t="s">
        <v>62</v>
      </c>
      <c r="C712" s="29" t="s">
        <v>34</v>
      </c>
      <c r="D712" s="37" t="s">
        <v>2454</v>
      </c>
      <c r="E712" s="29" t="s">
        <v>802</v>
      </c>
      <c r="F712" s="29" t="s">
        <v>36</v>
      </c>
      <c r="G712" s="29">
        <v>7.95</v>
      </c>
      <c r="H712" s="71" t="s">
        <v>800</v>
      </c>
      <c r="I712" s="37" t="str">
        <f>"https://www.infraeletrocalhas.com.br/conduletes.asp?produto=Condulete-dailet"</f>
        <v>https://www.infraeletrocalhas.com.br/conduletes.asp?produto=Condulete-dailet</v>
      </c>
    </row>
    <row r="713" spans="1:9" x14ac:dyDescent="0.25">
      <c r="A713" s="29" t="s">
        <v>12</v>
      </c>
      <c r="B713" s="29" t="s">
        <v>62</v>
      </c>
      <c r="C713" s="29" t="s">
        <v>34</v>
      </c>
      <c r="D713" s="37" t="s">
        <v>2455</v>
      </c>
      <c r="E713" s="29" t="s">
        <v>802</v>
      </c>
      <c r="F713" s="29" t="s">
        <v>36</v>
      </c>
      <c r="G713" s="29">
        <v>5.95</v>
      </c>
      <c r="H713" s="71" t="s">
        <v>800</v>
      </c>
      <c r="I713" s="37" t="str">
        <f>"https://www.infraeletrocalhas.com.br/conduletes.asp?produto=Condulete-dailet"</f>
        <v>https://www.infraeletrocalhas.com.br/conduletes.asp?produto=Condulete-dailet</v>
      </c>
    </row>
    <row r="714" spans="1:9" x14ac:dyDescent="0.25">
      <c r="A714" s="29" t="s">
        <v>12</v>
      </c>
      <c r="B714" s="29" t="s">
        <v>62</v>
      </c>
      <c r="C714" s="29" t="s">
        <v>34</v>
      </c>
      <c r="D714" s="37" t="s">
        <v>2456</v>
      </c>
      <c r="E714" s="29" t="s">
        <v>803</v>
      </c>
      <c r="F714" s="29" t="s">
        <v>36</v>
      </c>
      <c r="G714" s="29">
        <v>7.5</v>
      </c>
      <c r="H714" s="71" t="s">
        <v>800</v>
      </c>
      <c r="I714" s="37" t="str">
        <f>"https://www.infraeletrocalhas.com.br/conduletes.asp?produto=Condulete-dailet"</f>
        <v>https://www.infraeletrocalhas.com.br/conduletes.asp?produto=Condulete-dailet</v>
      </c>
    </row>
    <row r="715" spans="1:9" x14ac:dyDescent="0.25">
      <c r="A715" s="29" t="s">
        <v>12</v>
      </c>
      <c r="B715" s="29" t="s">
        <v>62</v>
      </c>
      <c r="C715" s="29">
        <v>39329</v>
      </c>
      <c r="D715" s="37" t="s">
        <v>2457</v>
      </c>
      <c r="E715" s="29" t="s">
        <v>37</v>
      </c>
      <c r="F715" s="29" t="s">
        <v>36</v>
      </c>
      <c r="G715" s="29">
        <v>11.6</v>
      </c>
      <c r="H715" s="71" t="s">
        <v>38</v>
      </c>
      <c r="I715" s="37" t="s">
        <v>207</v>
      </c>
    </row>
    <row r="716" spans="1:9" x14ac:dyDescent="0.25">
      <c r="A716" s="29" t="s">
        <v>12</v>
      </c>
      <c r="B716" s="29" t="s">
        <v>62</v>
      </c>
      <c r="C716" s="29">
        <v>12010</v>
      </c>
      <c r="D716" s="37" t="s">
        <v>2458</v>
      </c>
      <c r="E716" s="29" t="s">
        <v>37</v>
      </c>
      <c r="F716" s="29" t="s">
        <v>36</v>
      </c>
      <c r="G716" s="29">
        <v>11.09</v>
      </c>
      <c r="H716" s="71" t="s">
        <v>38</v>
      </c>
      <c r="I716" s="37" t="s">
        <v>207</v>
      </c>
    </row>
    <row r="717" spans="1:9" x14ac:dyDescent="0.25">
      <c r="A717" s="29" t="s">
        <v>12</v>
      </c>
      <c r="B717" s="29" t="s">
        <v>62</v>
      </c>
      <c r="C717" s="29">
        <v>39332</v>
      </c>
      <c r="D717" s="37" t="s">
        <v>2459</v>
      </c>
      <c r="E717" s="29" t="s">
        <v>37</v>
      </c>
      <c r="F717" s="29" t="s">
        <v>36</v>
      </c>
      <c r="G717" s="29">
        <v>13.64</v>
      </c>
      <c r="H717" s="71" t="s">
        <v>38</v>
      </c>
      <c r="I717" s="37" t="s">
        <v>207</v>
      </c>
    </row>
    <row r="718" spans="1:9" x14ac:dyDescent="0.25">
      <c r="A718" s="29" t="s">
        <v>12</v>
      </c>
      <c r="B718" s="29" t="s">
        <v>62</v>
      </c>
      <c r="C718" s="29">
        <v>39330</v>
      </c>
      <c r="D718" s="37" t="s">
        <v>2460</v>
      </c>
      <c r="E718" s="29" t="s">
        <v>37</v>
      </c>
      <c r="F718" s="29" t="s">
        <v>36</v>
      </c>
      <c r="G718" s="29">
        <v>12.21</v>
      </c>
      <c r="H718" s="71" t="s">
        <v>38</v>
      </c>
      <c r="I718" s="37" t="s">
        <v>207</v>
      </c>
    </row>
    <row r="719" spans="1:9" x14ac:dyDescent="0.25">
      <c r="A719" s="29" t="s">
        <v>12</v>
      </c>
      <c r="B719" s="29" t="s">
        <v>62</v>
      </c>
      <c r="C719" s="29">
        <v>39331</v>
      </c>
      <c r="D719" s="37" t="s">
        <v>2461</v>
      </c>
      <c r="E719" s="29" t="s">
        <v>37</v>
      </c>
      <c r="F719" s="29" t="s">
        <v>36</v>
      </c>
      <c r="G719" s="29">
        <v>10.86</v>
      </c>
      <c r="H719" s="71" t="s">
        <v>38</v>
      </c>
      <c r="I719" s="37" t="s">
        <v>207</v>
      </c>
    </row>
    <row r="720" spans="1:9" x14ac:dyDescent="0.25">
      <c r="A720" s="29" t="s">
        <v>12</v>
      </c>
      <c r="B720" s="29" t="s">
        <v>62</v>
      </c>
      <c r="C720" s="29">
        <v>39335</v>
      </c>
      <c r="D720" s="37" t="s">
        <v>2462</v>
      </c>
      <c r="E720" s="29" t="s">
        <v>37</v>
      </c>
      <c r="F720" s="29" t="s">
        <v>36</v>
      </c>
      <c r="G720" s="29">
        <v>12.25</v>
      </c>
      <c r="H720" s="71" t="s">
        <v>38</v>
      </c>
      <c r="I720" s="37" t="s">
        <v>207</v>
      </c>
    </row>
    <row r="721" spans="1:9" x14ac:dyDescent="0.25">
      <c r="A721" s="29" t="s">
        <v>12</v>
      </c>
      <c r="B721" s="29" t="s">
        <v>62</v>
      </c>
      <c r="C721" s="29">
        <v>39333</v>
      </c>
      <c r="D721" s="37" t="s">
        <v>2463</v>
      </c>
      <c r="E721" s="29" t="s">
        <v>37</v>
      </c>
      <c r="F721" s="29" t="s">
        <v>36</v>
      </c>
      <c r="G721" s="29">
        <v>10.59</v>
      </c>
      <c r="H721" s="71" t="s">
        <v>38</v>
      </c>
      <c r="I721" s="37" t="s">
        <v>207</v>
      </c>
    </row>
    <row r="722" spans="1:9" x14ac:dyDescent="0.25">
      <c r="A722" s="29" t="s">
        <v>12</v>
      </c>
      <c r="B722" s="29" t="s">
        <v>62</v>
      </c>
      <c r="C722" s="29">
        <v>39334</v>
      </c>
      <c r="D722" s="37" t="s">
        <v>2464</v>
      </c>
      <c r="E722" s="29" t="s">
        <v>37</v>
      </c>
      <c r="F722" s="29" t="s">
        <v>36</v>
      </c>
      <c r="G722" s="29">
        <v>9.74</v>
      </c>
      <c r="H722" s="71" t="s">
        <v>38</v>
      </c>
      <c r="I722" s="37" t="s">
        <v>207</v>
      </c>
    </row>
    <row r="723" spans="1:9" x14ac:dyDescent="0.25">
      <c r="A723" s="29" t="s">
        <v>12</v>
      </c>
      <c r="B723" s="29" t="s">
        <v>62</v>
      </c>
      <c r="C723" s="29">
        <v>12015</v>
      </c>
      <c r="D723" s="37" t="s">
        <v>2982</v>
      </c>
      <c r="E723" s="29" t="s">
        <v>37</v>
      </c>
      <c r="F723" s="29" t="s">
        <v>36</v>
      </c>
      <c r="G723" s="29">
        <v>14.23</v>
      </c>
      <c r="H723" s="71" t="s">
        <v>38</v>
      </c>
      <c r="I723" s="37" t="s">
        <v>207</v>
      </c>
    </row>
    <row r="724" spans="1:9" x14ac:dyDescent="0.25">
      <c r="A724" s="29" t="s">
        <v>12</v>
      </c>
      <c r="B724" s="29" t="s">
        <v>62</v>
      </c>
      <c r="C724" s="29">
        <v>12016</v>
      </c>
      <c r="D724" s="37" t="s">
        <v>2983</v>
      </c>
      <c r="E724" s="29" t="s">
        <v>37</v>
      </c>
      <c r="F724" s="29" t="s">
        <v>36</v>
      </c>
      <c r="G724" s="29">
        <v>12.22</v>
      </c>
      <c r="H724" s="71" t="s">
        <v>38</v>
      </c>
      <c r="I724" s="37" t="s">
        <v>207</v>
      </c>
    </row>
    <row r="725" spans="1:9" x14ac:dyDescent="0.25">
      <c r="A725" s="29" t="s">
        <v>12</v>
      </c>
      <c r="B725" s="29" t="s">
        <v>62</v>
      </c>
      <c r="C725" s="29">
        <v>12019</v>
      </c>
      <c r="D725" s="37" t="s">
        <v>2984</v>
      </c>
      <c r="E725" s="29" t="s">
        <v>37</v>
      </c>
      <c r="F725" s="29" t="s">
        <v>36</v>
      </c>
      <c r="G725" s="29">
        <v>14.23</v>
      </c>
      <c r="H725" s="71" t="s">
        <v>38</v>
      </c>
      <c r="I725" s="37" t="s">
        <v>207</v>
      </c>
    </row>
    <row r="726" spans="1:9" x14ac:dyDescent="0.25">
      <c r="A726" s="29" t="s">
        <v>12</v>
      </c>
      <c r="B726" s="29" t="s">
        <v>62</v>
      </c>
      <c r="C726" s="29">
        <v>12020</v>
      </c>
      <c r="D726" s="37" t="s">
        <v>2985</v>
      </c>
      <c r="E726" s="29" t="s">
        <v>37</v>
      </c>
      <c r="F726" s="29" t="s">
        <v>36</v>
      </c>
      <c r="G726" s="29">
        <v>12.22</v>
      </c>
      <c r="H726" s="71" t="s">
        <v>38</v>
      </c>
      <c r="I726" s="37" t="s">
        <v>207</v>
      </c>
    </row>
    <row r="727" spans="1:9" x14ac:dyDescent="0.25">
      <c r="A727" s="29" t="s">
        <v>12</v>
      </c>
      <c r="B727" s="29" t="s">
        <v>62</v>
      </c>
      <c r="C727" s="29">
        <v>39338</v>
      </c>
      <c r="D727" s="37" t="s">
        <v>2986</v>
      </c>
      <c r="E727" s="29" t="s">
        <v>37</v>
      </c>
      <c r="F727" s="29" t="s">
        <v>36</v>
      </c>
      <c r="G727" s="29">
        <v>13.64</v>
      </c>
      <c r="H727" s="71" t="s">
        <v>38</v>
      </c>
      <c r="I727" s="37" t="s">
        <v>207</v>
      </c>
    </row>
    <row r="728" spans="1:9" x14ac:dyDescent="0.25">
      <c r="A728" s="29" t="s">
        <v>12</v>
      </c>
      <c r="B728" s="29" t="s">
        <v>62</v>
      </c>
      <c r="C728" s="29">
        <v>39336</v>
      </c>
      <c r="D728" s="37" t="s">
        <v>2987</v>
      </c>
      <c r="E728" s="29" t="s">
        <v>37</v>
      </c>
      <c r="F728" s="29" t="s">
        <v>36</v>
      </c>
      <c r="G728" s="29">
        <v>12.21</v>
      </c>
      <c r="H728" s="71" t="s">
        <v>38</v>
      </c>
      <c r="I728" s="37" t="s">
        <v>207</v>
      </c>
    </row>
    <row r="729" spans="1:9" x14ac:dyDescent="0.25">
      <c r="A729" s="29" t="s">
        <v>12</v>
      </c>
      <c r="B729" s="29" t="s">
        <v>62</v>
      </c>
      <c r="C729" s="29">
        <v>39337</v>
      </c>
      <c r="D729" s="37" t="s">
        <v>2988</v>
      </c>
      <c r="E729" s="29" t="s">
        <v>37</v>
      </c>
      <c r="F729" s="29" t="s">
        <v>36</v>
      </c>
      <c r="G729" s="29">
        <v>10.86</v>
      </c>
      <c r="H729" s="71" t="s">
        <v>38</v>
      </c>
      <c r="I729" s="37" t="s">
        <v>207</v>
      </c>
    </row>
    <row r="730" spans="1:9" x14ac:dyDescent="0.25">
      <c r="A730" s="29" t="s">
        <v>12</v>
      </c>
      <c r="B730" s="29" t="s">
        <v>62</v>
      </c>
      <c r="C730" s="29">
        <v>39341</v>
      </c>
      <c r="D730" s="37" t="s">
        <v>2465</v>
      </c>
      <c r="E730" s="29" t="s">
        <v>37</v>
      </c>
      <c r="F730" s="29" t="s">
        <v>36</v>
      </c>
      <c r="G730" s="29">
        <v>17.78</v>
      </c>
      <c r="H730" s="71" t="s">
        <v>38</v>
      </c>
      <c r="I730" s="37" t="s">
        <v>207</v>
      </c>
    </row>
    <row r="731" spans="1:9" x14ac:dyDescent="0.25">
      <c r="A731" s="29" t="s">
        <v>12</v>
      </c>
      <c r="B731" s="29" t="s">
        <v>62</v>
      </c>
      <c r="C731" s="29">
        <v>39340</v>
      </c>
      <c r="D731" s="37" t="s">
        <v>2466</v>
      </c>
      <c r="E731" s="29" t="s">
        <v>37</v>
      </c>
      <c r="F731" s="29" t="s">
        <v>36</v>
      </c>
      <c r="G731" s="29">
        <v>13.06</v>
      </c>
      <c r="H731" s="71" t="s">
        <v>38</v>
      </c>
      <c r="I731" s="37" t="s">
        <v>207</v>
      </c>
    </row>
    <row r="732" spans="1:9" x14ac:dyDescent="0.25">
      <c r="A732" s="29" t="s">
        <v>12</v>
      </c>
      <c r="B732" s="29" t="s">
        <v>62</v>
      </c>
      <c r="C732" s="29">
        <v>39342</v>
      </c>
      <c r="D732" s="37" t="s">
        <v>2989</v>
      </c>
      <c r="E732" s="29" t="s">
        <v>37</v>
      </c>
      <c r="F732" s="29" t="s">
        <v>36</v>
      </c>
      <c r="G732" s="29">
        <v>17.78</v>
      </c>
      <c r="H732" s="71" t="s">
        <v>38</v>
      </c>
      <c r="I732" s="37" t="s">
        <v>207</v>
      </c>
    </row>
    <row r="733" spans="1:9" x14ac:dyDescent="0.25">
      <c r="A733" s="29" t="s">
        <v>12</v>
      </c>
      <c r="B733" s="29" t="s">
        <v>62</v>
      </c>
      <c r="C733" s="29">
        <v>12025</v>
      </c>
      <c r="D733" s="37" t="s">
        <v>2990</v>
      </c>
      <c r="E733" s="29" t="s">
        <v>37</v>
      </c>
      <c r="F733" s="29" t="s">
        <v>36</v>
      </c>
      <c r="G733" s="29">
        <v>13.48</v>
      </c>
      <c r="H733" s="71" t="s">
        <v>38</v>
      </c>
      <c r="I733" s="37" t="s">
        <v>207</v>
      </c>
    </row>
    <row r="734" spans="1:9" x14ac:dyDescent="0.25">
      <c r="A734" s="29" t="s">
        <v>12</v>
      </c>
      <c r="B734" s="29" t="s">
        <v>62</v>
      </c>
      <c r="C734" s="29">
        <v>39345</v>
      </c>
      <c r="D734" s="37" t="s">
        <v>2467</v>
      </c>
      <c r="E734" s="29" t="s">
        <v>37</v>
      </c>
      <c r="F734" s="29" t="s">
        <v>36</v>
      </c>
      <c r="G734" s="29">
        <v>20.32</v>
      </c>
      <c r="H734" s="71" t="s">
        <v>38</v>
      </c>
      <c r="I734" s="37" t="s">
        <v>207</v>
      </c>
    </row>
    <row r="735" spans="1:9" x14ac:dyDescent="0.25">
      <c r="A735" s="29" t="s">
        <v>12</v>
      </c>
      <c r="B735" s="29" t="s">
        <v>62</v>
      </c>
      <c r="C735" s="29">
        <v>39343</v>
      </c>
      <c r="D735" s="37" t="s">
        <v>2468</v>
      </c>
      <c r="E735" s="29" t="s">
        <v>37</v>
      </c>
      <c r="F735" s="29" t="s">
        <v>36</v>
      </c>
      <c r="G735" s="29">
        <v>15.02</v>
      </c>
      <c r="H735" s="71" t="s">
        <v>38</v>
      </c>
      <c r="I735" s="37" t="s">
        <v>207</v>
      </c>
    </row>
    <row r="736" spans="1:9" x14ac:dyDescent="0.25">
      <c r="A736" s="29" t="s">
        <v>12</v>
      </c>
      <c r="B736" s="29" t="s">
        <v>62</v>
      </c>
      <c r="C736" s="29">
        <v>39344</v>
      </c>
      <c r="D736" s="37" t="s">
        <v>2469</v>
      </c>
      <c r="E736" s="29" t="s">
        <v>37</v>
      </c>
      <c r="F736" s="29" t="s">
        <v>36</v>
      </c>
      <c r="G736" s="29">
        <v>14.52</v>
      </c>
      <c r="H736" s="71" t="s">
        <v>38</v>
      </c>
      <c r="I736" s="37" t="s">
        <v>207</v>
      </c>
    </row>
    <row r="737" spans="1:9" x14ac:dyDescent="0.25">
      <c r="A737" s="29" t="s">
        <v>12</v>
      </c>
      <c r="B737" s="29" t="s">
        <v>62</v>
      </c>
      <c r="C737" s="29" t="s">
        <v>34</v>
      </c>
      <c r="D737" s="37" t="s">
        <v>1535</v>
      </c>
      <c r="E737" s="29" t="s">
        <v>798</v>
      </c>
      <c r="F737" s="29" t="s">
        <v>36</v>
      </c>
      <c r="G737" s="29">
        <v>3.7</v>
      </c>
      <c r="H737" s="71" t="s">
        <v>800</v>
      </c>
      <c r="I737" s="37" t="str">
        <f t="shared" ref="I737:I771" si="6">"https://www.infraeletrocalhas.com.br/conduletes.asp?produto=Condulete-dailet"</f>
        <v>https://www.infraeletrocalhas.com.br/conduletes.asp?produto=Condulete-dailet</v>
      </c>
    </row>
    <row r="738" spans="1:9" x14ac:dyDescent="0.25">
      <c r="A738" s="29" t="s">
        <v>12</v>
      </c>
      <c r="B738" s="29" t="s">
        <v>62</v>
      </c>
      <c r="C738" s="29" t="s">
        <v>34</v>
      </c>
      <c r="D738" s="37" t="s">
        <v>1536</v>
      </c>
      <c r="E738" s="29" t="s">
        <v>798</v>
      </c>
      <c r="F738" s="29" t="s">
        <v>36</v>
      </c>
      <c r="G738" s="29">
        <v>8.9</v>
      </c>
      <c r="H738" s="71" t="s">
        <v>800</v>
      </c>
      <c r="I738" s="37" t="str">
        <f t="shared" si="6"/>
        <v>https://www.infraeletrocalhas.com.br/conduletes.asp?produto=Condulete-dailet</v>
      </c>
    </row>
    <row r="739" spans="1:9" x14ac:dyDescent="0.25">
      <c r="A739" s="29" t="s">
        <v>12</v>
      </c>
      <c r="B739" s="29" t="s">
        <v>62</v>
      </c>
      <c r="C739" s="29" t="s">
        <v>34</v>
      </c>
      <c r="D739" s="37" t="s">
        <v>1537</v>
      </c>
      <c r="E739" s="29" t="s">
        <v>798</v>
      </c>
      <c r="F739" s="29" t="s">
        <v>36</v>
      </c>
      <c r="G739" s="29">
        <v>6.4</v>
      </c>
      <c r="H739" s="71" t="s">
        <v>800</v>
      </c>
      <c r="I739" s="37" t="str">
        <f t="shared" si="6"/>
        <v>https://www.infraeletrocalhas.com.br/conduletes.asp?produto=Condulete-dailet</v>
      </c>
    </row>
    <row r="740" spans="1:9" x14ac:dyDescent="0.25">
      <c r="A740" s="29" t="s">
        <v>12</v>
      </c>
      <c r="B740" s="29" t="s">
        <v>62</v>
      </c>
      <c r="C740" s="29" t="s">
        <v>34</v>
      </c>
      <c r="D740" s="37" t="s">
        <v>1538</v>
      </c>
      <c r="E740" s="29" t="s">
        <v>798</v>
      </c>
      <c r="F740" s="29" t="s">
        <v>36</v>
      </c>
      <c r="G740" s="29">
        <v>2.8</v>
      </c>
      <c r="H740" s="71" t="s">
        <v>800</v>
      </c>
      <c r="I740" s="37" t="str">
        <f t="shared" si="6"/>
        <v>https://www.infraeletrocalhas.com.br/conduletes.asp?produto=Condulete-dailet</v>
      </c>
    </row>
    <row r="741" spans="1:9" x14ac:dyDescent="0.25">
      <c r="A741" s="29" t="s">
        <v>12</v>
      </c>
      <c r="B741" s="29" t="s">
        <v>62</v>
      </c>
      <c r="C741" s="29" t="s">
        <v>34</v>
      </c>
      <c r="D741" s="37" t="s">
        <v>1539</v>
      </c>
      <c r="E741" s="29" t="s">
        <v>798</v>
      </c>
      <c r="F741" s="29" t="s">
        <v>36</v>
      </c>
      <c r="G741" s="29">
        <v>10.9</v>
      </c>
      <c r="H741" s="71" t="s">
        <v>800</v>
      </c>
      <c r="I741" s="37" t="str">
        <f t="shared" si="6"/>
        <v>https://www.infraeletrocalhas.com.br/conduletes.asp?produto=Condulete-dailet</v>
      </c>
    </row>
    <row r="742" spans="1:9" x14ac:dyDescent="0.25">
      <c r="A742" s="29" t="s">
        <v>12</v>
      </c>
      <c r="B742" s="29" t="s">
        <v>62</v>
      </c>
      <c r="C742" s="29" t="s">
        <v>34</v>
      </c>
      <c r="D742" s="37" t="s">
        <v>1540</v>
      </c>
      <c r="E742" s="29" t="s">
        <v>798</v>
      </c>
      <c r="F742" s="29" t="s">
        <v>36</v>
      </c>
      <c r="G742" s="29">
        <v>2.95</v>
      </c>
      <c r="H742" s="71" t="s">
        <v>800</v>
      </c>
      <c r="I742" s="37" t="str">
        <f t="shared" si="6"/>
        <v>https://www.infraeletrocalhas.com.br/conduletes.asp?produto=Condulete-dailet</v>
      </c>
    </row>
    <row r="743" spans="1:9" x14ac:dyDescent="0.25">
      <c r="A743" s="29" t="s">
        <v>12</v>
      </c>
      <c r="B743" s="29" t="s">
        <v>62</v>
      </c>
      <c r="C743" s="29" t="s">
        <v>34</v>
      </c>
      <c r="D743" s="37" t="s">
        <v>2470</v>
      </c>
      <c r="E743" s="29" t="s">
        <v>802</v>
      </c>
      <c r="F743" s="29" t="s">
        <v>36</v>
      </c>
      <c r="G743" s="29">
        <v>2.4500000000000002</v>
      </c>
      <c r="H743" s="71" t="s">
        <v>800</v>
      </c>
      <c r="I743" s="37" t="str">
        <f t="shared" si="6"/>
        <v>https://www.infraeletrocalhas.com.br/conduletes.asp?produto=Condulete-dailet</v>
      </c>
    </row>
    <row r="744" spans="1:9" x14ac:dyDescent="0.25">
      <c r="A744" s="29" t="s">
        <v>12</v>
      </c>
      <c r="B744" s="29" t="s">
        <v>62</v>
      </c>
      <c r="C744" s="29" t="s">
        <v>34</v>
      </c>
      <c r="D744" s="37" t="s">
        <v>2471</v>
      </c>
      <c r="E744" s="29" t="s">
        <v>802</v>
      </c>
      <c r="F744" s="29" t="s">
        <v>36</v>
      </c>
      <c r="G744" s="29">
        <v>1.95</v>
      </c>
      <c r="H744" s="71" t="s">
        <v>800</v>
      </c>
      <c r="I744" s="37" t="str">
        <f t="shared" si="6"/>
        <v>https://www.infraeletrocalhas.com.br/conduletes.asp?produto=Condulete-dailet</v>
      </c>
    </row>
    <row r="745" spans="1:9" x14ac:dyDescent="0.25">
      <c r="A745" s="29" t="s">
        <v>12</v>
      </c>
      <c r="B745" s="29" t="s">
        <v>62</v>
      </c>
      <c r="C745" s="29" t="s">
        <v>34</v>
      </c>
      <c r="D745" s="37" t="s">
        <v>2472</v>
      </c>
      <c r="E745" s="29" t="s">
        <v>802</v>
      </c>
      <c r="F745" s="29" t="s">
        <v>36</v>
      </c>
      <c r="G745" s="29">
        <v>2.4500000000000002</v>
      </c>
      <c r="H745" s="71" t="s">
        <v>800</v>
      </c>
      <c r="I745" s="37" t="str">
        <f t="shared" si="6"/>
        <v>https://www.infraeletrocalhas.com.br/conduletes.asp?produto=Condulete-dailet</v>
      </c>
    </row>
    <row r="746" spans="1:9" x14ac:dyDescent="0.25">
      <c r="A746" s="29" t="s">
        <v>12</v>
      </c>
      <c r="B746" s="29" t="s">
        <v>62</v>
      </c>
      <c r="C746" s="29" t="s">
        <v>34</v>
      </c>
      <c r="D746" s="37" t="s">
        <v>2473</v>
      </c>
      <c r="E746" s="29" t="s">
        <v>802</v>
      </c>
      <c r="F746" s="29" t="s">
        <v>36</v>
      </c>
      <c r="G746" s="29">
        <v>1.95</v>
      </c>
      <c r="H746" s="71" t="s">
        <v>800</v>
      </c>
      <c r="I746" s="37" t="str">
        <f t="shared" si="6"/>
        <v>https://www.infraeletrocalhas.com.br/conduletes.asp?produto=Condulete-dailet</v>
      </c>
    </row>
    <row r="747" spans="1:9" x14ac:dyDescent="0.25">
      <c r="A747" s="29" t="s">
        <v>12</v>
      </c>
      <c r="B747" s="29" t="s">
        <v>62</v>
      </c>
      <c r="C747" s="29" t="s">
        <v>34</v>
      </c>
      <c r="D747" s="37" t="s">
        <v>2474</v>
      </c>
      <c r="E747" s="29" t="s">
        <v>802</v>
      </c>
      <c r="F747" s="29" t="s">
        <v>36</v>
      </c>
      <c r="G747" s="29">
        <v>1.95</v>
      </c>
      <c r="H747" s="71" t="s">
        <v>800</v>
      </c>
      <c r="I747" s="37" t="str">
        <f t="shared" si="6"/>
        <v>https://www.infraeletrocalhas.com.br/conduletes.asp?produto=Condulete-dailet</v>
      </c>
    </row>
    <row r="748" spans="1:9" x14ac:dyDescent="0.25">
      <c r="A748" s="29" t="s">
        <v>12</v>
      </c>
      <c r="B748" s="29" t="s">
        <v>62</v>
      </c>
      <c r="C748" s="29" t="s">
        <v>34</v>
      </c>
      <c r="D748" s="37" t="s">
        <v>2475</v>
      </c>
      <c r="E748" s="29" t="s">
        <v>801</v>
      </c>
      <c r="F748" s="29" t="s">
        <v>36</v>
      </c>
      <c r="G748" s="29">
        <v>1.85</v>
      </c>
      <c r="H748" s="71" t="s">
        <v>800</v>
      </c>
      <c r="I748" s="37" t="str">
        <f t="shared" si="6"/>
        <v>https://www.infraeletrocalhas.com.br/conduletes.asp?produto=Condulete-dailet</v>
      </c>
    </row>
    <row r="749" spans="1:9" x14ac:dyDescent="0.25">
      <c r="A749" s="29" t="s">
        <v>12</v>
      </c>
      <c r="B749" s="29" t="s">
        <v>62</v>
      </c>
      <c r="C749" s="29" t="s">
        <v>34</v>
      </c>
      <c r="D749" s="37" t="s">
        <v>2476</v>
      </c>
      <c r="E749" s="29" t="s">
        <v>801</v>
      </c>
      <c r="F749" s="29" t="s">
        <v>36</v>
      </c>
      <c r="G749" s="29">
        <v>0.9</v>
      </c>
      <c r="H749" s="71" t="s">
        <v>800</v>
      </c>
      <c r="I749" s="37" t="str">
        <f t="shared" si="6"/>
        <v>https://www.infraeletrocalhas.com.br/conduletes.asp?produto=Condulete-dailet</v>
      </c>
    </row>
    <row r="750" spans="1:9" x14ac:dyDescent="0.25">
      <c r="A750" s="29" t="s">
        <v>12</v>
      </c>
      <c r="B750" s="29" t="s">
        <v>62</v>
      </c>
      <c r="C750" s="29" t="s">
        <v>34</v>
      </c>
      <c r="D750" s="37" t="s">
        <v>2477</v>
      </c>
      <c r="E750" s="29" t="s">
        <v>801</v>
      </c>
      <c r="F750" s="29" t="s">
        <v>36</v>
      </c>
      <c r="G750" s="29">
        <v>1.4</v>
      </c>
      <c r="H750" s="71" t="s">
        <v>800</v>
      </c>
      <c r="I750" s="37" t="str">
        <f t="shared" si="6"/>
        <v>https://www.infraeletrocalhas.com.br/conduletes.asp?produto=Condulete-dailet</v>
      </c>
    </row>
    <row r="751" spans="1:9" x14ac:dyDescent="0.25">
      <c r="A751" s="29" t="s">
        <v>12</v>
      </c>
      <c r="B751" s="29" t="s">
        <v>62</v>
      </c>
      <c r="C751" s="29" t="s">
        <v>34</v>
      </c>
      <c r="D751" s="37" t="s">
        <v>2478</v>
      </c>
      <c r="E751" s="29" t="s">
        <v>798</v>
      </c>
      <c r="F751" s="29" t="s">
        <v>36</v>
      </c>
      <c r="G751" s="29">
        <v>1.95</v>
      </c>
      <c r="H751" s="71" t="s">
        <v>800</v>
      </c>
      <c r="I751" s="37" t="str">
        <f t="shared" si="6"/>
        <v>https://www.infraeletrocalhas.com.br/conduletes.asp?produto=Condulete-dailet</v>
      </c>
    </row>
    <row r="752" spans="1:9" x14ac:dyDescent="0.25">
      <c r="A752" s="29" t="s">
        <v>12</v>
      </c>
      <c r="B752" s="29" t="s">
        <v>62</v>
      </c>
      <c r="C752" s="29" t="s">
        <v>34</v>
      </c>
      <c r="D752" s="37" t="s">
        <v>2479</v>
      </c>
      <c r="E752" s="29" t="s">
        <v>798</v>
      </c>
      <c r="F752" s="29" t="s">
        <v>36</v>
      </c>
      <c r="G752" s="29">
        <v>1.95</v>
      </c>
      <c r="H752" s="71" t="s">
        <v>800</v>
      </c>
      <c r="I752" s="37" t="str">
        <f t="shared" si="6"/>
        <v>https://www.infraeletrocalhas.com.br/conduletes.asp?produto=Condulete-dailet</v>
      </c>
    </row>
    <row r="753" spans="1:9" x14ac:dyDescent="0.25">
      <c r="A753" s="29" t="s">
        <v>12</v>
      </c>
      <c r="B753" s="29" t="s">
        <v>62</v>
      </c>
      <c r="C753" s="29" t="s">
        <v>34</v>
      </c>
      <c r="D753" s="37" t="s">
        <v>2480</v>
      </c>
      <c r="E753" s="29" t="s">
        <v>801</v>
      </c>
      <c r="F753" s="29" t="s">
        <v>36</v>
      </c>
      <c r="G753" s="29">
        <v>3.9</v>
      </c>
      <c r="H753" s="71" t="s">
        <v>800</v>
      </c>
      <c r="I753" s="37" t="str">
        <f t="shared" si="6"/>
        <v>https://www.infraeletrocalhas.com.br/conduletes.asp?produto=Condulete-dailet</v>
      </c>
    </row>
    <row r="754" spans="1:9" x14ac:dyDescent="0.25">
      <c r="A754" s="29" t="s">
        <v>12</v>
      </c>
      <c r="B754" s="29" t="s">
        <v>62</v>
      </c>
      <c r="C754" s="29" t="s">
        <v>34</v>
      </c>
      <c r="D754" s="37" t="s">
        <v>1541</v>
      </c>
      <c r="E754" s="29" t="s">
        <v>798</v>
      </c>
      <c r="F754" s="29" t="s">
        <v>36</v>
      </c>
      <c r="G754" s="29">
        <v>6.35</v>
      </c>
      <c r="H754" s="71" t="s">
        <v>800</v>
      </c>
      <c r="I754" s="37" t="str">
        <f t="shared" si="6"/>
        <v>https://www.infraeletrocalhas.com.br/conduletes.asp?produto=Condulete-dailet</v>
      </c>
    </row>
    <row r="755" spans="1:9" x14ac:dyDescent="0.25">
      <c r="A755" s="29" t="s">
        <v>12</v>
      </c>
      <c r="B755" s="29" t="s">
        <v>62</v>
      </c>
      <c r="C755" s="29" t="s">
        <v>34</v>
      </c>
      <c r="D755" s="37" t="s">
        <v>1542</v>
      </c>
      <c r="E755" s="29" t="s">
        <v>798</v>
      </c>
      <c r="F755" s="29" t="s">
        <v>36</v>
      </c>
      <c r="G755" s="29">
        <v>4.75</v>
      </c>
      <c r="H755" s="71" t="s">
        <v>800</v>
      </c>
      <c r="I755" s="37" t="str">
        <f t="shared" si="6"/>
        <v>https://www.infraeletrocalhas.com.br/conduletes.asp?produto=Condulete-dailet</v>
      </c>
    </row>
    <row r="756" spans="1:9" x14ac:dyDescent="0.25">
      <c r="A756" s="29" t="s">
        <v>12</v>
      </c>
      <c r="B756" s="29" t="s">
        <v>62</v>
      </c>
      <c r="C756" s="29" t="s">
        <v>34</v>
      </c>
      <c r="D756" s="37" t="s">
        <v>1543</v>
      </c>
      <c r="E756" s="29" t="s">
        <v>798</v>
      </c>
      <c r="F756" s="29" t="s">
        <v>36</v>
      </c>
      <c r="G756" s="29">
        <v>8.9</v>
      </c>
      <c r="H756" s="71" t="s">
        <v>800</v>
      </c>
      <c r="I756" s="37" t="str">
        <f t="shared" si="6"/>
        <v>https://www.infraeletrocalhas.com.br/conduletes.asp?produto=Condulete-dailet</v>
      </c>
    </row>
    <row r="757" spans="1:9" x14ac:dyDescent="0.25">
      <c r="A757" s="29" t="s">
        <v>12</v>
      </c>
      <c r="B757" s="29" t="s">
        <v>62</v>
      </c>
      <c r="C757" s="29" t="s">
        <v>34</v>
      </c>
      <c r="D757" s="37" t="s">
        <v>1544</v>
      </c>
      <c r="E757" s="29" t="s">
        <v>798</v>
      </c>
      <c r="F757" s="29" t="s">
        <v>36</v>
      </c>
      <c r="G757" s="29">
        <v>6.9</v>
      </c>
      <c r="H757" s="71" t="s">
        <v>800</v>
      </c>
      <c r="I757" s="37" t="str">
        <f t="shared" si="6"/>
        <v>https://www.infraeletrocalhas.com.br/conduletes.asp?produto=Condulete-dailet</v>
      </c>
    </row>
    <row r="758" spans="1:9" x14ac:dyDescent="0.25">
      <c r="A758" s="29" t="s">
        <v>12</v>
      </c>
      <c r="B758" s="29" t="s">
        <v>62</v>
      </c>
      <c r="C758" s="29" t="s">
        <v>34</v>
      </c>
      <c r="D758" s="37" t="s">
        <v>2481</v>
      </c>
      <c r="E758" s="29" t="s">
        <v>801</v>
      </c>
      <c r="F758" s="29" t="s">
        <v>36</v>
      </c>
      <c r="G758" s="29">
        <v>3.9</v>
      </c>
      <c r="H758" s="71" t="s">
        <v>800</v>
      </c>
      <c r="I758" s="37" t="str">
        <f t="shared" si="6"/>
        <v>https://www.infraeletrocalhas.com.br/conduletes.asp?produto=Condulete-dailet</v>
      </c>
    </row>
    <row r="759" spans="1:9" x14ac:dyDescent="0.25">
      <c r="A759" s="29" t="s">
        <v>12</v>
      </c>
      <c r="B759" s="29" t="s">
        <v>62</v>
      </c>
      <c r="C759" s="29" t="s">
        <v>34</v>
      </c>
      <c r="D759" s="37" t="s">
        <v>2482</v>
      </c>
      <c r="E759" s="29" t="s">
        <v>801</v>
      </c>
      <c r="F759" s="29" t="s">
        <v>36</v>
      </c>
      <c r="G759" s="29">
        <v>3.9</v>
      </c>
      <c r="H759" s="71" t="s">
        <v>800</v>
      </c>
      <c r="I759" s="37" t="str">
        <f t="shared" si="6"/>
        <v>https://www.infraeletrocalhas.com.br/conduletes.asp?produto=Condulete-dailet</v>
      </c>
    </row>
    <row r="760" spans="1:9" x14ac:dyDescent="0.25">
      <c r="A760" s="29" t="s">
        <v>12</v>
      </c>
      <c r="B760" s="29" t="s">
        <v>62</v>
      </c>
      <c r="C760" s="29" t="s">
        <v>34</v>
      </c>
      <c r="D760" s="37" t="s">
        <v>1545</v>
      </c>
      <c r="E760" s="29" t="s">
        <v>798</v>
      </c>
      <c r="F760" s="29" t="s">
        <v>36</v>
      </c>
      <c r="G760" s="29">
        <v>6.35</v>
      </c>
      <c r="H760" s="71" t="s">
        <v>800</v>
      </c>
      <c r="I760" s="37" t="str">
        <f t="shared" si="6"/>
        <v>https://www.infraeletrocalhas.com.br/conduletes.asp?produto=Condulete-dailet</v>
      </c>
    </row>
    <row r="761" spans="1:9" x14ac:dyDescent="0.25">
      <c r="A761" s="29" t="s">
        <v>12</v>
      </c>
      <c r="B761" s="29" t="s">
        <v>62</v>
      </c>
      <c r="C761" s="29" t="s">
        <v>34</v>
      </c>
      <c r="D761" s="37" t="s">
        <v>1546</v>
      </c>
      <c r="E761" s="29" t="s">
        <v>798</v>
      </c>
      <c r="F761" s="29" t="s">
        <v>36</v>
      </c>
      <c r="G761" s="29">
        <v>4.75</v>
      </c>
      <c r="H761" s="71" t="s">
        <v>800</v>
      </c>
      <c r="I761" s="37" t="str">
        <f t="shared" si="6"/>
        <v>https://www.infraeletrocalhas.com.br/conduletes.asp?produto=Condulete-dailet</v>
      </c>
    </row>
    <row r="762" spans="1:9" x14ac:dyDescent="0.25">
      <c r="A762" s="29" t="s">
        <v>12</v>
      </c>
      <c r="B762" s="29" t="s">
        <v>62</v>
      </c>
      <c r="C762" s="29" t="s">
        <v>34</v>
      </c>
      <c r="D762" s="37" t="s">
        <v>1547</v>
      </c>
      <c r="E762" s="29" t="s">
        <v>798</v>
      </c>
      <c r="F762" s="29" t="s">
        <v>36</v>
      </c>
      <c r="G762" s="29">
        <v>10.35</v>
      </c>
      <c r="H762" s="71" t="s">
        <v>800</v>
      </c>
      <c r="I762" s="37" t="str">
        <f t="shared" si="6"/>
        <v>https://www.infraeletrocalhas.com.br/conduletes.asp?produto=Condulete-dailet</v>
      </c>
    </row>
    <row r="763" spans="1:9" x14ac:dyDescent="0.25">
      <c r="A763" s="29" t="s">
        <v>12</v>
      </c>
      <c r="B763" s="29" t="s">
        <v>62</v>
      </c>
      <c r="C763" s="29" t="s">
        <v>34</v>
      </c>
      <c r="D763" s="37" t="s">
        <v>1548</v>
      </c>
      <c r="E763" s="29" t="s">
        <v>798</v>
      </c>
      <c r="F763" s="29" t="s">
        <v>36</v>
      </c>
      <c r="G763" s="29">
        <v>9.65</v>
      </c>
      <c r="H763" s="71" t="s">
        <v>800</v>
      </c>
      <c r="I763" s="37" t="str">
        <f t="shared" si="6"/>
        <v>https://www.infraeletrocalhas.com.br/conduletes.asp?produto=Condulete-dailet</v>
      </c>
    </row>
    <row r="764" spans="1:9" x14ac:dyDescent="0.25">
      <c r="A764" s="29" t="s">
        <v>12</v>
      </c>
      <c r="B764" s="29" t="s">
        <v>62</v>
      </c>
      <c r="C764" s="29" t="s">
        <v>34</v>
      </c>
      <c r="D764" s="37" t="s">
        <v>2483</v>
      </c>
      <c r="E764" s="29" t="s">
        <v>801</v>
      </c>
      <c r="F764" s="29" t="s">
        <v>36</v>
      </c>
      <c r="G764" s="29">
        <v>3.9</v>
      </c>
      <c r="H764" s="71" t="s">
        <v>800</v>
      </c>
      <c r="I764" s="37" t="str">
        <f t="shared" si="6"/>
        <v>https://www.infraeletrocalhas.com.br/conduletes.asp?produto=Condulete-dailet</v>
      </c>
    </row>
    <row r="765" spans="1:9" x14ac:dyDescent="0.25">
      <c r="A765" s="29" t="s">
        <v>12</v>
      </c>
      <c r="B765" s="29" t="s">
        <v>62</v>
      </c>
      <c r="C765" s="29" t="s">
        <v>34</v>
      </c>
      <c r="D765" s="37" t="s">
        <v>2484</v>
      </c>
      <c r="E765" s="29" t="s">
        <v>801</v>
      </c>
      <c r="F765" s="29" t="s">
        <v>36</v>
      </c>
      <c r="G765" s="29">
        <v>3.9</v>
      </c>
      <c r="H765" s="71" t="s">
        <v>800</v>
      </c>
      <c r="I765" s="37" t="str">
        <f t="shared" si="6"/>
        <v>https://www.infraeletrocalhas.com.br/conduletes.asp?produto=Condulete-dailet</v>
      </c>
    </row>
    <row r="766" spans="1:9" x14ac:dyDescent="0.25">
      <c r="A766" s="29" t="s">
        <v>12</v>
      </c>
      <c r="B766" s="29" t="s">
        <v>62</v>
      </c>
      <c r="C766" s="29" t="s">
        <v>34</v>
      </c>
      <c r="D766" s="37" t="s">
        <v>2485</v>
      </c>
      <c r="E766" s="29" t="s">
        <v>802</v>
      </c>
      <c r="F766" s="29" t="s">
        <v>36</v>
      </c>
      <c r="G766" s="29">
        <v>3.8</v>
      </c>
      <c r="H766" s="71" t="s">
        <v>800</v>
      </c>
      <c r="I766" s="37" t="str">
        <f t="shared" si="6"/>
        <v>https://www.infraeletrocalhas.com.br/conduletes.asp?produto=Condulete-dailet</v>
      </c>
    </row>
    <row r="767" spans="1:9" x14ac:dyDescent="0.25">
      <c r="A767" s="29" t="s">
        <v>12</v>
      </c>
      <c r="B767" s="29" t="s">
        <v>62</v>
      </c>
      <c r="C767" s="29" t="s">
        <v>34</v>
      </c>
      <c r="D767" s="37" t="s">
        <v>1549</v>
      </c>
      <c r="E767" s="29" t="s">
        <v>798</v>
      </c>
      <c r="F767" s="29" t="s">
        <v>36</v>
      </c>
      <c r="G767" s="29">
        <v>4.95</v>
      </c>
      <c r="H767" s="71" t="s">
        <v>800</v>
      </c>
      <c r="I767" s="37" t="str">
        <f t="shared" si="6"/>
        <v>https://www.infraeletrocalhas.com.br/conduletes.asp?produto=Condulete-dailet</v>
      </c>
    </row>
    <row r="768" spans="1:9" x14ac:dyDescent="0.25">
      <c r="A768" s="29" t="s">
        <v>12</v>
      </c>
      <c r="B768" s="29" t="s">
        <v>62</v>
      </c>
      <c r="C768" s="29" t="s">
        <v>34</v>
      </c>
      <c r="D768" s="37" t="s">
        <v>1550</v>
      </c>
      <c r="E768" s="29" t="s">
        <v>798</v>
      </c>
      <c r="F768" s="29" t="s">
        <v>36</v>
      </c>
      <c r="G768" s="29">
        <v>3.95</v>
      </c>
      <c r="H768" s="71" t="s">
        <v>800</v>
      </c>
      <c r="I768" s="37" t="str">
        <f t="shared" si="6"/>
        <v>https://www.infraeletrocalhas.com.br/conduletes.asp?produto=Condulete-dailet</v>
      </c>
    </row>
    <row r="769" spans="1:9" x14ac:dyDescent="0.25">
      <c r="A769" s="29" t="s">
        <v>12</v>
      </c>
      <c r="B769" s="29" t="s">
        <v>62</v>
      </c>
      <c r="C769" s="29" t="s">
        <v>34</v>
      </c>
      <c r="D769" s="37" t="s">
        <v>2486</v>
      </c>
      <c r="E769" s="29" t="s">
        <v>801</v>
      </c>
      <c r="F769" s="29" t="s">
        <v>36</v>
      </c>
      <c r="G769" s="29">
        <v>3.9</v>
      </c>
      <c r="H769" s="71" t="s">
        <v>800</v>
      </c>
      <c r="I769" s="37" t="str">
        <f t="shared" si="6"/>
        <v>https://www.infraeletrocalhas.com.br/conduletes.asp?produto=Condulete-dailet</v>
      </c>
    </row>
    <row r="770" spans="1:9" x14ac:dyDescent="0.25">
      <c r="A770" s="29" t="s">
        <v>12</v>
      </c>
      <c r="B770" s="29" t="s">
        <v>62</v>
      </c>
      <c r="C770" s="29" t="s">
        <v>34</v>
      </c>
      <c r="D770" s="37" t="s">
        <v>2487</v>
      </c>
      <c r="E770" s="29" t="s">
        <v>802</v>
      </c>
      <c r="F770" s="29" t="s">
        <v>36</v>
      </c>
      <c r="G770" s="29">
        <v>3.8</v>
      </c>
      <c r="H770" s="71" t="s">
        <v>800</v>
      </c>
      <c r="I770" s="37" t="str">
        <f t="shared" si="6"/>
        <v>https://www.infraeletrocalhas.com.br/conduletes.asp?produto=Condulete-dailet</v>
      </c>
    </row>
    <row r="771" spans="1:9" x14ac:dyDescent="0.25">
      <c r="A771" s="29" t="s">
        <v>12</v>
      </c>
      <c r="B771" s="29" t="s">
        <v>62</v>
      </c>
      <c r="C771" s="29" t="s">
        <v>34</v>
      </c>
      <c r="D771" s="37" t="s">
        <v>2488</v>
      </c>
      <c r="E771" s="29" t="s">
        <v>798</v>
      </c>
      <c r="F771" s="29" t="s">
        <v>36</v>
      </c>
      <c r="G771" s="29">
        <v>3.9</v>
      </c>
      <c r="H771" s="71" t="s">
        <v>800</v>
      </c>
      <c r="I771" s="37" t="str">
        <f t="shared" si="6"/>
        <v>https://www.infraeletrocalhas.com.br/conduletes.asp?produto=Condulete-dailet</v>
      </c>
    </row>
    <row r="772" spans="1:9" x14ac:dyDescent="0.25">
      <c r="A772" s="29" t="s">
        <v>12</v>
      </c>
      <c r="B772" s="29" t="s">
        <v>62</v>
      </c>
      <c r="C772" s="29">
        <v>39346</v>
      </c>
      <c r="D772" s="37" t="s">
        <v>2489</v>
      </c>
      <c r="E772" s="29" t="s">
        <v>37</v>
      </c>
      <c r="F772" s="29" t="s">
        <v>36</v>
      </c>
      <c r="G772" s="29">
        <v>3.67</v>
      </c>
      <c r="H772" s="71" t="s">
        <v>38</v>
      </c>
      <c r="I772" s="37" t="s">
        <v>207</v>
      </c>
    </row>
    <row r="773" spans="1:9" x14ac:dyDescent="0.25">
      <c r="A773" s="29" t="s">
        <v>12</v>
      </c>
      <c r="B773" s="29" t="s">
        <v>62</v>
      </c>
      <c r="C773" s="29">
        <v>39350</v>
      </c>
      <c r="D773" s="37" t="s">
        <v>2490</v>
      </c>
      <c r="E773" s="29" t="s">
        <v>37</v>
      </c>
      <c r="F773" s="29" t="s">
        <v>36</v>
      </c>
      <c r="G773" s="29">
        <v>3.95</v>
      </c>
      <c r="H773" s="71" t="s">
        <v>38</v>
      </c>
      <c r="I773" s="37" t="s">
        <v>207</v>
      </c>
    </row>
    <row r="774" spans="1:9" x14ac:dyDescent="0.25">
      <c r="A774" s="29" t="s">
        <v>12</v>
      </c>
      <c r="B774" s="29" t="s">
        <v>62</v>
      </c>
      <c r="C774" s="29">
        <v>39351</v>
      </c>
      <c r="D774" s="37" t="s">
        <v>2491</v>
      </c>
      <c r="E774" s="29" t="s">
        <v>37</v>
      </c>
      <c r="F774" s="29" t="s">
        <v>36</v>
      </c>
      <c r="G774" s="29">
        <v>4.57</v>
      </c>
      <c r="H774" s="71" t="s">
        <v>38</v>
      </c>
      <c r="I774" s="37" t="s">
        <v>207</v>
      </c>
    </row>
    <row r="775" spans="1:9" x14ac:dyDescent="0.25">
      <c r="A775" s="29" t="s">
        <v>12</v>
      </c>
      <c r="B775" s="29" t="s">
        <v>62</v>
      </c>
      <c r="C775" s="29">
        <v>39352</v>
      </c>
      <c r="D775" s="37" t="s">
        <v>2492</v>
      </c>
      <c r="E775" s="29" t="s">
        <v>37</v>
      </c>
      <c r="F775" s="29" t="s">
        <v>36</v>
      </c>
      <c r="G775" s="29">
        <v>3.67</v>
      </c>
      <c r="H775" s="71" t="s">
        <v>38</v>
      </c>
      <c r="I775" s="37" t="s">
        <v>207</v>
      </c>
    </row>
    <row r="776" spans="1:9" x14ac:dyDescent="0.25">
      <c r="A776" s="29" t="s">
        <v>12</v>
      </c>
      <c r="B776" s="29" t="s">
        <v>62</v>
      </c>
      <c r="C776" s="29" t="s">
        <v>34</v>
      </c>
      <c r="D776" s="37" t="s">
        <v>2493</v>
      </c>
      <c r="E776" s="29" t="s">
        <v>801</v>
      </c>
      <c r="F776" s="29" t="s">
        <v>36</v>
      </c>
      <c r="G776" s="29">
        <v>3.9</v>
      </c>
      <c r="H776" s="71" t="s">
        <v>800</v>
      </c>
      <c r="I776" s="37" t="str">
        <f t="shared" ref="I776:I792" si="7">"https://www.infraeletrocalhas.com.br/conduletes.asp?produto=Condulete-dailet"</f>
        <v>https://www.infraeletrocalhas.com.br/conduletes.asp?produto=Condulete-dailet</v>
      </c>
    </row>
    <row r="777" spans="1:9" x14ac:dyDescent="0.25">
      <c r="A777" s="29" t="s">
        <v>12</v>
      </c>
      <c r="B777" s="29" t="s">
        <v>62</v>
      </c>
      <c r="C777" s="29" t="s">
        <v>34</v>
      </c>
      <c r="D777" s="37" t="s">
        <v>1551</v>
      </c>
      <c r="E777" s="29" t="s">
        <v>798</v>
      </c>
      <c r="F777" s="29" t="s">
        <v>36</v>
      </c>
      <c r="G777" s="29">
        <v>6.35</v>
      </c>
      <c r="H777" s="71" t="s">
        <v>800</v>
      </c>
      <c r="I777" s="37" t="str">
        <f t="shared" si="7"/>
        <v>https://www.infraeletrocalhas.com.br/conduletes.asp?produto=Condulete-dailet</v>
      </c>
    </row>
    <row r="778" spans="1:9" x14ac:dyDescent="0.25">
      <c r="A778" s="29" t="s">
        <v>12</v>
      </c>
      <c r="B778" s="29" t="s">
        <v>62</v>
      </c>
      <c r="C778" s="29" t="s">
        <v>34</v>
      </c>
      <c r="D778" s="37" t="s">
        <v>1552</v>
      </c>
      <c r="E778" s="29" t="s">
        <v>798</v>
      </c>
      <c r="F778" s="29" t="s">
        <v>36</v>
      </c>
      <c r="G778" s="29">
        <v>4.75</v>
      </c>
      <c r="H778" s="71" t="s">
        <v>800</v>
      </c>
      <c r="I778" s="37" t="str">
        <f t="shared" si="7"/>
        <v>https://www.infraeletrocalhas.com.br/conduletes.asp?produto=Condulete-dailet</v>
      </c>
    </row>
    <row r="779" spans="1:9" x14ac:dyDescent="0.25">
      <c r="A779" s="29" t="s">
        <v>12</v>
      </c>
      <c r="B779" s="29" t="s">
        <v>62</v>
      </c>
      <c r="C779" s="29" t="s">
        <v>34</v>
      </c>
      <c r="D779" s="37" t="s">
        <v>1553</v>
      </c>
      <c r="E779" s="29" t="s">
        <v>798</v>
      </c>
      <c r="F779" s="29" t="s">
        <v>36</v>
      </c>
      <c r="G779" s="29">
        <v>6.35</v>
      </c>
      <c r="H779" s="71" t="s">
        <v>800</v>
      </c>
      <c r="I779" s="37" t="str">
        <f t="shared" si="7"/>
        <v>https://www.infraeletrocalhas.com.br/conduletes.asp?produto=Condulete-dailet</v>
      </c>
    </row>
    <row r="780" spans="1:9" x14ac:dyDescent="0.25">
      <c r="A780" s="29" t="s">
        <v>12</v>
      </c>
      <c r="B780" s="29" t="s">
        <v>62</v>
      </c>
      <c r="C780" s="29" t="s">
        <v>34</v>
      </c>
      <c r="D780" s="37" t="s">
        <v>1554</v>
      </c>
      <c r="E780" s="29" t="s">
        <v>798</v>
      </c>
      <c r="F780" s="29" t="s">
        <v>36</v>
      </c>
      <c r="G780" s="29">
        <v>4.75</v>
      </c>
      <c r="H780" s="71" t="s">
        <v>800</v>
      </c>
      <c r="I780" s="37" t="str">
        <f t="shared" si="7"/>
        <v>https://www.infraeletrocalhas.com.br/conduletes.asp?produto=Condulete-dailet</v>
      </c>
    </row>
    <row r="781" spans="1:9" x14ac:dyDescent="0.25">
      <c r="A781" s="29" t="s">
        <v>12</v>
      </c>
      <c r="B781" s="29" t="s">
        <v>62</v>
      </c>
      <c r="C781" s="29" t="s">
        <v>34</v>
      </c>
      <c r="D781" s="37" t="s">
        <v>2494</v>
      </c>
      <c r="E781" s="29" t="s">
        <v>801</v>
      </c>
      <c r="F781" s="29" t="s">
        <v>36</v>
      </c>
      <c r="G781" s="29">
        <v>3.9</v>
      </c>
      <c r="H781" s="71" t="s">
        <v>800</v>
      </c>
      <c r="I781" s="37" t="str">
        <f t="shared" si="7"/>
        <v>https://www.infraeletrocalhas.com.br/conduletes.asp?produto=Condulete-dailet</v>
      </c>
    </row>
    <row r="782" spans="1:9" x14ac:dyDescent="0.25">
      <c r="A782" s="29" t="s">
        <v>12</v>
      </c>
      <c r="B782" s="29" t="s">
        <v>62</v>
      </c>
      <c r="C782" s="29" t="s">
        <v>34</v>
      </c>
      <c r="D782" s="37" t="s">
        <v>898</v>
      </c>
      <c r="E782" s="29" t="s">
        <v>798</v>
      </c>
      <c r="F782" s="29" t="s">
        <v>36</v>
      </c>
      <c r="G782" s="29">
        <v>22</v>
      </c>
      <c r="H782" s="71" t="s">
        <v>800</v>
      </c>
      <c r="I782" s="37" t="str">
        <f t="shared" si="7"/>
        <v>https://www.infraeletrocalhas.com.br/conduletes.asp?produto=Condulete-dailet</v>
      </c>
    </row>
    <row r="783" spans="1:9" x14ac:dyDescent="0.25">
      <c r="A783" s="29" t="s">
        <v>12</v>
      </c>
      <c r="B783" s="29" t="s">
        <v>62</v>
      </c>
      <c r="C783" s="29" t="s">
        <v>34</v>
      </c>
      <c r="D783" s="37" t="s">
        <v>899</v>
      </c>
      <c r="E783" s="29" t="s">
        <v>798</v>
      </c>
      <c r="F783" s="29" t="s">
        <v>36</v>
      </c>
      <c r="G783" s="29">
        <v>25</v>
      </c>
      <c r="H783" s="71" t="s">
        <v>800</v>
      </c>
      <c r="I783" s="37" t="str">
        <f t="shared" si="7"/>
        <v>https://www.infraeletrocalhas.com.br/conduletes.asp?produto=Condulete-dailet</v>
      </c>
    </row>
    <row r="784" spans="1:9" x14ac:dyDescent="0.25">
      <c r="A784" s="29" t="s">
        <v>12</v>
      </c>
      <c r="B784" s="29" t="s">
        <v>62</v>
      </c>
      <c r="C784" s="29" t="s">
        <v>34</v>
      </c>
      <c r="D784" s="37" t="s">
        <v>900</v>
      </c>
      <c r="E784" s="29" t="s">
        <v>798</v>
      </c>
      <c r="F784" s="29" t="s">
        <v>36</v>
      </c>
      <c r="G784" s="29">
        <v>8.1999999999999993</v>
      </c>
      <c r="H784" s="71" t="s">
        <v>800</v>
      </c>
      <c r="I784" s="37" t="str">
        <f t="shared" si="7"/>
        <v>https://www.infraeletrocalhas.com.br/conduletes.asp?produto=Condulete-dailet</v>
      </c>
    </row>
    <row r="785" spans="1:9" x14ac:dyDescent="0.25">
      <c r="A785" s="29" t="s">
        <v>12</v>
      </c>
      <c r="B785" s="29" t="s">
        <v>62</v>
      </c>
      <c r="C785" s="29" t="s">
        <v>34</v>
      </c>
      <c r="D785" s="37" t="s">
        <v>901</v>
      </c>
      <c r="E785" s="29" t="s">
        <v>798</v>
      </c>
      <c r="F785" s="29" t="s">
        <v>36</v>
      </c>
      <c r="G785" s="29">
        <v>9.4499999999999993</v>
      </c>
      <c r="H785" s="71" t="s">
        <v>800</v>
      </c>
      <c r="I785" s="37" t="str">
        <f t="shared" si="7"/>
        <v>https://www.infraeletrocalhas.com.br/conduletes.asp?produto=Condulete-dailet</v>
      </c>
    </row>
    <row r="786" spans="1:9" x14ac:dyDescent="0.25">
      <c r="A786" s="29" t="s">
        <v>12</v>
      </c>
      <c r="B786" s="29" t="s">
        <v>62</v>
      </c>
      <c r="C786" s="29" t="s">
        <v>34</v>
      </c>
      <c r="D786" s="37" t="s">
        <v>902</v>
      </c>
      <c r="E786" s="29" t="s">
        <v>798</v>
      </c>
      <c r="F786" s="29" t="s">
        <v>36</v>
      </c>
      <c r="G786" s="29">
        <v>22</v>
      </c>
      <c r="H786" s="71" t="s">
        <v>800</v>
      </c>
      <c r="I786" s="37" t="str">
        <f t="shared" si="7"/>
        <v>https://www.infraeletrocalhas.com.br/conduletes.asp?produto=Condulete-dailet</v>
      </c>
    </row>
    <row r="787" spans="1:9" x14ac:dyDescent="0.25">
      <c r="A787" s="29" t="s">
        <v>12</v>
      </c>
      <c r="B787" s="29" t="s">
        <v>62</v>
      </c>
      <c r="C787" s="29" t="s">
        <v>34</v>
      </c>
      <c r="D787" s="37" t="s">
        <v>903</v>
      </c>
      <c r="E787" s="29" t="s">
        <v>798</v>
      </c>
      <c r="F787" s="29" t="s">
        <v>36</v>
      </c>
      <c r="G787" s="29">
        <v>25</v>
      </c>
      <c r="H787" s="71" t="s">
        <v>800</v>
      </c>
      <c r="I787" s="37" t="str">
        <f t="shared" si="7"/>
        <v>https://www.infraeletrocalhas.com.br/conduletes.asp?produto=Condulete-dailet</v>
      </c>
    </row>
    <row r="788" spans="1:9" x14ac:dyDescent="0.25">
      <c r="A788" s="29" t="s">
        <v>12</v>
      </c>
      <c r="B788" s="29" t="s">
        <v>62</v>
      </c>
      <c r="C788" s="29" t="s">
        <v>34</v>
      </c>
      <c r="D788" s="37" t="s">
        <v>904</v>
      </c>
      <c r="E788" s="29" t="s">
        <v>798</v>
      </c>
      <c r="F788" s="29" t="s">
        <v>36</v>
      </c>
      <c r="G788" s="29">
        <v>8.1999999999999993</v>
      </c>
      <c r="H788" s="71" t="s">
        <v>800</v>
      </c>
      <c r="I788" s="37" t="str">
        <f t="shared" si="7"/>
        <v>https://www.infraeletrocalhas.com.br/conduletes.asp?produto=Condulete-dailet</v>
      </c>
    </row>
    <row r="789" spans="1:9" x14ac:dyDescent="0.25">
      <c r="A789" s="29" t="s">
        <v>12</v>
      </c>
      <c r="B789" s="29" t="s">
        <v>62</v>
      </c>
      <c r="C789" s="29" t="s">
        <v>34</v>
      </c>
      <c r="D789" s="37" t="s">
        <v>905</v>
      </c>
      <c r="E789" s="29" t="s">
        <v>798</v>
      </c>
      <c r="F789" s="29" t="s">
        <v>36</v>
      </c>
      <c r="G789" s="29">
        <v>9.4499999999999993</v>
      </c>
      <c r="H789" s="71" t="s">
        <v>800</v>
      </c>
      <c r="I789" s="37" t="str">
        <f t="shared" si="7"/>
        <v>https://www.infraeletrocalhas.com.br/conduletes.asp?produto=Condulete-dailet</v>
      </c>
    </row>
    <row r="790" spans="1:9" x14ac:dyDescent="0.25">
      <c r="A790" s="29" t="s">
        <v>12</v>
      </c>
      <c r="B790" s="29" t="s">
        <v>62</v>
      </c>
      <c r="C790" s="29" t="s">
        <v>34</v>
      </c>
      <c r="D790" s="37" t="s">
        <v>906</v>
      </c>
      <c r="E790" s="29" t="s">
        <v>798</v>
      </c>
      <c r="F790" s="29" t="s">
        <v>36</v>
      </c>
      <c r="G790" s="29">
        <v>25</v>
      </c>
      <c r="H790" s="71" t="s">
        <v>800</v>
      </c>
      <c r="I790" s="37" t="str">
        <f t="shared" si="7"/>
        <v>https://www.infraeletrocalhas.com.br/conduletes.asp?produto=Condulete-dailet</v>
      </c>
    </row>
    <row r="791" spans="1:9" x14ac:dyDescent="0.25">
      <c r="A791" s="29" t="s">
        <v>12</v>
      </c>
      <c r="B791" s="29" t="s">
        <v>62</v>
      </c>
      <c r="C791" s="29" t="s">
        <v>34</v>
      </c>
      <c r="D791" s="37" t="s">
        <v>907</v>
      </c>
      <c r="E791" s="29" t="s">
        <v>798</v>
      </c>
      <c r="F791" s="29" t="s">
        <v>36</v>
      </c>
      <c r="G791" s="29">
        <v>8.1999999999999993</v>
      </c>
      <c r="H791" s="71" t="s">
        <v>800</v>
      </c>
      <c r="I791" s="37" t="str">
        <f t="shared" si="7"/>
        <v>https://www.infraeletrocalhas.com.br/conduletes.asp?produto=Condulete-dailet</v>
      </c>
    </row>
    <row r="792" spans="1:9" x14ac:dyDescent="0.25">
      <c r="A792" s="29" t="s">
        <v>12</v>
      </c>
      <c r="B792" s="29" t="s">
        <v>62</v>
      </c>
      <c r="C792" s="29" t="s">
        <v>34</v>
      </c>
      <c r="D792" s="37" t="s">
        <v>908</v>
      </c>
      <c r="E792" s="29" t="s">
        <v>798</v>
      </c>
      <c r="F792" s="29" t="s">
        <v>36</v>
      </c>
      <c r="G792" s="29">
        <v>9.4499999999999993</v>
      </c>
      <c r="H792" s="71" t="s">
        <v>800</v>
      </c>
      <c r="I792" s="37" t="str">
        <f t="shared" si="7"/>
        <v>https://www.infraeletrocalhas.com.br/conduletes.asp?produto=Condulete-dailet</v>
      </c>
    </row>
    <row r="793" spans="1:9" x14ac:dyDescent="0.25">
      <c r="A793" s="29" t="s">
        <v>12</v>
      </c>
      <c r="B793" s="29" t="s">
        <v>114</v>
      </c>
      <c r="C793" s="29">
        <v>2517</v>
      </c>
      <c r="D793" s="37" t="s">
        <v>1894</v>
      </c>
      <c r="E793" s="29" t="s">
        <v>37</v>
      </c>
      <c r="F793" s="29" t="s">
        <v>36</v>
      </c>
      <c r="G793" s="29">
        <v>25.03</v>
      </c>
      <c r="H793" s="71" t="s">
        <v>38</v>
      </c>
      <c r="I793" s="37" t="s">
        <v>207</v>
      </c>
    </row>
    <row r="794" spans="1:9" x14ac:dyDescent="0.25">
      <c r="A794" s="29" t="s">
        <v>12</v>
      </c>
      <c r="B794" s="29" t="s">
        <v>114</v>
      </c>
      <c r="C794" s="29">
        <v>2522</v>
      </c>
      <c r="D794" s="37" t="s">
        <v>1895</v>
      </c>
      <c r="E794" s="29" t="s">
        <v>37</v>
      </c>
      <c r="F794" s="29" t="s">
        <v>36</v>
      </c>
      <c r="G794" s="29">
        <v>16.170000000000002</v>
      </c>
      <c r="H794" s="71" t="s">
        <v>38</v>
      </c>
      <c r="I794" s="37" t="s">
        <v>207</v>
      </c>
    </row>
    <row r="795" spans="1:9" x14ac:dyDescent="0.25">
      <c r="A795" s="29" t="s">
        <v>12</v>
      </c>
      <c r="B795" s="29" t="s">
        <v>114</v>
      </c>
      <c r="C795" s="29">
        <v>2516</v>
      </c>
      <c r="D795" s="37" t="s">
        <v>1896</v>
      </c>
      <c r="E795" s="29" t="s">
        <v>37</v>
      </c>
      <c r="F795" s="29" t="s">
        <v>36</v>
      </c>
      <c r="G795" s="29">
        <v>12.99</v>
      </c>
      <c r="H795" s="71" t="s">
        <v>38</v>
      </c>
      <c r="I795" s="37" t="s">
        <v>207</v>
      </c>
    </row>
    <row r="796" spans="1:9" x14ac:dyDescent="0.25">
      <c r="A796" s="29" t="s">
        <v>12</v>
      </c>
      <c r="B796" s="29" t="s">
        <v>114</v>
      </c>
      <c r="C796" s="29">
        <v>2548</v>
      </c>
      <c r="D796" s="37" t="s">
        <v>1897</v>
      </c>
      <c r="E796" s="29" t="s">
        <v>37</v>
      </c>
      <c r="F796" s="29" t="s">
        <v>36</v>
      </c>
      <c r="G796" s="29">
        <v>9.9499999999999993</v>
      </c>
      <c r="H796" s="71" t="s">
        <v>38</v>
      </c>
      <c r="I796" s="37" t="s">
        <v>207</v>
      </c>
    </row>
    <row r="797" spans="1:9" x14ac:dyDescent="0.25">
      <c r="A797" s="29" t="s">
        <v>12</v>
      </c>
      <c r="B797" s="29" t="s">
        <v>114</v>
      </c>
      <c r="C797" s="29">
        <v>2518</v>
      </c>
      <c r="D797" s="37" t="s">
        <v>1898</v>
      </c>
      <c r="E797" s="29" t="s">
        <v>37</v>
      </c>
      <c r="F797" s="29" t="s">
        <v>36</v>
      </c>
      <c r="G797" s="29">
        <v>119.13</v>
      </c>
      <c r="H797" s="71" t="s">
        <v>38</v>
      </c>
      <c r="I797" s="37" t="s">
        <v>207</v>
      </c>
    </row>
    <row r="798" spans="1:9" x14ac:dyDescent="0.25">
      <c r="A798" s="29" t="s">
        <v>12</v>
      </c>
      <c r="B798" s="29" t="s">
        <v>114</v>
      </c>
      <c r="C798" s="29">
        <v>2521</v>
      </c>
      <c r="D798" s="37" t="s">
        <v>1899</v>
      </c>
      <c r="E798" s="29" t="s">
        <v>37</v>
      </c>
      <c r="F798" s="29" t="s">
        <v>36</v>
      </c>
      <c r="G798" s="29">
        <v>50.71</v>
      </c>
      <c r="H798" s="71" t="s">
        <v>38</v>
      </c>
      <c r="I798" s="37" t="s">
        <v>207</v>
      </c>
    </row>
    <row r="799" spans="1:9" x14ac:dyDescent="0.25">
      <c r="A799" s="29" t="s">
        <v>12</v>
      </c>
      <c r="B799" s="29" t="s">
        <v>114</v>
      </c>
      <c r="C799" s="29">
        <v>2519</v>
      </c>
      <c r="D799" s="37" t="s">
        <v>1900</v>
      </c>
      <c r="E799" s="29" t="s">
        <v>37</v>
      </c>
      <c r="F799" s="29" t="s">
        <v>36</v>
      </c>
      <c r="G799" s="29">
        <v>143.65</v>
      </c>
      <c r="H799" s="71" t="s">
        <v>38</v>
      </c>
      <c r="I799" s="37" t="s">
        <v>207</v>
      </c>
    </row>
    <row r="800" spans="1:9" x14ac:dyDescent="0.25">
      <c r="A800" s="29" t="s">
        <v>12</v>
      </c>
      <c r="B800" s="29" t="s">
        <v>114</v>
      </c>
      <c r="C800" s="29">
        <v>2515</v>
      </c>
      <c r="D800" s="37" t="s">
        <v>1901</v>
      </c>
      <c r="E800" s="29" t="s">
        <v>37</v>
      </c>
      <c r="F800" s="29" t="s">
        <v>36</v>
      </c>
      <c r="G800" s="29">
        <v>10.81</v>
      </c>
      <c r="H800" s="71" t="s">
        <v>38</v>
      </c>
      <c r="I800" s="37" t="s">
        <v>207</v>
      </c>
    </row>
    <row r="801" spans="1:9" x14ac:dyDescent="0.25">
      <c r="A801" s="29" t="s">
        <v>12</v>
      </c>
      <c r="B801" s="29" t="s">
        <v>114</v>
      </c>
      <c r="C801" s="29">
        <v>2520</v>
      </c>
      <c r="D801" s="37" t="s">
        <v>1902</v>
      </c>
      <c r="E801" s="29" t="s">
        <v>37</v>
      </c>
      <c r="F801" s="29" t="s">
        <v>36</v>
      </c>
      <c r="G801" s="29">
        <v>264.39</v>
      </c>
      <c r="H801" s="71" t="s">
        <v>38</v>
      </c>
      <c r="I801" s="37" t="s">
        <v>207</v>
      </c>
    </row>
    <row r="802" spans="1:9" x14ac:dyDescent="0.25">
      <c r="A802" s="29" t="s">
        <v>12</v>
      </c>
      <c r="B802" s="29" t="s">
        <v>114</v>
      </c>
      <c r="C802" s="29" t="s">
        <v>34</v>
      </c>
      <c r="D802" s="37" t="s">
        <v>3627</v>
      </c>
      <c r="E802" s="29" t="s">
        <v>3626</v>
      </c>
      <c r="F802" s="29" t="s">
        <v>36</v>
      </c>
      <c r="G802" s="29">
        <v>4.29</v>
      </c>
      <c r="H802" s="71" t="s">
        <v>3625</v>
      </c>
      <c r="I802" s="37" t="str">
        <f>"https://www.dimensional.com.br/conector-deriv-2-4awg-cal-cal3838-intelli/p"</f>
        <v>https://www.dimensional.com.br/conector-deriv-2-4awg-cal-cal3838-intelli/p</v>
      </c>
    </row>
    <row r="803" spans="1:9" x14ac:dyDescent="0.25">
      <c r="A803" s="29" t="s">
        <v>12</v>
      </c>
      <c r="B803" s="29" t="s">
        <v>114</v>
      </c>
      <c r="C803" s="29" t="s">
        <v>34</v>
      </c>
      <c r="D803" s="37" t="s">
        <v>3608</v>
      </c>
      <c r="E803" s="29" t="s">
        <v>3607</v>
      </c>
      <c r="F803" s="29" t="s">
        <v>36</v>
      </c>
      <c r="G803" s="29">
        <v>11.69</v>
      </c>
      <c r="H803" s="71" t="s">
        <v>3594</v>
      </c>
      <c r="I803" s="37" t="str">
        <f>"https://www.dimensional.com.br/conector-deriv-8-9-14-3mm-tph-cah-120a70-intelli/p"</f>
        <v>https://www.dimensional.com.br/conector-deriv-8-9-14-3mm-tph-cah-120a70-intelli/p</v>
      </c>
    </row>
    <row r="804" spans="1:9" x14ac:dyDescent="0.25">
      <c r="A804" s="29" t="s">
        <v>12</v>
      </c>
      <c r="B804" s="29" t="s">
        <v>114</v>
      </c>
      <c r="C804" s="29" t="s">
        <v>34</v>
      </c>
      <c r="D804" s="37" t="s">
        <v>3606</v>
      </c>
      <c r="E804" s="29" t="s">
        <v>3605</v>
      </c>
      <c r="F804" s="29" t="s">
        <v>36</v>
      </c>
      <c r="G804" s="29">
        <v>11.99</v>
      </c>
      <c r="H804" s="71" t="s">
        <v>3594</v>
      </c>
      <c r="I804" s="37" t="str">
        <f>"https://www.dimensional.com.br/conector-derivacao-50-a-120-mm2-cah-2194-intelli/p"</f>
        <v>https://www.dimensional.com.br/conector-derivacao-50-a-120-mm2-cah-2194-intelli/p</v>
      </c>
    </row>
    <row r="805" spans="1:9" x14ac:dyDescent="0.25">
      <c r="A805" s="29" t="s">
        <v>12</v>
      </c>
      <c r="B805" s="29" t="s">
        <v>114</v>
      </c>
      <c r="C805" s="29" t="s">
        <v>34</v>
      </c>
      <c r="D805" s="37" t="s">
        <v>3629</v>
      </c>
      <c r="E805" s="29" t="s">
        <v>3628</v>
      </c>
      <c r="F805" s="29" t="s">
        <v>36</v>
      </c>
      <c r="G805" s="29">
        <v>7.19</v>
      </c>
      <c r="H805" s="71" t="s">
        <v>3625</v>
      </c>
      <c r="I805" s="37" t="str">
        <f>"https://www.dimensional.com.br/conector-deriv-25-70mm2-cah-cah7035-intelli/p"</f>
        <v>https://www.dimensional.com.br/conector-deriv-25-70mm2-cah-cah7035-intelli/p</v>
      </c>
    </row>
    <row r="806" spans="1:9" x14ac:dyDescent="0.25">
      <c r="A806" s="29" t="s">
        <v>12</v>
      </c>
      <c r="B806" s="29" t="s">
        <v>114</v>
      </c>
      <c r="C806" s="29" t="s">
        <v>34</v>
      </c>
      <c r="D806" s="37" t="s">
        <v>3610</v>
      </c>
      <c r="E806" s="29" t="s">
        <v>3609</v>
      </c>
      <c r="F806" s="29" t="s">
        <v>36</v>
      </c>
      <c r="G806" s="29">
        <v>19.79</v>
      </c>
      <c r="H806" s="71" t="s">
        <v>3594</v>
      </c>
      <c r="I806" s="37" t="str">
        <f>"https://www.intelli.com.br/produtos/conectores/conectores-compressao/conector-cah"</f>
        <v>https://www.intelli.com.br/produtos/conectores/conectores-compressao/conector-cah</v>
      </c>
    </row>
    <row r="807" spans="1:9" x14ac:dyDescent="0.25">
      <c r="A807" s="29" t="s">
        <v>12</v>
      </c>
      <c r="B807" s="29" t="s">
        <v>114</v>
      </c>
      <c r="C807" s="29" t="s">
        <v>34</v>
      </c>
      <c r="D807" s="37" t="s">
        <v>3639</v>
      </c>
      <c r="E807" s="29" t="s">
        <v>3638</v>
      </c>
      <c r="F807" s="29" t="s">
        <v>36</v>
      </c>
      <c r="G807" s="29">
        <v>5.89</v>
      </c>
      <c r="H807" s="71" t="s">
        <v>3625</v>
      </c>
      <c r="I807" s="37" t="str">
        <f>"https://www.dimensional.com.br/conector-compressao-4-5-8-3mm-cah-cah35a35-intelli/p"</f>
        <v>https://www.dimensional.com.br/conector-compressao-4-5-8-3mm-cah-cah35a35-intelli/p</v>
      </c>
    </row>
    <row r="808" spans="1:9" x14ac:dyDescent="0.25">
      <c r="A808" s="29" t="s">
        <v>12</v>
      </c>
      <c r="B808" s="29" t="s">
        <v>114</v>
      </c>
      <c r="C808" s="29">
        <v>1602</v>
      </c>
      <c r="D808" s="37" t="s">
        <v>2265</v>
      </c>
      <c r="E808" s="29" t="s">
        <v>37</v>
      </c>
      <c r="F808" s="29" t="s">
        <v>36</v>
      </c>
      <c r="G808" s="29">
        <v>48.71</v>
      </c>
      <c r="H808" s="71" t="s">
        <v>38</v>
      </c>
      <c r="I808" s="37" t="s">
        <v>207</v>
      </c>
    </row>
    <row r="809" spans="1:9" x14ac:dyDescent="0.25">
      <c r="A809" s="29" t="s">
        <v>12</v>
      </c>
      <c r="B809" s="29" t="s">
        <v>114</v>
      </c>
      <c r="C809" s="29">
        <v>1601</v>
      </c>
      <c r="D809" s="37" t="s">
        <v>2266</v>
      </c>
      <c r="E809" s="29" t="s">
        <v>37</v>
      </c>
      <c r="F809" s="29" t="s">
        <v>36</v>
      </c>
      <c r="G809" s="29">
        <v>43.41</v>
      </c>
      <c r="H809" s="71" t="s">
        <v>38</v>
      </c>
      <c r="I809" s="37" t="s">
        <v>207</v>
      </c>
    </row>
    <row r="810" spans="1:9" x14ac:dyDescent="0.25">
      <c r="A810" s="29" t="s">
        <v>12</v>
      </c>
      <c r="B810" s="29" t="s">
        <v>114</v>
      </c>
      <c r="C810" s="29">
        <v>1600</v>
      </c>
      <c r="D810" s="37" t="s">
        <v>2267</v>
      </c>
      <c r="E810" s="29" t="s">
        <v>37</v>
      </c>
      <c r="F810" s="29" t="s">
        <v>36</v>
      </c>
      <c r="G810" s="29">
        <v>18.96</v>
      </c>
      <c r="H810" s="71" t="s">
        <v>38</v>
      </c>
      <c r="I810" s="37" t="s">
        <v>207</v>
      </c>
    </row>
    <row r="811" spans="1:9" x14ac:dyDescent="0.25">
      <c r="A811" s="29" t="s">
        <v>12</v>
      </c>
      <c r="B811" s="29" t="s">
        <v>114</v>
      </c>
      <c r="C811" s="29">
        <v>1598</v>
      </c>
      <c r="D811" s="37" t="s">
        <v>2268</v>
      </c>
      <c r="E811" s="29" t="s">
        <v>37</v>
      </c>
      <c r="F811" s="29" t="s">
        <v>36</v>
      </c>
      <c r="G811" s="29">
        <v>12.85</v>
      </c>
      <c r="H811" s="71" t="s">
        <v>38</v>
      </c>
      <c r="I811" s="37" t="s">
        <v>207</v>
      </c>
    </row>
    <row r="812" spans="1:9" x14ac:dyDescent="0.25">
      <c r="A812" s="29" t="s">
        <v>12</v>
      </c>
      <c r="B812" s="29" t="s">
        <v>114</v>
      </c>
      <c r="C812" s="29">
        <v>1603</v>
      </c>
      <c r="D812" s="37" t="s">
        <v>2269</v>
      </c>
      <c r="E812" s="29" t="s">
        <v>37</v>
      </c>
      <c r="F812" s="29" t="s">
        <v>36</v>
      </c>
      <c r="G812" s="29">
        <v>73.540000000000006</v>
      </c>
      <c r="H812" s="71" t="s">
        <v>38</v>
      </c>
      <c r="I812" s="37" t="s">
        <v>207</v>
      </c>
    </row>
    <row r="813" spans="1:9" x14ac:dyDescent="0.25">
      <c r="A813" s="29" t="s">
        <v>12</v>
      </c>
      <c r="B813" s="29" t="s">
        <v>114</v>
      </c>
      <c r="C813" s="29">
        <v>1599</v>
      </c>
      <c r="D813" s="37" t="s">
        <v>2270</v>
      </c>
      <c r="E813" s="29" t="s">
        <v>37</v>
      </c>
      <c r="F813" s="29" t="s">
        <v>36</v>
      </c>
      <c r="G813" s="29">
        <v>14.91</v>
      </c>
      <c r="H813" s="71" t="s">
        <v>38</v>
      </c>
      <c r="I813" s="37" t="s">
        <v>207</v>
      </c>
    </row>
    <row r="814" spans="1:9" x14ac:dyDescent="0.25">
      <c r="A814" s="29" t="s">
        <v>12</v>
      </c>
      <c r="B814" s="29" t="s">
        <v>114</v>
      </c>
      <c r="C814" s="29">
        <v>1597</v>
      </c>
      <c r="D814" s="37" t="s">
        <v>2271</v>
      </c>
      <c r="E814" s="29" t="s">
        <v>37</v>
      </c>
      <c r="F814" s="29" t="s">
        <v>36</v>
      </c>
      <c r="G814" s="29">
        <v>12.08</v>
      </c>
      <c r="H814" s="71" t="s">
        <v>38</v>
      </c>
      <c r="I814" s="37" t="s">
        <v>207</v>
      </c>
    </row>
    <row r="815" spans="1:9" x14ac:dyDescent="0.25">
      <c r="A815" s="29" t="s">
        <v>12</v>
      </c>
      <c r="B815" s="29" t="s">
        <v>114</v>
      </c>
      <c r="C815" s="29" t="s">
        <v>34</v>
      </c>
      <c r="D815" s="37" t="s">
        <v>3663</v>
      </c>
      <c r="E815" s="29" t="s">
        <v>3660</v>
      </c>
      <c r="F815" s="29" t="s">
        <v>36</v>
      </c>
      <c r="G815" s="29">
        <v>14.29</v>
      </c>
      <c r="H815" s="71" t="s">
        <v>3650</v>
      </c>
      <c r="I815" s="37" t="str">
        <f>"https://www.eletrotrafo.com.br/conector-cunha-derivacao-cobre-simetrico-738182-4-cdcr-i-ci-intelli-09990053/p?skuId=12266"</f>
        <v>https://www.eletrotrafo.com.br/conector-cunha-derivacao-cobre-simetrico-738182-4-cdcr-i-ci-intelli-09990053/p?skuId=12266</v>
      </c>
    </row>
    <row r="816" spans="1:9" x14ac:dyDescent="0.25">
      <c r="A816" s="29" t="s">
        <v>12</v>
      </c>
      <c r="B816" s="29" t="s">
        <v>114</v>
      </c>
      <c r="C816" s="29" t="s">
        <v>34</v>
      </c>
      <c r="D816" s="37" t="s">
        <v>3664</v>
      </c>
      <c r="E816" s="29" t="s">
        <v>3661</v>
      </c>
      <c r="F816" s="29" t="s">
        <v>36</v>
      </c>
      <c r="G816" s="29">
        <v>5.35</v>
      </c>
      <c r="H816" s="71" t="s">
        <v>3650</v>
      </c>
      <c r="I816" s="37" t="str">
        <f>"https://www.eletrotrafo.com.br/conector-cunha-derivacao-cobre-simetrico-738180-8-cdcr-iii-vm---intelli/p?skuId=12269"</f>
        <v>https://www.eletrotrafo.com.br/conector-cunha-derivacao-cobre-simetrico-738180-8-cdcr-iii-vm---intelli/p?skuId=12269</v>
      </c>
    </row>
    <row r="817" spans="1:9" x14ac:dyDescent="0.25">
      <c r="A817" s="29" t="s">
        <v>12</v>
      </c>
      <c r="B817" s="29" t="s">
        <v>114</v>
      </c>
      <c r="C817" s="29" t="s">
        <v>34</v>
      </c>
      <c r="D817" s="37" t="s">
        <v>3645</v>
      </c>
      <c r="E817" s="29" t="s">
        <v>3644</v>
      </c>
      <c r="F817" s="29" t="s">
        <v>36</v>
      </c>
      <c r="G817" s="29">
        <v>10.79</v>
      </c>
      <c r="H817" s="71" t="s">
        <v>3625</v>
      </c>
      <c r="I817" s="37" t="str">
        <f>"https://www.dimensional.com.br/conector-deriv-vii-vm-br-tipo-cunha-cdcrviivmb-intelli/p"</f>
        <v>https://www.dimensional.com.br/conector-deriv-vii-vm-br-tipo-cunha-cdcrviivmb-intelli/p</v>
      </c>
    </row>
    <row r="818" spans="1:9" x14ac:dyDescent="0.25">
      <c r="A818" s="29" t="s">
        <v>12</v>
      </c>
      <c r="B818" s="29" t="s">
        <v>114</v>
      </c>
      <c r="C818" s="29" t="s">
        <v>34</v>
      </c>
      <c r="D818" s="37" t="s">
        <v>3665</v>
      </c>
      <c r="E818" s="29" t="s">
        <v>3662</v>
      </c>
      <c r="F818" s="29" t="s">
        <v>36</v>
      </c>
      <c r="G818" s="29">
        <v>15.79</v>
      </c>
      <c r="H818" s="71" t="s">
        <v>3650</v>
      </c>
      <c r="I818" s="37" t="str">
        <f>"https://www.eletrotrafo.com.br/conector-cunha-738188-3-70mm-1-0awg-tp--viii-444385-2-09990144/p?skuId=12273"</f>
        <v>https://www.eletrotrafo.com.br/conector-cunha-738188-3-70mm-1-0awg-tp--viii-444385-2-09990144/p?skuId=12273</v>
      </c>
    </row>
    <row r="819" spans="1:9" x14ac:dyDescent="0.25">
      <c r="A819" s="29" t="s">
        <v>12</v>
      </c>
      <c r="B819" s="29" t="s">
        <v>114</v>
      </c>
      <c r="C819" s="29" t="s">
        <v>34</v>
      </c>
      <c r="D819" s="37" t="s">
        <v>3574</v>
      </c>
      <c r="E819" s="29" t="s">
        <v>3573</v>
      </c>
      <c r="F819" s="29" t="s">
        <v>36</v>
      </c>
      <c r="I819" s="37" t="s">
        <v>37</v>
      </c>
    </row>
    <row r="820" spans="1:9" x14ac:dyDescent="0.25">
      <c r="A820" s="29" t="s">
        <v>12</v>
      </c>
      <c r="B820" s="29" t="s">
        <v>114</v>
      </c>
      <c r="C820" s="29" t="s">
        <v>34</v>
      </c>
      <c r="D820" s="37" t="s">
        <v>3566</v>
      </c>
      <c r="E820" s="29" t="s">
        <v>3565</v>
      </c>
      <c r="F820" s="29" t="s">
        <v>36</v>
      </c>
      <c r="G820" s="29">
        <v>16.690000000000001</v>
      </c>
      <c r="H820" s="71" t="s">
        <v>3452</v>
      </c>
      <c r="I820" s="37" t="str">
        <f>"https://www.dimensional.com.br/conector-derivacao-10-150mm2-cdp-cdp15035---intelli/p"</f>
        <v>https://www.dimensional.com.br/conector-derivacao-10-150mm2-cdp-cdp15035---intelli/p</v>
      </c>
    </row>
    <row r="821" spans="1:9" x14ac:dyDescent="0.25">
      <c r="A821" s="29" t="s">
        <v>12</v>
      </c>
      <c r="B821" s="29" t="s">
        <v>114</v>
      </c>
      <c r="C821" s="29" t="s">
        <v>34</v>
      </c>
      <c r="D821" s="37" t="s">
        <v>3568</v>
      </c>
      <c r="E821" s="29" t="s">
        <v>3567</v>
      </c>
      <c r="F821" s="29" t="s">
        <v>36</v>
      </c>
      <c r="G821" s="29">
        <v>9.89</v>
      </c>
      <c r="H821" s="71" t="s">
        <v>3452</v>
      </c>
      <c r="I821" s="37" t="str">
        <f>"https://www.dimensional.com.br/conector-emenda-fios-cabos-derivacao-cobre-0-6-1kv-10-150mm2-cdp15010-intelli/p"</f>
        <v>https://www.dimensional.com.br/conector-emenda-fios-cabos-derivacao-cobre-0-6-1kv-10-150mm2-cdp15010-intelli/p</v>
      </c>
    </row>
    <row r="822" spans="1:9" x14ac:dyDescent="0.25">
      <c r="A822" s="29" t="s">
        <v>12</v>
      </c>
      <c r="B822" s="29" t="s">
        <v>114</v>
      </c>
      <c r="C822" s="29" t="s">
        <v>34</v>
      </c>
      <c r="D822" s="37" t="s">
        <v>3562</v>
      </c>
      <c r="E822" s="29" t="s">
        <v>3561</v>
      </c>
      <c r="F822" s="29" t="s">
        <v>36</v>
      </c>
      <c r="G822" s="29">
        <v>8.2899999999999991</v>
      </c>
      <c r="H822" s="71" t="s">
        <v>3452</v>
      </c>
      <c r="I822" s="37" t="str">
        <f>"https://www.dimensional.com.br/conector-de-derivacao-perfurante-10-a-95mm-cdp70-intelli/p"</f>
        <v>https://www.dimensional.com.br/conector-de-derivacao-perfurante-10-a-95mm-cdp70-intelli/p</v>
      </c>
    </row>
    <row r="823" spans="1:9" x14ac:dyDescent="0.25">
      <c r="A823" s="29" t="s">
        <v>12</v>
      </c>
      <c r="B823" s="29" t="s">
        <v>114</v>
      </c>
      <c r="C823" s="29" t="s">
        <v>34</v>
      </c>
      <c r="D823" s="37" t="s">
        <v>3576</v>
      </c>
      <c r="E823" s="29" t="s">
        <v>3575</v>
      </c>
      <c r="F823" s="29" t="s">
        <v>36</v>
      </c>
      <c r="I823" s="37" t="s">
        <v>37</v>
      </c>
    </row>
    <row r="824" spans="1:9" x14ac:dyDescent="0.25">
      <c r="A824" s="29" t="s">
        <v>12</v>
      </c>
      <c r="B824" s="29" t="s">
        <v>114</v>
      </c>
      <c r="C824" s="29" t="s">
        <v>34</v>
      </c>
      <c r="D824" s="37" t="s">
        <v>3564</v>
      </c>
      <c r="E824" s="29" t="s">
        <v>3563</v>
      </c>
      <c r="F824" s="29" t="s">
        <v>36</v>
      </c>
      <c r="G824" s="29">
        <v>25.19</v>
      </c>
      <c r="H824" s="71" t="s">
        <v>3452</v>
      </c>
      <c r="I824" s="37" t="str">
        <f>"https://www.dimensional.com.br/conector-derivacao-perfurante-25-a-150-mm2-cdp-cdp120120-intelli/p"</f>
        <v>https://www.dimensional.com.br/conector-derivacao-perfurante-25-a-150-mm2-cdp-cdp120120-intelli/p</v>
      </c>
    </row>
    <row r="825" spans="1:9" x14ac:dyDescent="0.25">
      <c r="A825" s="29" t="s">
        <v>12</v>
      </c>
      <c r="B825" s="29" t="s">
        <v>114</v>
      </c>
      <c r="C825" s="29" t="s">
        <v>34</v>
      </c>
      <c r="D825" s="37" t="s">
        <v>3570</v>
      </c>
      <c r="E825" s="29" t="s">
        <v>3569</v>
      </c>
      <c r="F825" s="29" t="s">
        <v>36</v>
      </c>
      <c r="G825" s="29">
        <v>42.99</v>
      </c>
      <c r="H825" s="71" t="s">
        <v>3452</v>
      </c>
      <c r="I825" s="37" t="str">
        <f>"https://www.dimensional.com.br/conector-derivacao-perf-0-6-1kv-50-a-240mm2-pt-cdp-cdp24024-cdp240240s-intelli/p"</f>
        <v>https://www.dimensional.com.br/conector-derivacao-perf-0-6-1kv-50-a-240mm2-pt-cdp-cdp24024-cdp240240s-intelli/p</v>
      </c>
    </row>
    <row r="826" spans="1:9" x14ac:dyDescent="0.25">
      <c r="A826" s="29" t="s">
        <v>12</v>
      </c>
      <c r="B826" s="29" t="s">
        <v>114</v>
      </c>
      <c r="C826" s="29" t="s">
        <v>34</v>
      </c>
      <c r="D826" s="37" t="s">
        <v>3572</v>
      </c>
      <c r="E826" s="29" t="s">
        <v>3571</v>
      </c>
      <c r="F826" s="29" t="s">
        <v>36</v>
      </c>
      <c r="G826" s="29">
        <v>76.489999999999995</v>
      </c>
      <c r="H826" s="71" t="s">
        <v>3452</v>
      </c>
      <c r="I826" s="37" t="str">
        <f>"https://www.dimensional.com.br/conector-deriv-0-6-1kv-70-240mm2-pt-cdp-cdp240240-intelli/p"</f>
        <v>https://www.dimensional.com.br/conector-deriv-0-6-1kv-70-240mm2-pt-cdp-cdp240240-intelli/p</v>
      </c>
    </row>
    <row r="827" spans="1:9" x14ac:dyDescent="0.25">
      <c r="A827" s="29" t="s">
        <v>12</v>
      </c>
      <c r="B827" s="29" t="s">
        <v>114</v>
      </c>
      <c r="C827" s="29" t="s">
        <v>34</v>
      </c>
      <c r="D827" s="37" t="s">
        <v>3671</v>
      </c>
      <c r="E827" s="29" t="s">
        <v>3668</v>
      </c>
      <c r="F827" s="29" t="s">
        <v>36</v>
      </c>
      <c r="G827" s="29">
        <v>9.3800000000000008</v>
      </c>
      <c r="H827" s="71" t="s">
        <v>3650</v>
      </c>
      <c r="I827" s="37" t="str">
        <f>"https://www.eletrotrafo.com.br/conector-cunha-assimetrico-738183-2-02-35x25-6mm-a-688652-1-cdc-a-vi-intelli-09990133/p?skuId=11207"</f>
        <v>https://www.eletrotrafo.com.br/conector-cunha-assimetrico-738183-2-02-35x25-6mm-a-688652-1-cdc-a-vi-intelli-09990133/p?skuId=11207</v>
      </c>
    </row>
    <row r="828" spans="1:9" x14ac:dyDescent="0.25">
      <c r="A828" s="29" t="s">
        <v>12</v>
      </c>
      <c r="B828" s="29" t="s">
        <v>114</v>
      </c>
      <c r="C828" s="29" t="s">
        <v>34</v>
      </c>
      <c r="D828" s="37" t="s">
        <v>3672</v>
      </c>
      <c r="E828" s="29" t="s">
        <v>3669</v>
      </c>
      <c r="F828" s="29" t="s">
        <v>36</v>
      </c>
      <c r="G828" s="29">
        <v>10.39</v>
      </c>
      <c r="H828" s="71" t="s">
        <v>3650</v>
      </c>
      <c r="I828" s="37" t="str">
        <f>"https://www.eletrotrafo.com.br/conector-cunha-assimetrico-738184-0-2-0-1-0x6-16-25mm-688357-1-cdc-c-ma-intelli-09990134/p?skuId=11208"</f>
        <v>https://www.eletrotrafo.com.br/conector-cunha-assimetrico-738184-0-2-0-1-0x6-16-25mm-688357-1-cdc-c-ma-intelli-09990134/p?skuId=11208</v>
      </c>
    </row>
    <row r="829" spans="1:9" x14ac:dyDescent="0.25">
      <c r="A829" s="29" t="s">
        <v>12</v>
      </c>
      <c r="B829" s="29" t="s">
        <v>114</v>
      </c>
      <c r="C829" s="29" t="s">
        <v>34</v>
      </c>
      <c r="D829" s="37" t="s">
        <v>3655</v>
      </c>
      <c r="E829" s="29" t="s">
        <v>3654</v>
      </c>
      <c r="F829" s="29" t="s">
        <v>36</v>
      </c>
      <c r="G829" s="29">
        <v>11.51</v>
      </c>
      <c r="H829" s="71" t="s">
        <v>3650</v>
      </c>
      <c r="I829" s="37" t="str">
        <f>"https://www.eletrotrafo.com.br/conector-cunha-cobre-assimetrico-2-0-70x16mm-cdc-d-br-738185-9-intelli-09990139/p?skuId=17748"</f>
        <v>https://www.eletrotrafo.com.br/conector-cunha-cobre-assimetrico-2-0-70x16mm-cdc-d-br-738185-9-intelli-09990139/p?skuId=17748</v>
      </c>
    </row>
    <row r="830" spans="1:9" x14ac:dyDescent="0.25">
      <c r="A830" s="29" t="s">
        <v>12</v>
      </c>
      <c r="B830" s="29" t="s">
        <v>114</v>
      </c>
      <c r="C830" s="29" t="s">
        <v>34</v>
      </c>
      <c r="D830" s="37" t="s">
        <v>3673</v>
      </c>
      <c r="E830" s="29" t="s">
        <v>3670</v>
      </c>
      <c r="F830" s="29" t="s">
        <v>36</v>
      </c>
      <c r="G830" s="29">
        <v>7.29</v>
      </c>
      <c r="H830" s="71" t="s">
        <v>3650</v>
      </c>
      <c r="I830" s="37" t="str">
        <f>"https://www.eletrotrafo.com.br/conector-cunha-derivacao-cobre-assimetrico-738191-3-cdc-l-ciaz-intelli-09990057/p?skuId=4480"</f>
        <v>https://www.eletrotrafo.com.br/conector-cunha-derivacao-cobre-assimetrico-738191-3-cdc-l-ciaz-intelli-09990057/p?skuId=4480</v>
      </c>
    </row>
    <row r="831" spans="1:9" x14ac:dyDescent="0.25">
      <c r="A831" s="29" t="s">
        <v>12</v>
      </c>
      <c r="B831" s="29" t="s">
        <v>114</v>
      </c>
      <c r="C831" s="29">
        <v>39602</v>
      </c>
      <c r="D831" s="37" t="s">
        <v>2107</v>
      </c>
      <c r="E831" s="29" t="s">
        <v>54</v>
      </c>
      <c r="F831" s="29" t="s">
        <v>36</v>
      </c>
      <c r="G831" s="29">
        <v>1.97</v>
      </c>
      <c r="H831" s="71" t="s">
        <v>38</v>
      </c>
      <c r="I831" s="37" t="s">
        <v>207</v>
      </c>
    </row>
    <row r="832" spans="1:9" x14ac:dyDescent="0.25">
      <c r="A832" s="29" t="s">
        <v>12</v>
      </c>
      <c r="B832" s="29" t="s">
        <v>114</v>
      </c>
      <c r="C832" s="29">
        <v>39603</v>
      </c>
      <c r="D832" s="37" t="s">
        <v>909</v>
      </c>
      <c r="E832" s="29" t="s">
        <v>37</v>
      </c>
      <c r="F832" s="29" t="s">
        <v>36</v>
      </c>
      <c r="G832" s="29">
        <v>4.2</v>
      </c>
      <c r="H832" s="71" t="s">
        <v>38</v>
      </c>
      <c r="I832" s="37" t="s">
        <v>207</v>
      </c>
    </row>
    <row r="833" spans="1:9" x14ac:dyDescent="0.25">
      <c r="A833" s="29" t="s">
        <v>12</v>
      </c>
      <c r="B833" s="29" t="s">
        <v>114</v>
      </c>
      <c r="C833" s="29">
        <v>11821</v>
      </c>
      <c r="D833" s="37" t="s">
        <v>1555</v>
      </c>
      <c r="E833" s="29" t="s">
        <v>37</v>
      </c>
      <c r="F833" s="29" t="s">
        <v>36</v>
      </c>
      <c r="G833" s="29">
        <v>9.92</v>
      </c>
      <c r="H833" s="71" t="s">
        <v>38</v>
      </c>
      <c r="I833" s="37" t="s">
        <v>207</v>
      </c>
    </row>
    <row r="834" spans="1:9" x14ac:dyDescent="0.25">
      <c r="A834" s="29" t="s">
        <v>12</v>
      </c>
      <c r="B834" s="29" t="s">
        <v>114</v>
      </c>
      <c r="C834" s="29">
        <v>1562</v>
      </c>
      <c r="D834" s="37" t="s">
        <v>1556</v>
      </c>
      <c r="E834" s="29" t="s">
        <v>37</v>
      </c>
      <c r="F834" s="29" t="s">
        <v>36</v>
      </c>
      <c r="G834" s="29">
        <v>16.25</v>
      </c>
      <c r="H834" s="71" t="s">
        <v>38</v>
      </c>
      <c r="I834" s="37" t="s">
        <v>207</v>
      </c>
    </row>
    <row r="835" spans="1:9" x14ac:dyDescent="0.25">
      <c r="A835" s="29" t="s">
        <v>12</v>
      </c>
      <c r="B835" s="29" t="s">
        <v>114</v>
      </c>
      <c r="C835" s="29">
        <v>1563</v>
      </c>
      <c r="D835" s="37" t="s">
        <v>1557</v>
      </c>
      <c r="E835" s="29" t="s">
        <v>37</v>
      </c>
      <c r="F835" s="29" t="s">
        <v>36</v>
      </c>
      <c r="G835" s="29">
        <v>21.8</v>
      </c>
      <c r="H835" s="71" t="s">
        <v>38</v>
      </c>
      <c r="I835" s="37" t="s">
        <v>207</v>
      </c>
    </row>
    <row r="836" spans="1:9" x14ac:dyDescent="0.25">
      <c r="A836" s="29" t="s">
        <v>12</v>
      </c>
      <c r="B836" s="29" t="s">
        <v>114</v>
      </c>
      <c r="C836" s="29">
        <v>11856</v>
      </c>
      <c r="D836" s="37" t="s">
        <v>1177</v>
      </c>
      <c r="E836" s="29" t="s">
        <v>37</v>
      </c>
      <c r="F836" s="29" t="s">
        <v>36</v>
      </c>
      <c r="G836" s="29">
        <v>6.5</v>
      </c>
      <c r="H836" s="71" t="s">
        <v>38</v>
      </c>
      <c r="I836" s="37" t="s">
        <v>207</v>
      </c>
    </row>
    <row r="837" spans="1:9" x14ac:dyDescent="0.25">
      <c r="A837" s="29" t="s">
        <v>12</v>
      </c>
      <c r="B837" s="29" t="s">
        <v>114</v>
      </c>
      <c r="C837" s="29">
        <v>11857</v>
      </c>
      <c r="D837" s="37" t="s">
        <v>1178</v>
      </c>
      <c r="E837" s="29" t="s">
        <v>37</v>
      </c>
      <c r="F837" s="29" t="s">
        <v>36</v>
      </c>
      <c r="G837" s="29">
        <v>34.21</v>
      </c>
      <c r="H837" s="71" t="s">
        <v>38</v>
      </c>
      <c r="I837" s="37" t="s">
        <v>207</v>
      </c>
    </row>
    <row r="838" spans="1:9" x14ac:dyDescent="0.25">
      <c r="A838" s="29" t="s">
        <v>12</v>
      </c>
      <c r="B838" s="29" t="s">
        <v>114</v>
      </c>
      <c r="C838" s="29">
        <v>11858</v>
      </c>
      <c r="D838" s="37" t="s">
        <v>1179</v>
      </c>
      <c r="E838" s="29" t="s">
        <v>37</v>
      </c>
      <c r="F838" s="29" t="s">
        <v>36</v>
      </c>
      <c r="G838" s="29">
        <v>42.46</v>
      </c>
      <c r="H838" s="71" t="s">
        <v>38</v>
      </c>
      <c r="I838" s="37" t="s">
        <v>207</v>
      </c>
    </row>
    <row r="839" spans="1:9" x14ac:dyDescent="0.25">
      <c r="A839" s="29" t="s">
        <v>12</v>
      </c>
      <c r="B839" s="29" t="s">
        <v>114</v>
      </c>
      <c r="C839" s="29">
        <v>1539</v>
      </c>
      <c r="D839" s="37" t="s">
        <v>1180</v>
      </c>
      <c r="E839" s="29" t="s">
        <v>37</v>
      </c>
      <c r="F839" s="29" t="s">
        <v>36</v>
      </c>
      <c r="G839" s="29">
        <v>7.64</v>
      </c>
      <c r="H839" s="71" t="s">
        <v>38</v>
      </c>
      <c r="I839" s="37" t="s">
        <v>207</v>
      </c>
    </row>
    <row r="840" spans="1:9" x14ac:dyDescent="0.25">
      <c r="A840" s="29" t="s">
        <v>12</v>
      </c>
      <c r="B840" s="29" t="s">
        <v>114</v>
      </c>
      <c r="C840" s="29">
        <v>11859</v>
      </c>
      <c r="D840" s="37" t="s">
        <v>1181</v>
      </c>
      <c r="E840" s="29" t="s">
        <v>37</v>
      </c>
      <c r="F840" s="29" t="s">
        <v>36</v>
      </c>
      <c r="G840" s="29">
        <v>57.76</v>
      </c>
      <c r="H840" s="71" t="s">
        <v>38</v>
      </c>
      <c r="I840" s="37" t="s">
        <v>207</v>
      </c>
    </row>
    <row r="841" spans="1:9" x14ac:dyDescent="0.25">
      <c r="A841" s="29" t="s">
        <v>12</v>
      </c>
      <c r="B841" s="29" t="s">
        <v>114</v>
      </c>
      <c r="C841" s="29">
        <v>1550</v>
      </c>
      <c r="D841" s="37" t="s">
        <v>1182</v>
      </c>
      <c r="E841" s="29" t="s">
        <v>37</v>
      </c>
      <c r="F841" s="29" t="s">
        <v>36</v>
      </c>
      <c r="G841" s="29">
        <v>8.06</v>
      </c>
      <c r="H841" s="71" t="s">
        <v>38</v>
      </c>
      <c r="I841" s="37" t="s">
        <v>207</v>
      </c>
    </row>
    <row r="842" spans="1:9" x14ac:dyDescent="0.25">
      <c r="A842" s="29" t="s">
        <v>12</v>
      </c>
      <c r="B842" s="29" t="s">
        <v>114</v>
      </c>
      <c r="C842" s="29">
        <v>11854</v>
      </c>
      <c r="D842" s="37" t="s">
        <v>1183</v>
      </c>
      <c r="E842" s="29" t="s">
        <v>37</v>
      </c>
      <c r="F842" s="29" t="s">
        <v>36</v>
      </c>
      <c r="G842" s="29">
        <v>10.07</v>
      </c>
      <c r="H842" s="71" t="s">
        <v>38</v>
      </c>
      <c r="I842" s="37" t="s">
        <v>207</v>
      </c>
    </row>
    <row r="843" spans="1:9" x14ac:dyDescent="0.25">
      <c r="A843" s="29" t="s">
        <v>12</v>
      </c>
      <c r="B843" s="29" t="s">
        <v>114</v>
      </c>
      <c r="C843" s="29">
        <v>11862</v>
      </c>
      <c r="D843" s="37" t="s">
        <v>1184</v>
      </c>
      <c r="E843" s="29" t="s">
        <v>37</v>
      </c>
      <c r="F843" s="29" t="s">
        <v>36</v>
      </c>
      <c r="G843" s="29">
        <v>14.12</v>
      </c>
      <c r="H843" s="71" t="s">
        <v>38</v>
      </c>
      <c r="I843" s="37" t="s">
        <v>207</v>
      </c>
    </row>
    <row r="844" spans="1:9" x14ac:dyDescent="0.25">
      <c r="A844" s="29" t="s">
        <v>12</v>
      </c>
      <c r="B844" s="29" t="s">
        <v>114</v>
      </c>
      <c r="C844" s="29">
        <v>11863</v>
      </c>
      <c r="D844" s="37" t="s">
        <v>1185</v>
      </c>
      <c r="E844" s="29" t="s">
        <v>37</v>
      </c>
      <c r="F844" s="29" t="s">
        <v>36</v>
      </c>
      <c r="G844" s="29">
        <v>5.7</v>
      </c>
      <c r="H844" s="71" t="s">
        <v>38</v>
      </c>
      <c r="I844" s="37" t="s">
        <v>207</v>
      </c>
    </row>
    <row r="845" spans="1:9" x14ac:dyDescent="0.25">
      <c r="A845" s="29" t="s">
        <v>12</v>
      </c>
      <c r="B845" s="29" t="s">
        <v>114</v>
      </c>
      <c r="C845" s="29">
        <v>11855</v>
      </c>
      <c r="D845" s="37" t="s">
        <v>1186</v>
      </c>
      <c r="E845" s="29" t="s">
        <v>37</v>
      </c>
      <c r="F845" s="29" t="s">
        <v>36</v>
      </c>
      <c r="G845" s="29">
        <v>21.08</v>
      </c>
      <c r="H845" s="71" t="s">
        <v>38</v>
      </c>
      <c r="I845" s="37" t="s">
        <v>207</v>
      </c>
    </row>
    <row r="846" spans="1:9" x14ac:dyDescent="0.25">
      <c r="A846" s="29" t="s">
        <v>12</v>
      </c>
      <c r="B846" s="29" t="s">
        <v>114</v>
      </c>
      <c r="C846" s="29">
        <v>11864</v>
      </c>
      <c r="D846" s="37" t="s">
        <v>1187</v>
      </c>
      <c r="E846" s="29" t="s">
        <v>37</v>
      </c>
      <c r="F846" s="29" t="s">
        <v>36</v>
      </c>
      <c r="G846" s="29">
        <v>31.87</v>
      </c>
      <c r="H846" s="71" t="s">
        <v>38</v>
      </c>
      <c r="I846" s="37" t="s">
        <v>207</v>
      </c>
    </row>
    <row r="847" spans="1:9" x14ac:dyDescent="0.25">
      <c r="A847" s="29" t="s">
        <v>12</v>
      </c>
      <c r="B847" s="29" t="s">
        <v>114</v>
      </c>
      <c r="C847" s="29" t="s">
        <v>34</v>
      </c>
      <c r="D847" s="37" t="s">
        <v>910</v>
      </c>
      <c r="E847" s="29" t="s">
        <v>101</v>
      </c>
      <c r="F847" s="29" t="s">
        <v>36</v>
      </c>
      <c r="G847" s="72"/>
      <c r="I847" s="37" t="s">
        <v>37</v>
      </c>
    </row>
    <row r="848" spans="1:9" x14ac:dyDescent="0.25">
      <c r="A848" s="29" t="s">
        <v>12</v>
      </c>
      <c r="B848" s="29" t="s">
        <v>114</v>
      </c>
      <c r="C848" s="29">
        <v>2527</v>
      </c>
      <c r="D848" s="37" t="s">
        <v>1903</v>
      </c>
      <c r="E848" s="29" t="s">
        <v>37</v>
      </c>
      <c r="F848" s="29" t="s">
        <v>36</v>
      </c>
      <c r="G848" s="29">
        <v>8.9600000000000009</v>
      </c>
      <c r="H848" s="71" t="s">
        <v>38</v>
      </c>
      <c r="I848" s="37" t="s">
        <v>207</v>
      </c>
    </row>
    <row r="849" spans="1:9" x14ac:dyDescent="0.25">
      <c r="A849" s="29" t="s">
        <v>12</v>
      </c>
      <c r="B849" s="29" t="s">
        <v>114</v>
      </c>
      <c r="C849" s="29">
        <v>2526</v>
      </c>
      <c r="D849" s="37" t="s">
        <v>1904</v>
      </c>
      <c r="E849" s="29" t="s">
        <v>37</v>
      </c>
      <c r="F849" s="29" t="s">
        <v>36</v>
      </c>
      <c r="G849" s="29">
        <v>5.74</v>
      </c>
      <c r="H849" s="71" t="s">
        <v>38</v>
      </c>
      <c r="I849" s="37" t="s">
        <v>207</v>
      </c>
    </row>
    <row r="850" spans="1:9" x14ac:dyDescent="0.25">
      <c r="A850" s="29" t="s">
        <v>12</v>
      </c>
      <c r="B850" s="29" t="s">
        <v>114</v>
      </c>
      <c r="C850" s="29">
        <v>2483</v>
      </c>
      <c r="D850" s="37" t="s">
        <v>1905</v>
      </c>
      <c r="E850" s="29" t="s">
        <v>37</v>
      </c>
      <c r="F850" s="29" t="s">
        <v>36</v>
      </c>
      <c r="G850" s="29">
        <v>4.08</v>
      </c>
      <c r="H850" s="71" t="s">
        <v>38</v>
      </c>
      <c r="I850" s="37" t="s">
        <v>207</v>
      </c>
    </row>
    <row r="851" spans="1:9" x14ac:dyDescent="0.25">
      <c r="A851" s="29" t="s">
        <v>12</v>
      </c>
      <c r="B851" s="29" t="s">
        <v>114</v>
      </c>
      <c r="C851" s="29">
        <v>2487</v>
      </c>
      <c r="D851" s="37" t="s">
        <v>1906</v>
      </c>
      <c r="E851" s="29" t="s">
        <v>37</v>
      </c>
      <c r="F851" s="29" t="s">
        <v>36</v>
      </c>
      <c r="G851" s="29">
        <v>1.96</v>
      </c>
      <c r="H851" s="71" t="s">
        <v>38</v>
      </c>
      <c r="I851" s="37" t="s">
        <v>207</v>
      </c>
    </row>
    <row r="852" spans="1:9" x14ac:dyDescent="0.25">
      <c r="A852" s="29" t="s">
        <v>12</v>
      </c>
      <c r="B852" s="29" t="s">
        <v>114</v>
      </c>
      <c r="C852" s="29">
        <v>2528</v>
      </c>
      <c r="D852" s="37" t="s">
        <v>1907</v>
      </c>
      <c r="E852" s="29" t="s">
        <v>37</v>
      </c>
      <c r="F852" s="29" t="s">
        <v>36</v>
      </c>
      <c r="G852" s="29">
        <v>22.54</v>
      </c>
      <c r="H852" s="71" t="s">
        <v>38</v>
      </c>
      <c r="I852" s="37" t="s">
        <v>207</v>
      </c>
    </row>
    <row r="853" spans="1:9" x14ac:dyDescent="0.25">
      <c r="A853" s="29" t="s">
        <v>12</v>
      </c>
      <c r="B853" s="29" t="s">
        <v>114</v>
      </c>
      <c r="C853" s="29">
        <v>2489</v>
      </c>
      <c r="D853" s="37" t="s">
        <v>1908</v>
      </c>
      <c r="E853" s="29" t="s">
        <v>37</v>
      </c>
      <c r="F853" s="29" t="s">
        <v>36</v>
      </c>
      <c r="G853" s="29">
        <v>9.93</v>
      </c>
      <c r="H853" s="71" t="s">
        <v>38</v>
      </c>
      <c r="I853" s="37" t="s">
        <v>207</v>
      </c>
    </row>
    <row r="854" spans="1:9" x14ac:dyDescent="0.25">
      <c r="A854" s="29" t="s">
        <v>12</v>
      </c>
      <c r="B854" s="29" t="s">
        <v>114</v>
      </c>
      <c r="C854" s="29">
        <v>2484</v>
      </c>
      <c r="D854" s="37" t="s">
        <v>1909</v>
      </c>
      <c r="E854" s="29" t="s">
        <v>37</v>
      </c>
      <c r="F854" s="29" t="s">
        <v>36</v>
      </c>
      <c r="G854" s="29">
        <v>32.74</v>
      </c>
      <c r="H854" s="71" t="s">
        <v>38</v>
      </c>
      <c r="I854" s="37" t="s">
        <v>207</v>
      </c>
    </row>
    <row r="855" spans="1:9" x14ac:dyDescent="0.25">
      <c r="A855" s="29" t="s">
        <v>12</v>
      </c>
      <c r="B855" s="29" t="s">
        <v>114</v>
      </c>
      <c r="C855" s="29">
        <v>2488</v>
      </c>
      <c r="D855" s="37" t="s">
        <v>1910</v>
      </c>
      <c r="E855" s="29" t="s">
        <v>37</v>
      </c>
      <c r="F855" s="29" t="s">
        <v>36</v>
      </c>
      <c r="G855" s="29">
        <v>2.29</v>
      </c>
      <c r="H855" s="71" t="s">
        <v>38</v>
      </c>
      <c r="I855" s="37" t="s">
        <v>207</v>
      </c>
    </row>
    <row r="856" spans="1:9" x14ac:dyDescent="0.25">
      <c r="A856" s="29" t="s">
        <v>12</v>
      </c>
      <c r="B856" s="29" t="s">
        <v>114</v>
      </c>
      <c r="C856" s="29">
        <v>2485</v>
      </c>
      <c r="D856" s="37" t="s">
        <v>1911</v>
      </c>
      <c r="E856" s="29" t="s">
        <v>37</v>
      </c>
      <c r="F856" s="29" t="s">
        <v>36</v>
      </c>
      <c r="G856" s="29">
        <v>51.32</v>
      </c>
      <c r="H856" s="71" t="s">
        <v>38</v>
      </c>
      <c r="I856" s="37" t="s">
        <v>207</v>
      </c>
    </row>
    <row r="857" spans="1:9" x14ac:dyDescent="0.25">
      <c r="A857" s="29" t="s">
        <v>12</v>
      </c>
      <c r="B857" s="29" t="s">
        <v>114</v>
      </c>
      <c r="C857" s="29" t="s">
        <v>34</v>
      </c>
      <c r="D857" s="37" t="s">
        <v>3647</v>
      </c>
      <c r="E857" s="29" t="s">
        <v>3646</v>
      </c>
      <c r="F857" s="29" t="s">
        <v>36</v>
      </c>
      <c r="G857" s="29">
        <v>7.49</v>
      </c>
      <c r="H857" s="71" t="s">
        <v>3625</v>
      </c>
      <c r="I857" s="37" t="str">
        <f>"https://www.dimensional.com.br/conector-deriv-4-a-6-mm2-vm-tipo-cunha-cadc105-intelli/p"</f>
        <v>https://www.dimensional.com.br/conector-deriv-4-a-6-mm2-vm-tipo-cunha-cadc105-intelli/p</v>
      </c>
    </row>
    <row r="858" spans="1:9" x14ac:dyDescent="0.25">
      <c r="A858" s="29" t="s">
        <v>12</v>
      </c>
      <c r="B858" s="29" t="s">
        <v>114</v>
      </c>
      <c r="C858" s="29" t="s">
        <v>34</v>
      </c>
      <c r="D858" s="37" t="s">
        <v>3649</v>
      </c>
      <c r="E858" s="29" t="s">
        <v>3648</v>
      </c>
      <c r="F858" s="29" t="s">
        <v>36</v>
      </c>
      <c r="G858" s="29">
        <v>7.99</v>
      </c>
      <c r="H858" s="71" t="s">
        <v>3625</v>
      </c>
      <c r="I858" s="37" t="str">
        <f>"https://www.dimensional.com.br/conector-deriv-2-4awg-vm-tipo-cunha-cadc103-intelli/p"</f>
        <v>https://www.dimensional.com.br/conector-deriv-2-4awg-vm-tipo-cunha-cadc103-intelli/p</v>
      </c>
    </row>
    <row r="859" spans="1:9" x14ac:dyDescent="0.25">
      <c r="A859" s="29" t="s">
        <v>12</v>
      </c>
      <c r="B859" s="29" t="s">
        <v>114</v>
      </c>
      <c r="C859" s="29" t="s">
        <v>34</v>
      </c>
      <c r="D859" s="37" t="s">
        <v>3659</v>
      </c>
      <c r="E859" s="29" t="s">
        <v>3658</v>
      </c>
      <c r="F859" s="29" t="s">
        <v>36</v>
      </c>
      <c r="G859" s="29">
        <v>23.69</v>
      </c>
      <c r="H859" s="71" t="s">
        <v>3650</v>
      </c>
      <c r="I859" s="37" t="str">
        <f>"https://www.eletrotrafo.com.br/conector-cunha-derivacao-738199-9-2-0x2-0-4-0-x1-0-600458-0-cadc-208-intelli-09990132/p?skuId=11206"</f>
        <v>https://www.eletrotrafo.com.br/conector-cunha-derivacao-738199-9-2-0x2-0-4-0-x1-0-600458-0-cadc-208-intelli-09990132/p?skuId=11206</v>
      </c>
    </row>
    <row r="860" spans="1:9" x14ac:dyDescent="0.25">
      <c r="A860" s="29" t="s">
        <v>12</v>
      </c>
      <c r="B860" s="29" t="s">
        <v>114</v>
      </c>
      <c r="C860" s="29" t="s">
        <v>34</v>
      </c>
      <c r="D860" s="37" t="s">
        <v>3657</v>
      </c>
      <c r="E860" s="29" t="s">
        <v>3656</v>
      </c>
      <c r="F860" s="29" t="s">
        <v>36</v>
      </c>
      <c r="G860" s="29">
        <v>19.93</v>
      </c>
      <c r="H860" s="71" t="s">
        <v>3650</v>
      </c>
      <c r="I860" s="37" t="str">
        <f>"https://www.eletrotrafo.com.br/conector-cunha-de-aluminio-p--4-0x4-0-d--3-0x4-0-cadc-211-intelli-02010136/p?skuId=16333"</f>
        <v>https://www.eletrotrafo.com.br/conector-cunha-de-aluminio-p--4-0x4-0-d--3-0x4-0-cadc-211-intelli-02010136/p?skuId=16333</v>
      </c>
    </row>
    <row r="861" spans="1:9" x14ac:dyDescent="0.25">
      <c r="A861" s="29" t="s">
        <v>12</v>
      </c>
      <c r="B861" s="29" t="s">
        <v>114</v>
      </c>
      <c r="C861" s="29" t="s">
        <v>34</v>
      </c>
      <c r="D861" s="37" t="s">
        <v>3643</v>
      </c>
      <c r="E861" s="29" t="s">
        <v>3642</v>
      </c>
      <c r="F861" s="29" t="s">
        <v>36</v>
      </c>
      <c r="G861" s="29">
        <v>9.49</v>
      </c>
      <c r="H861" s="71" t="s">
        <v>3625</v>
      </c>
      <c r="I861" s="37" t="str">
        <f>"https://www.dimensional.com.br/conector-deriv-6awg-vm-tipo-cunha-cadc104-intelli/p"</f>
        <v>https://www.dimensional.com.br/conector-deriv-6awg-vm-tipo-cunha-cadc104-intelli/p</v>
      </c>
    </row>
    <row r="862" spans="1:9" x14ac:dyDescent="0.25">
      <c r="A862" s="29" t="s">
        <v>12</v>
      </c>
      <c r="B862" s="29" t="s">
        <v>114</v>
      </c>
      <c r="C862" s="29" t="s">
        <v>34</v>
      </c>
      <c r="D862" s="37" t="s">
        <v>3653</v>
      </c>
      <c r="E862" s="29" t="s">
        <v>3593</v>
      </c>
      <c r="F862" s="29" t="s">
        <v>36</v>
      </c>
      <c r="G862" s="29">
        <v>33.29</v>
      </c>
      <c r="H862" s="71" t="s">
        <v>3452</v>
      </c>
      <c r="I862" s="37" t="str">
        <f>"https://www.dimensional.com.br/conector-deriv-2-4awg-vm-estribo-caen103-intelli/p"</f>
        <v>https://www.dimensional.com.br/conector-deriv-2-4awg-vm-estribo-caen103-intelli/p</v>
      </c>
    </row>
    <row r="863" spans="1:9" x14ac:dyDescent="0.25">
      <c r="A863" s="29" t="s">
        <v>12</v>
      </c>
      <c r="B863" s="29" t="s">
        <v>114</v>
      </c>
      <c r="C863" s="29" t="s">
        <v>34</v>
      </c>
      <c r="D863" s="37" t="s">
        <v>3667</v>
      </c>
      <c r="E863" s="29" t="s">
        <v>3666</v>
      </c>
      <c r="F863" s="29" t="s">
        <v>36</v>
      </c>
      <c r="G863" s="29">
        <v>14.99</v>
      </c>
      <c r="H863" s="71" t="s">
        <v>3650</v>
      </c>
      <c r="I863" s="37" t="str">
        <f>"https://www.eletrotrafo.com.br/conector-estribo-c-cunha-aluminio-6awg-caen-105---intelli/p?skuId=4476"</f>
        <v>https://www.eletrotrafo.com.br/conector-estribo-c-cunha-aluminio-6awg-caen-105---intelli/p?skuId=4476</v>
      </c>
    </row>
    <row r="864" spans="1:9" x14ac:dyDescent="0.25">
      <c r="A864" s="29" t="s">
        <v>12</v>
      </c>
      <c r="B864" s="29" t="s">
        <v>114</v>
      </c>
      <c r="C864" s="29" t="s">
        <v>34</v>
      </c>
      <c r="D864" s="37" t="s">
        <v>3589</v>
      </c>
      <c r="E864" s="29" t="s">
        <v>3587</v>
      </c>
      <c r="F864" s="29" t="s">
        <v>36</v>
      </c>
      <c r="I864" s="37" t="s">
        <v>37</v>
      </c>
    </row>
    <row r="865" spans="1:9" x14ac:dyDescent="0.25">
      <c r="A865" s="29" t="s">
        <v>12</v>
      </c>
      <c r="B865" s="29" t="s">
        <v>114</v>
      </c>
      <c r="C865" s="29" t="s">
        <v>34</v>
      </c>
      <c r="D865" s="37" t="s">
        <v>3592</v>
      </c>
      <c r="E865" s="29" t="s">
        <v>3584</v>
      </c>
      <c r="F865" s="29" t="s">
        <v>36</v>
      </c>
      <c r="G865" s="29">
        <v>24.29</v>
      </c>
      <c r="H865" s="71" t="s">
        <v>3452</v>
      </c>
      <c r="I865" s="37" t="str">
        <f>"https://www.dimensional.com.br/alca-p-conector-estribo-acb-35-2345-intelli/p"</f>
        <v>https://www.dimensional.com.br/alca-p-conector-estribo-acb-35-2345-intelli/p</v>
      </c>
    </row>
    <row r="866" spans="1:9" x14ac:dyDescent="0.25">
      <c r="A866" s="29" t="s">
        <v>12</v>
      </c>
      <c r="B866" s="29" t="s">
        <v>114</v>
      </c>
      <c r="C866" s="29" t="s">
        <v>34</v>
      </c>
      <c r="D866" s="37" t="s">
        <v>3590</v>
      </c>
      <c r="E866" s="29" t="s">
        <v>3586</v>
      </c>
      <c r="F866" s="29" t="s">
        <v>36</v>
      </c>
      <c r="I866" s="37" t="s">
        <v>37</v>
      </c>
    </row>
    <row r="867" spans="1:9" x14ac:dyDescent="0.25">
      <c r="A867" s="29" t="s">
        <v>12</v>
      </c>
      <c r="B867" s="29" t="s">
        <v>114</v>
      </c>
      <c r="C867" s="29" t="s">
        <v>34</v>
      </c>
      <c r="D867" s="37" t="s">
        <v>3591</v>
      </c>
      <c r="E867" s="29" t="s">
        <v>3585</v>
      </c>
      <c r="F867" s="29" t="s">
        <v>36</v>
      </c>
      <c r="G867" s="29">
        <v>26.99</v>
      </c>
      <c r="H867" s="71" t="s">
        <v>3452</v>
      </c>
      <c r="I867" s="37" t="str">
        <f>"https://www.dimensional.com.br/alca-p-conector-estribo-acb-38-e-7397-intelli/p"</f>
        <v>https://www.dimensional.com.br/alca-p-conector-estribo-acb-38-e-7397-intelli/p</v>
      </c>
    </row>
    <row r="868" spans="1:9" x14ac:dyDescent="0.25">
      <c r="A868" s="29" t="s">
        <v>12</v>
      </c>
      <c r="B868" s="29" t="s">
        <v>114</v>
      </c>
      <c r="C868" s="29" t="s">
        <v>34</v>
      </c>
      <c r="D868" s="37" t="s">
        <v>3588</v>
      </c>
      <c r="E868" s="29" t="s">
        <v>3583</v>
      </c>
      <c r="F868" s="29" t="s">
        <v>36</v>
      </c>
      <c r="G868" s="29">
        <v>21.59</v>
      </c>
      <c r="H868" s="71" t="s">
        <v>3452</v>
      </c>
      <c r="I868" s="37" t="str">
        <f>"https://www.dimensional.com.br/alca-p-conector-estribo-ach-35-7396-intelli/p"</f>
        <v>https://www.dimensional.com.br/alca-p-conector-estribo-ach-35-7396-intelli/p</v>
      </c>
    </row>
    <row r="869" spans="1:9" x14ac:dyDescent="0.25">
      <c r="A869" s="29" t="s">
        <v>12</v>
      </c>
      <c r="B869" s="29" t="s">
        <v>114</v>
      </c>
      <c r="C869" s="29" t="s">
        <v>34</v>
      </c>
      <c r="D869" s="37" t="s">
        <v>3075</v>
      </c>
      <c r="E869" s="29" t="s">
        <v>37</v>
      </c>
      <c r="F869" s="29" t="s">
        <v>36</v>
      </c>
      <c r="G869" s="29">
        <v>722</v>
      </c>
      <c r="H869" s="71" t="s">
        <v>800</v>
      </c>
      <c r="I869" s="37" t="str">
        <f>"https://www.lojacentraleletrica.com.br/busca&amp;nome=tubo-termo-retr%c3%81til"</f>
        <v>https://www.lojacentraleletrica.com.br/busca&amp;nome=tubo-termo-retr%c3%81til</v>
      </c>
    </row>
    <row r="870" spans="1:9" x14ac:dyDescent="0.25">
      <c r="A870" s="29" t="s">
        <v>12</v>
      </c>
      <c r="B870" s="29" t="s">
        <v>114</v>
      </c>
      <c r="C870" s="29" t="s">
        <v>34</v>
      </c>
      <c r="D870" s="37" t="s">
        <v>3076</v>
      </c>
      <c r="E870" s="29" t="s">
        <v>37</v>
      </c>
      <c r="F870" s="29" t="s">
        <v>36</v>
      </c>
      <c r="I870" s="37" t="s">
        <v>37</v>
      </c>
    </row>
    <row r="871" spans="1:9" x14ac:dyDescent="0.25">
      <c r="A871" s="29" t="s">
        <v>12</v>
      </c>
      <c r="B871" s="29" t="s">
        <v>114</v>
      </c>
      <c r="C871" s="29" t="s">
        <v>34</v>
      </c>
      <c r="D871" s="37" t="s">
        <v>3077</v>
      </c>
      <c r="E871" s="29" t="s">
        <v>37</v>
      </c>
      <c r="F871" s="29" t="s">
        <v>36</v>
      </c>
      <c r="I871" s="37" t="s">
        <v>37</v>
      </c>
    </row>
    <row r="872" spans="1:9" x14ac:dyDescent="0.25">
      <c r="A872" s="29" t="s">
        <v>12</v>
      </c>
      <c r="B872" s="29" t="s">
        <v>114</v>
      </c>
      <c r="C872" s="29" t="s">
        <v>34</v>
      </c>
      <c r="D872" s="37" t="s">
        <v>3078</v>
      </c>
      <c r="E872" s="29" t="s">
        <v>37</v>
      </c>
      <c r="F872" s="29" t="s">
        <v>36</v>
      </c>
      <c r="G872" s="29">
        <v>380</v>
      </c>
      <c r="H872" s="71" t="s">
        <v>800</v>
      </c>
      <c r="I872" s="37" t="str">
        <f>"https://www.saravati.com.br/tubo-termo-retratil-espaguete-2-5mm-preto.html"</f>
        <v>https://www.saravati.com.br/tubo-termo-retratil-espaguete-2-5mm-preto.html</v>
      </c>
    </row>
    <row r="873" spans="1:9" x14ac:dyDescent="0.25">
      <c r="A873" s="29" t="s">
        <v>12</v>
      </c>
      <c r="B873" s="29" t="s">
        <v>75</v>
      </c>
      <c r="C873" s="29" t="s">
        <v>34</v>
      </c>
      <c r="D873" s="37" t="s">
        <v>911</v>
      </c>
      <c r="E873" s="29" t="s">
        <v>798</v>
      </c>
      <c r="F873" s="29" t="s">
        <v>36</v>
      </c>
      <c r="G873" s="29">
        <v>301.2</v>
      </c>
      <c r="H873" s="71" t="s">
        <v>793</v>
      </c>
      <c r="I873" s="37" t="str">
        <f t="shared" ref="I873:I899" si="8">"https://www.infraeletrocalhas.com.br/disjuntores.asp?produto=disjuntores-e-quadros"</f>
        <v>https://www.infraeletrocalhas.com.br/disjuntores.asp?produto=disjuntores-e-quadros</v>
      </c>
    </row>
    <row r="874" spans="1:9" x14ac:dyDescent="0.25">
      <c r="A874" s="29" t="s">
        <v>12</v>
      </c>
      <c r="B874" s="29" t="s">
        <v>75</v>
      </c>
      <c r="C874" s="29" t="s">
        <v>34</v>
      </c>
      <c r="D874" s="37" t="s">
        <v>912</v>
      </c>
      <c r="E874" s="29" t="s">
        <v>798</v>
      </c>
      <c r="F874" s="29" t="s">
        <v>36</v>
      </c>
      <c r="G874" s="29">
        <v>373.65</v>
      </c>
      <c r="H874" s="71" t="s">
        <v>793</v>
      </c>
      <c r="I874" s="37" t="str">
        <f t="shared" si="8"/>
        <v>https://www.infraeletrocalhas.com.br/disjuntores.asp?produto=disjuntores-e-quadros</v>
      </c>
    </row>
    <row r="875" spans="1:9" x14ac:dyDescent="0.25">
      <c r="A875" s="29" t="s">
        <v>12</v>
      </c>
      <c r="B875" s="29" t="s">
        <v>75</v>
      </c>
      <c r="C875" s="29" t="s">
        <v>34</v>
      </c>
      <c r="D875" s="37" t="s">
        <v>913</v>
      </c>
      <c r="E875" s="29" t="s">
        <v>798</v>
      </c>
      <c r="F875" s="29" t="s">
        <v>36</v>
      </c>
      <c r="G875" s="29">
        <v>373.65</v>
      </c>
      <c r="H875" s="71" t="s">
        <v>793</v>
      </c>
      <c r="I875" s="37" t="str">
        <f t="shared" si="8"/>
        <v>https://www.infraeletrocalhas.com.br/disjuntores.asp?produto=disjuntores-e-quadros</v>
      </c>
    </row>
    <row r="876" spans="1:9" x14ac:dyDescent="0.25">
      <c r="A876" s="29" t="s">
        <v>12</v>
      </c>
      <c r="B876" s="29" t="s">
        <v>75</v>
      </c>
      <c r="C876" s="29" t="s">
        <v>34</v>
      </c>
      <c r="D876" s="37" t="s">
        <v>914</v>
      </c>
      <c r="E876" s="29" t="s">
        <v>798</v>
      </c>
      <c r="F876" s="29" t="s">
        <v>36</v>
      </c>
      <c r="G876" s="29">
        <v>435.1</v>
      </c>
      <c r="H876" s="71" t="s">
        <v>793</v>
      </c>
      <c r="I876" s="37" t="str">
        <f t="shared" si="8"/>
        <v>https://www.infraeletrocalhas.com.br/disjuntores.asp?produto=disjuntores-e-quadros</v>
      </c>
    </row>
    <row r="877" spans="1:9" x14ac:dyDescent="0.25">
      <c r="A877" s="29" t="s">
        <v>12</v>
      </c>
      <c r="B877" s="29" t="s">
        <v>75</v>
      </c>
      <c r="C877" s="29" t="s">
        <v>34</v>
      </c>
      <c r="D877" s="37" t="s">
        <v>915</v>
      </c>
      <c r="E877" s="29" t="s">
        <v>798</v>
      </c>
      <c r="F877" s="29" t="s">
        <v>36</v>
      </c>
      <c r="G877" s="29">
        <v>32.5</v>
      </c>
      <c r="H877" s="71" t="s">
        <v>793</v>
      </c>
      <c r="I877" s="37" t="str">
        <f t="shared" si="8"/>
        <v>https://www.infraeletrocalhas.com.br/disjuntores.asp?produto=disjuntores-e-quadros</v>
      </c>
    </row>
    <row r="878" spans="1:9" x14ac:dyDescent="0.25">
      <c r="A878" s="29" t="s">
        <v>12</v>
      </c>
      <c r="B878" s="29" t="s">
        <v>75</v>
      </c>
      <c r="C878" s="29" t="s">
        <v>34</v>
      </c>
      <c r="D878" s="37" t="s">
        <v>916</v>
      </c>
      <c r="E878" s="29" t="s">
        <v>798</v>
      </c>
      <c r="F878" s="29" t="s">
        <v>36</v>
      </c>
      <c r="G878" s="29">
        <v>32.5</v>
      </c>
      <c r="H878" s="71" t="s">
        <v>793</v>
      </c>
      <c r="I878" s="37" t="str">
        <f t="shared" si="8"/>
        <v>https://www.infraeletrocalhas.com.br/disjuntores.asp?produto=disjuntores-e-quadros</v>
      </c>
    </row>
    <row r="879" spans="1:9" x14ac:dyDescent="0.25">
      <c r="A879" s="29" t="s">
        <v>12</v>
      </c>
      <c r="B879" s="29" t="s">
        <v>75</v>
      </c>
      <c r="C879" s="29" t="s">
        <v>34</v>
      </c>
      <c r="D879" s="37" t="s">
        <v>917</v>
      </c>
      <c r="E879" s="29" t="s">
        <v>798</v>
      </c>
      <c r="F879" s="29" t="s">
        <v>36</v>
      </c>
      <c r="G879" s="29">
        <v>32.5</v>
      </c>
      <c r="H879" s="71" t="s">
        <v>793</v>
      </c>
      <c r="I879" s="37" t="str">
        <f t="shared" si="8"/>
        <v>https://www.infraeletrocalhas.com.br/disjuntores.asp?produto=disjuntores-e-quadros</v>
      </c>
    </row>
    <row r="880" spans="1:9" x14ac:dyDescent="0.25">
      <c r="A880" s="29" t="s">
        <v>12</v>
      </c>
      <c r="B880" s="29" t="s">
        <v>75</v>
      </c>
      <c r="C880" s="29" t="s">
        <v>34</v>
      </c>
      <c r="D880" s="37" t="s">
        <v>918</v>
      </c>
      <c r="E880" s="29" t="s">
        <v>798</v>
      </c>
      <c r="F880" s="29" t="s">
        <v>36</v>
      </c>
      <c r="G880" s="29">
        <v>32.5</v>
      </c>
      <c r="H880" s="71" t="s">
        <v>793</v>
      </c>
      <c r="I880" s="37" t="str">
        <f t="shared" si="8"/>
        <v>https://www.infraeletrocalhas.com.br/disjuntores.asp?produto=disjuntores-e-quadros</v>
      </c>
    </row>
    <row r="881" spans="1:9" x14ac:dyDescent="0.25">
      <c r="A881" s="29" t="s">
        <v>12</v>
      </c>
      <c r="B881" s="29" t="s">
        <v>75</v>
      </c>
      <c r="C881" s="29" t="s">
        <v>34</v>
      </c>
      <c r="D881" s="37" t="s">
        <v>919</v>
      </c>
      <c r="E881" s="29" t="s">
        <v>798</v>
      </c>
      <c r="F881" s="29" t="s">
        <v>36</v>
      </c>
      <c r="G881" s="29">
        <v>32.5</v>
      </c>
      <c r="H881" s="71" t="s">
        <v>793</v>
      </c>
      <c r="I881" s="37" t="str">
        <f t="shared" si="8"/>
        <v>https://www.infraeletrocalhas.com.br/disjuntores.asp?produto=disjuntores-e-quadros</v>
      </c>
    </row>
    <row r="882" spans="1:9" x14ac:dyDescent="0.25">
      <c r="A882" s="29" t="s">
        <v>12</v>
      </c>
      <c r="B882" s="29" t="s">
        <v>75</v>
      </c>
      <c r="C882" s="29" t="s">
        <v>34</v>
      </c>
      <c r="D882" s="37" t="s">
        <v>920</v>
      </c>
      <c r="E882" s="29" t="s">
        <v>798</v>
      </c>
      <c r="F882" s="29" t="s">
        <v>36</v>
      </c>
      <c r="G882" s="29">
        <v>32.5</v>
      </c>
      <c r="H882" s="71" t="s">
        <v>793</v>
      </c>
      <c r="I882" s="37" t="str">
        <f t="shared" si="8"/>
        <v>https://www.infraeletrocalhas.com.br/disjuntores.asp?produto=disjuntores-e-quadros</v>
      </c>
    </row>
    <row r="883" spans="1:9" x14ac:dyDescent="0.25">
      <c r="A883" s="29" t="s">
        <v>12</v>
      </c>
      <c r="B883" s="29" t="s">
        <v>75</v>
      </c>
      <c r="C883" s="29" t="s">
        <v>34</v>
      </c>
      <c r="D883" s="37" t="s">
        <v>921</v>
      </c>
      <c r="E883" s="29" t="s">
        <v>798</v>
      </c>
      <c r="F883" s="29" t="s">
        <v>36</v>
      </c>
      <c r="G883" s="29">
        <v>56.5</v>
      </c>
      <c r="H883" s="71" t="s">
        <v>793</v>
      </c>
      <c r="I883" s="37" t="str">
        <f t="shared" si="8"/>
        <v>https://www.infraeletrocalhas.com.br/disjuntores.asp?produto=disjuntores-e-quadros</v>
      </c>
    </row>
    <row r="884" spans="1:9" x14ac:dyDescent="0.25">
      <c r="A884" s="29" t="s">
        <v>12</v>
      </c>
      <c r="B884" s="29" t="s">
        <v>75</v>
      </c>
      <c r="C884" s="29" t="s">
        <v>34</v>
      </c>
      <c r="D884" s="37" t="s">
        <v>922</v>
      </c>
      <c r="E884" s="29" t="s">
        <v>798</v>
      </c>
      <c r="F884" s="29" t="s">
        <v>36</v>
      </c>
      <c r="G884" s="29">
        <v>9.9499999999999993</v>
      </c>
      <c r="H884" s="71" t="s">
        <v>793</v>
      </c>
      <c r="I884" s="37" t="str">
        <f t="shared" si="8"/>
        <v>https://www.infraeletrocalhas.com.br/disjuntores.asp?produto=disjuntores-e-quadros</v>
      </c>
    </row>
    <row r="885" spans="1:9" x14ac:dyDescent="0.25">
      <c r="A885" s="29" t="s">
        <v>12</v>
      </c>
      <c r="B885" s="29" t="s">
        <v>75</v>
      </c>
      <c r="C885" s="29" t="s">
        <v>34</v>
      </c>
      <c r="D885" s="37" t="s">
        <v>923</v>
      </c>
      <c r="E885" s="29" t="s">
        <v>798</v>
      </c>
      <c r="F885" s="29" t="s">
        <v>36</v>
      </c>
      <c r="G885" s="29">
        <v>9.9499999999999993</v>
      </c>
      <c r="H885" s="71" t="s">
        <v>793</v>
      </c>
      <c r="I885" s="37" t="str">
        <f t="shared" si="8"/>
        <v>https://www.infraeletrocalhas.com.br/disjuntores.asp?produto=disjuntores-e-quadros</v>
      </c>
    </row>
    <row r="886" spans="1:9" x14ac:dyDescent="0.25">
      <c r="A886" s="29" t="s">
        <v>12</v>
      </c>
      <c r="B886" s="29" t="s">
        <v>75</v>
      </c>
      <c r="C886" s="29" t="s">
        <v>34</v>
      </c>
      <c r="D886" s="37" t="s">
        <v>924</v>
      </c>
      <c r="E886" s="29" t="s">
        <v>798</v>
      </c>
      <c r="F886" s="29" t="s">
        <v>36</v>
      </c>
      <c r="G886" s="29">
        <v>9.9499999999999993</v>
      </c>
      <c r="H886" s="71" t="s">
        <v>793</v>
      </c>
      <c r="I886" s="37" t="str">
        <f t="shared" si="8"/>
        <v>https://www.infraeletrocalhas.com.br/disjuntores.asp?produto=disjuntores-e-quadros</v>
      </c>
    </row>
    <row r="887" spans="1:9" x14ac:dyDescent="0.25">
      <c r="A887" s="29" t="s">
        <v>12</v>
      </c>
      <c r="B887" s="29" t="s">
        <v>75</v>
      </c>
      <c r="C887" s="29" t="s">
        <v>34</v>
      </c>
      <c r="D887" s="37" t="s">
        <v>925</v>
      </c>
      <c r="E887" s="29" t="s">
        <v>798</v>
      </c>
      <c r="F887" s="29" t="s">
        <v>36</v>
      </c>
      <c r="G887" s="29">
        <v>9.9499999999999993</v>
      </c>
      <c r="H887" s="71" t="s">
        <v>793</v>
      </c>
      <c r="I887" s="37" t="str">
        <f t="shared" si="8"/>
        <v>https://www.infraeletrocalhas.com.br/disjuntores.asp?produto=disjuntores-e-quadros</v>
      </c>
    </row>
    <row r="888" spans="1:9" x14ac:dyDescent="0.25">
      <c r="A888" s="29" t="s">
        <v>12</v>
      </c>
      <c r="B888" s="29" t="s">
        <v>75</v>
      </c>
      <c r="C888" s="29" t="s">
        <v>34</v>
      </c>
      <c r="D888" s="37" t="s">
        <v>926</v>
      </c>
      <c r="E888" s="29" t="s">
        <v>798</v>
      </c>
      <c r="F888" s="29" t="s">
        <v>36</v>
      </c>
      <c r="G888" s="29">
        <v>9.9499999999999993</v>
      </c>
      <c r="H888" s="71" t="s">
        <v>793</v>
      </c>
      <c r="I888" s="37" t="str">
        <f t="shared" si="8"/>
        <v>https://www.infraeletrocalhas.com.br/disjuntores.asp?produto=disjuntores-e-quadros</v>
      </c>
    </row>
    <row r="889" spans="1:9" x14ac:dyDescent="0.25">
      <c r="A889" s="29" t="s">
        <v>12</v>
      </c>
      <c r="B889" s="29" t="s">
        <v>75</v>
      </c>
      <c r="C889" s="29" t="s">
        <v>34</v>
      </c>
      <c r="D889" s="37" t="s">
        <v>927</v>
      </c>
      <c r="E889" s="29" t="s">
        <v>798</v>
      </c>
      <c r="F889" s="29" t="s">
        <v>36</v>
      </c>
      <c r="G889" s="29">
        <v>24.75</v>
      </c>
      <c r="H889" s="71" t="s">
        <v>793</v>
      </c>
      <c r="I889" s="37" t="str">
        <f t="shared" si="8"/>
        <v>https://www.infraeletrocalhas.com.br/disjuntores.asp?produto=disjuntores-e-quadros</v>
      </c>
    </row>
    <row r="890" spans="1:9" x14ac:dyDescent="0.25">
      <c r="A890" s="29" t="s">
        <v>12</v>
      </c>
      <c r="B890" s="29" t="s">
        <v>75</v>
      </c>
      <c r="C890" s="29" t="s">
        <v>34</v>
      </c>
      <c r="D890" s="37" t="s">
        <v>928</v>
      </c>
      <c r="E890" s="29" t="s">
        <v>798</v>
      </c>
      <c r="F890" s="29" t="s">
        <v>36</v>
      </c>
      <c r="G890" s="29">
        <v>165.15</v>
      </c>
      <c r="H890" s="71" t="s">
        <v>793</v>
      </c>
      <c r="I890" s="37" t="str">
        <f t="shared" si="8"/>
        <v>https://www.infraeletrocalhas.com.br/disjuntores.asp?produto=disjuntores-e-quadros</v>
      </c>
    </row>
    <row r="891" spans="1:9" x14ac:dyDescent="0.25">
      <c r="A891" s="29" t="s">
        <v>12</v>
      </c>
      <c r="B891" s="29" t="s">
        <v>75</v>
      </c>
      <c r="C891" s="29" t="s">
        <v>34</v>
      </c>
      <c r="D891" s="37" t="s">
        <v>929</v>
      </c>
      <c r="E891" s="29" t="s">
        <v>798</v>
      </c>
      <c r="F891" s="29" t="s">
        <v>36</v>
      </c>
      <c r="G891" s="29">
        <v>46.65</v>
      </c>
      <c r="H891" s="71" t="s">
        <v>793</v>
      </c>
      <c r="I891" s="37" t="str">
        <f t="shared" si="8"/>
        <v>https://www.infraeletrocalhas.com.br/disjuntores.asp?produto=disjuntores-e-quadros</v>
      </c>
    </row>
    <row r="892" spans="1:9" x14ac:dyDescent="0.25">
      <c r="A892" s="29" t="s">
        <v>12</v>
      </c>
      <c r="B892" s="29" t="s">
        <v>75</v>
      </c>
      <c r="C892" s="29" t="s">
        <v>34</v>
      </c>
      <c r="D892" s="37" t="s">
        <v>930</v>
      </c>
      <c r="E892" s="29" t="s">
        <v>798</v>
      </c>
      <c r="F892" s="29" t="s">
        <v>36</v>
      </c>
      <c r="G892" s="29">
        <v>46.65</v>
      </c>
      <c r="H892" s="71" t="s">
        <v>793</v>
      </c>
      <c r="I892" s="37" t="str">
        <f t="shared" si="8"/>
        <v>https://www.infraeletrocalhas.com.br/disjuntores.asp?produto=disjuntores-e-quadros</v>
      </c>
    </row>
    <row r="893" spans="1:9" x14ac:dyDescent="0.25">
      <c r="A893" s="29" t="s">
        <v>12</v>
      </c>
      <c r="B893" s="29" t="s">
        <v>75</v>
      </c>
      <c r="C893" s="29" t="s">
        <v>34</v>
      </c>
      <c r="D893" s="37" t="s">
        <v>931</v>
      </c>
      <c r="E893" s="29" t="s">
        <v>798</v>
      </c>
      <c r="F893" s="29" t="s">
        <v>36</v>
      </c>
      <c r="G893" s="29">
        <v>46.65</v>
      </c>
      <c r="H893" s="71" t="s">
        <v>793</v>
      </c>
      <c r="I893" s="37" t="str">
        <f t="shared" si="8"/>
        <v>https://www.infraeletrocalhas.com.br/disjuntores.asp?produto=disjuntores-e-quadros</v>
      </c>
    </row>
    <row r="894" spans="1:9" x14ac:dyDescent="0.25">
      <c r="A894" s="29" t="s">
        <v>12</v>
      </c>
      <c r="B894" s="29" t="s">
        <v>75</v>
      </c>
      <c r="C894" s="29" t="s">
        <v>34</v>
      </c>
      <c r="D894" s="37" t="s">
        <v>932</v>
      </c>
      <c r="E894" s="29" t="s">
        <v>798</v>
      </c>
      <c r="F894" s="29" t="s">
        <v>36</v>
      </c>
      <c r="G894" s="29">
        <v>46.65</v>
      </c>
      <c r="H894" s="71" t="s">
        <v>793</v>
      </c>
      <c r="I894" s="37" t="str">
        <f t="shared" si="8"/>
        <v>https://www.infraeletrocalhas.com.br/disjuntores.asp?produto=disjuntores-e-quadros</v>
      </c>
    </row>
    <row r="895" spans="1:9" x14ac:dyDescent="0.25">
      <c r="A895" s="29" t="s">
        <v>12</v>
      </c>
      <c r="B895" s="29" t="s">
        <v>75</v>
      </c>
      <c r="C895" s="29" t="s">
        <v>34</v>
      </c>
      <c r="D895" s="37" t="s">
        <v>933</v>
      </c>
      <c r="E895" s="29" t="s">
        <v>798</v>
      </c>
      <c r="F895" s="29" t="s">
        <v>36</v>
      </c>
      <c r="G895" s="29">
        <v>46.65</v>
      </c>
      <c r="H895" s="71" t="s">
        <v>793</v>
      </c>
      <c r="I895" s="37" t="str">
        <f t="shared" si="8"/>
        <v>https://www.infraeletrocalhas.com.br/disjuntores.asp?produto=disjuntores-e-quadros</v>
      </c>
    </row>
    <row r="896" spans="1:9" x14ac:dyDescent="0.25">
      <c r="A896" s="29" t="s">
        <v>12</v>
      </c>
      <c r="B896" s="29" t="s">
        <v>75</v>
      </c>
      <c r="C896" s="29" t="s">
        <v>34</v>
      </c>
      <c r="D896" s="37" t="s">
        <v>934</v>
      </c>
      <c r="E896" s="29" t="s">
        <v>798</v>
      </c>
      <c r="F896" s="29" t="s">
        <v>36</v>
      </c>
      <c r="G896" s="29">
        <v>46.65</v>
      </c>
      <c r="H896" s="71" t="s">
        <v>793</v>
      </c>
      <c r="I896" s="37" t="str">
        <f t="shared" si="8"/>
        <v>https://www.infraeletrocalhas.com.br/disjuntores.asp?produto=disjuntores-e-quadros</v>
      </c>
    </row>
    <row r="897" spans="1:9" x14ac:dyDescent="0.25">
      <c r="A897" s="29" t="s">
        <v>12</v>
      </c>
      <c r="B897" s="29" t="s">
        <v>75</v>
      </c>
      <c r="C897" s="29" t="s">
        <v>34</v>
      </c>
      <c r="D897" s="37" t="s">
        <v>935</v>
      </c>
      <c r="E897" s="29" t="s">
        <v>798</v>
      </c>
      <c r="F897" s="29" t="s">
        <v>36</v>
      </c>
      <c r="G897" s="29">
        <v>48.95</v>
      </c>
      <c r="H897" s="71" t="s">
        <v>793</v>
      </c>
      <c r="I897" s="37" t="str">
        <f t="shared" si="8"/>
        <v>https://www.infraeletrocalhas.com.br/disjuntores.asp?produto=disjuntores-e-quadros</v>
      </c>
    </row>
    <row r="898" spans="1:9" x14ac:dyDescent="0.25">
      <c r="A898" s="29" t="s">
        <v>12</v>
      </c>
      <c r="B898" s="29" t="s">
        <v>75</v>
      </c>
      <c r="C898" s="29" t="s">
        <v>34</v>
      </c>
      <c r="D898" s="37" t="s">
        <v>936</v>
      </c>
      <c r="E898" s="29" t="s">
        <v>798</v>
      </c>
      <c r="F898" s="29" t="s">
        <v>36</v>
      </c>
      <c r="G898" s="29">
        <v>48.95</v>
      </c>
      <c r="H898" s="71" t="s">
        <v>793</v>
      </c>
      <c r="I898" s="37" t="str">
        <f t="shared" si="8"/>
        <v>https://www.infraeletrocalhas.com.br/disjuntores.asp?produto=disjuntores-e-quadros</v>
      </c>
    </row>
    <row r="899" spans="1:9" x14ac:dyDescent="0.25">
      <c r="A899" s="29" t="s">
        <v>12</v>
      </c>
      <c r="B899" s="29" t="s">
        <v>75</v>
      </c>
      <c r="C899" s="29" t="s">
        <v>34</v>
      </c>
      <c r="D899" s="37" t="s">
        <v>937</v>
      </c>
      <c r="E899" s="29" t="s">
        <v>798</v>
      </c>
      <c r="F899" s="29" t="s">
        <v>36</v>
      </c>
      <c r="G899" s="29">
        <v>165.15</v>
      </c>
      <c r="H899" s="71" t="s">
        <v>793</v>
      </c>
      <c r="I899" s="37" t="str">
        <f t="shared" si="8"/>
        <v>https://www.infraeletrocalhas.com.br/disjuntores.asp?produto=disjuntores-e-quadros</v>
      </c>
    </row>
    <row r="900" spans="1:9" x14ac:dyDescent="0.25">
      <c r="A900" s="29" t="s">
        <v>12</v>
      </c>
      <c r="B900" s="29" t="s">
        <v>75</v>
      </c>
      <c r="C900" s="29">
        <v>34729</v>
      </c>
      <c r="D900" s="37" t="s">
        <v>3239</v>
      </c>
      <c r="E900" s="29" t="s">
        <v>37</v>
      </c>
      <c r="F900" s="29" t="s">
        <v>36</v>
      </c>
      <c r="G900" s="29">
        <v>1075.69</v>
      </c>
      <c r="H900" s="71" t="s">
        <v>38</v>
      </c>
      <c r="I900" s="37" t="s">
        <v>207</v>
      </c>
    </row>
    <row r="901" spans="1:9" x14ac:dyDescent="0.25">
      <c r="A901" s="29" t="s">
        <v>12</v>
      </c>
      <c r="B901" s="29" t="s">
        <v>75</v>
      </c>
      <c r="C901" s="29">
        <v>34734</v>
      </c>
      <c r="D901" s="37" t="s">
        <v>3240</v>
      </c>
      <c r="E901" s="29" t="s">
        <v>37</v>
      </c>
      <c r="F901" s="29" t="s">
        <v>36</v>
      </c>
      <c r="G901" s="29">
        <v>1665.52</v>
      </c>
      <c r="H901" s="71" t="s">
        <v>38</v>
      </c>
      <c r="I901" s="37" t="s">
        <v>207</v>
      </c>
    </row>
    <row r="902" spans="1:9" x14ac:dyDescent="0.25">
      <c r="A902" s="29" t="s">
        <v>12</v>
      </c>
      <c r="B902" s="29" t="s">
        <v>75</v>
      </c>
      <c r="C902" s="29">
        <v>34738</v>
      </c>
      <c r="D902" s="37" t="s">
        <v>3241</v>
      </c>
      <c r="E902" s="29" t="s">
        <v>37</v>
      </c>
      <c r="F902" s="29" t="s">
        <v>36</v>
      </c>
      <c r="G902" s="29">
        <v>3891.18</v>
      </c>
      <c r="H902" s="71" t="s">
        <v>38</v>
      </c>
      <c r="I902" s="37" t="s">
        <v>207</v>
      </c>
    </row>
    <row r="903" spans="1:9" x14ac:dyDescent="0.25">
      <c r="A903" s="29" t="s">
        <v>12</v>
      </c>
      <c r="B903" s="29" t="s">
        <v>75</v>
      </c>
      <c r="C903" s="29">
        <v>34623</v>
      </c>
      <c r="D903" s="37" t="s">
        <v>938</v>
      </c>
      <c r="E903" s="29" t="s">
        <v>37</v>
      </c>
      <c r="F903" s="29" t="s">
        <v>36</v>
      </c>
      <c r="G903" s="29">
        <v>46.63</v>
      </c>
      <c r="H903" s="71" t="s">
        <v>38</v>
      </c>
      <c r="I903" s="37" t="s">
        <v>207</v>
      </c>
    </row>
    <row r="904" spans="1:9" x14ac:dyDescent="0.25">
      <c r="A904" s="29" t="s">
        <v>12</v>
      </c>
      <c r="B904" s="29" t="s">
        <v>75</v>
      </c>
      <c r="C904" s="29">
        <v>34616</v>
      </c>
      <c r="D904" s="37" t="s">
        <v>939</v>
      </c>
      <c r="E904" s="29" t="s">
        <v>37</v>
      </c>
      <c r="F904" s="29" t="s">
        <v>36</v>
      </c>
      <c r="G904" s="29">
        <v>47.35</v>
      </c>
      <c r="H904" s="71" t="s">
        <v>38</v>
      </c>
      <c r="I904" s="37" t="s">
        <v>207</v>
      </c>
    </row>
    <row r="905" spans="1:9" x14ac:dyDescent="0.25">
      <c r="A905" s="29" t="s">
        <v>12</v>
      </c>
      <c r="B905" s="29" t="s">
        <v>75</v>
      </c>
      <c r="C905" s="29">
        <v>34628</v>
      </c>
      <c r="D905" s="37" t="s">
        <v>940</v>
      </c>
      <c r="E905" s="29" t="s">
        <v>37</v>
      </c>
      <c r="F905" s="29" t="s">
        <v>36</v>
      </c>
      <c r="G905" s="29">
        <v>66.790000000000006</v>
      </c>
      <c r="H905" s="71" t="s">
        <v>38</v>
      </c>
      <c r="I905" s="37" t="s">
        <v>207</v>
      </c>
    </row>
    <row r="906" spans="1:9" x14ac:dyDescent="0.25">
      <c r="A906" s="29" t="s">
        <v>12</v>
      </c>
      <c r="B906" s="29" t="s">
        <v>75</v>
      </c>
      <c r="C906" s="29">
        <v>34686</v>
      </c>
      <c r="D906" s="37" t="s">
        <v>941</v>
      </c>
      <c r="E906" s="29" t="s">
        <v>37</v>
      </c>
      <c r="F906" s="29" t="s">
        <v>36</v>
      </c>
      <c r="G906" s="29">
        <v>12.25</v>
      </c>
      <c r="H906" s="71" t="s">
        <v>38</v>
      </c>
      <c r="I906" s="37" t="s">
        <v>207</v>
      </c>
    </row>
    <row r="907" spans="1:9" x14ac:dyDescent="0.25">
      <c r="A907" s="29" t="s">
        <v>12</v>
      </c>
      <c r="B907" s="29" t="s">
        <v>75</v>
      </c>
      <c r="C907" s="29">
        <v>34653</v>
      </c>
      <c r="D907" s="37" t="s">
        <v>942</v>
      </c>
      <c r="E907" s="29" t="s">
        <v>37</v>
      </c>
      <c r="F907" s="29" t="s">
        <v>36</v>
      </c>
      <c r="G907" s="29">
        <v>8.26</v>
      </c>
      <c r="H907" s="71" t="s">
        <v>38</v>
      </c>
      <c r="I907" s="37" t="s">
        <v>207</v>
      </c>
    </row>
    <row r="908" spans="1:9" x14ac:dyDescent="0.25">
      <c r="A908" s="29" t="s">
        <v>12</v>
      </c>
      <c r="B908" s="29" t="s">
        <v>75</v>
      </c>
      <c r="C908" s="29">
        <v>34688</v>
      </c>
      <c r="D908" s="37" t="s">
        <v>943</v>
      </c>
      <c r="E908" s="29" t="s">
        <v>37</v>
      </c>
      <c r="F908" s="29" t="s">
        <v>36</v>
      </c>
      <c r="G908" s="29">
        <v>14.97</v>
      </c>
      <c r="H908" s="71" t="s">
        <v>38</v>
      </c>
      <c r="I908" s="37" t="s">
        <v>207</v>
      </c>
    </row>
    <row r="909" spans="1:9" x14ac:dyDescent="0.25">
      <c r="A909" s="29" t="s">
        <v>12</v>
      </c>
      <c r="B909" s="29" t="s">
        <v>75</v>
      </c>
      <c r="C909" s="29">
        <v>34709</v>
      </c>
      <c r="D909" s="37" t="s">
        <v>944</v>
      </c>
      <c r="E909" s="29" t="s">
        <v>37</v>
      </c>
      <c r="F909" s="29" t="s">
        <v>36</v>
      </c>
      <c r="G909" s="29">
        <v>58.02</v>
      </c>
      <c r="H909" s="71" t="s">
        <v>38</v>
      </c>
      <c r="I909" s="37" t="s">
        <v>207</v>
      </c>
    </row>
    <row r="910" spans="1:9" x14ac:dyDescent="0.25">
      <c r="A910" s="29" t="s">
        <v>12</v>
      </c>
      <c r="B910" s="29" t="s">
        <v>75</v>
      </c>
      <c r="C910" s="29">
        <v>34714</v>
      </c>
      <c r="D910" s="37" t="s">
        <v>945</v>
      </c>
      <c r="E910" s="29" t="s">
        <v>37</v>
      </c>
      <c r="F910" s="29" t="s">
        <v>36</v>
      </c>
      <c r="G910" s="29">
        <v>69.3</v>
      </c>
      <c r="H910" s="71" t="s">
        <v>38</v>
      </c>
      <c r="I910" s="37" t="s">
        <v>207</v>
      </c>
    </row>
    <row r="911" spans="1:9" x14ac:dyDescent="0.25">
      <c r="A911" s="29" t="s">
        <v>12</v>
      </c>
      <c r="B911" s="29" t="s">
        <v>75</v>
      </c>
      <c r="C911" s="29">
        <v>2391</v>
      </c>
      <c r="D911" s="37" t="s">
        <v>3242</v>
      </c>
      <c r="E911" s="29" t="s">
        <v>37</v>
      </c>
      <c r="F911" s="29" t="s">
        <v>36</v>
      </c>
      <c r="G911" s="29">
        <v>316.48</v>
      </c>
      <c r="H911" s="71" t="s">
        <v>38</v>
      </c>
      <c r="I911" s="37" t="s">
        <v>207</v>
      </c>
    </row>
    <row r="912" spans="1:9" x14ac:dyDescent="0.25">
      <c r="A912" s="29" t="s">
        <v>12</v>
      </c>
      <c r="B912" s="29" t="s">
        <v>75</v>
      </c>
      <c r="C912" s="29">
        <v>2374</v>
      </c>
      <c r="D912" s="37" t="s">
        <v>3243</v>
      </c>
      <c r="E912" s="29" t="s">
        <v>37</v>
      </c>
      <c r="F912" s="29" t="s">
        <v>36</v>
      </c>
      <c r="G912" s="29">
        <v>359.04</v>
      </c>
      <c r="H912" s="71" t="s">
        <v>38</v>
      </c>
      <c r="I912" s="37" t="s">
        <v>207</v>
      </c>
    </row>
    <row r="913" spans="1:9" x14ac:dyDescent="0.25">
      <c r="A913" s="29" t="s">
        <v>12</v>
      </c>
      <c r="B913" s="29" t="s">
        <v>75</v>
      </c>
      <c r="C913" s="29">
        <v>2377</v>
      </c>
      <c r="D913" s="37" t="s">
        <v>3244</v>
      </c>
      <c r="E913" s="29" t="s">
        <v>37</v>
      </c>
      <c r="F913" s="29" t="s">
        <v>36</v>
      </c>
      <c r="G913" s="29">
        <v>503.87</v>
      </c>
      <c r="H913" s="71" t="s">
        <v>38</v>
      </c>
      <c r="I913" s="37" t="s">
        <v>207</v>
      </c>
    </row>
    <row r="914" spans="1:9" x14ac:dyDescent="0.25">
      <c r="A914" s="29" t="s">
        <v>12</v>
      </c>
      <c r="B914" s="29" t="s">
        <v>75</v>
      </c>
      <c r="C914" s="29">
        <v>2393</v>
      </c>
      <c r="D914" s="37" t="s">
        <v>3145</v>
      </c>
      <c r="E914" s="29" t="s">
        <v>37</v>
      </c>
      <c r="F914" s="29" t="s">
        <v>36</v>
      </c>
      <c r="G914" s="29">
        <v>843.8</v>
      </c>
      <c r="H914" s="71" t="s">
        <v>38</v>
      </c>
      <c r="I914" s="37" t="s">
        <v>207</v>
      </c>
    </row>
    <row r="915" spans="1:9" x14ac:dyDescent="0.25">
      <c r="A915" s="29" t="s">
        <v>12</v>
      </c>
      <c r="B915" s="29" t="s">
        <v>75</v>
      </c>
      <c r="C915" s="29">
        <v>34705</v>
      </c>
      <c r="D915" s="37" t="s">
        <v>3245</v>
      </c>
      <c r="E915" s="29" t="s">
        <v>37</v>
      </c>
      <c r="F915" s="29" t="s">
        <v>36</v>
      </c>
      <c r="G915" s="29">
        <v>738.02</v>
      </c>
      <c r="H915" s="71" t="s">
        <v>38</v>
      </c>
      <c r="I915" s="37" t="s">
        <v>207</v>
      </c>
    </row>
    <row r="916" spans="1:9" x14ac:dyDescent="0.25">
      <c r="A916" s="29" t="s">
        <v>12</v>
      </c>
      <c r="B916" s="29" t="s">
        <v>75</v>
      </c>
      <c r="C916" s="29">
        <v>34707</v>
      </c>
      <c r="D916" s="37" t="s">
        <v>3246</v>
      </c>
      <c r="E916" s="29" t="s">
        <v>37</v>
      </c>
      <c r="F916" s="29" t="s">
        <v>36</v>
      </c>
      <c r="G916" s="29">
        <v>1367.57</v>
      </c>
      <c r="H916" s="71" t="s">
        <v>38</v>
      </c>
      <c r="I916" s="37" t="s">
        <v>207</v>
      </c>
    </row>
    <row r="917" spans="1:9" x14ac:dyDescent="0.25">
      <c r="A917" s="29" t="s">
        <v>12</v>
      </c>
      <c r="B917" s="29" t="s">
        <v>75</v>
      </c>
      <c r="C917" s="29">
        <v>34544</v>
      </c>
      <c r="D917" s="37" t="s">
        <v>3247</v>
      </c>
      <c r="E917" s="29" t="s">
        <v>37</v>
      </c>
      <c r="F917" s="29" t="s">
        <v>36</v>
      </c>
      <c r="G917" s="29">
        <v>1367.43</v>
      </c>
      <c r="H917" s="71" t="s">
        <v>38</v>
      </c>
      <c r="I917" s="37" t="s">
        <v>207</v>
      </c>
    </row>
    <row r="918" spans="1:9" x14ac:dyDescent="0.25">
      <c r="A918" s="29" t="s">
        <v>12</v>
      </c>
      <c r="B918" s="29" t="s">
        <v>75</v>
      </c>
      <c r="C918" s="29">
        <v>2378</v>
      </c>
      <c r="D918" s="37" t="s">
        <v>3248</v>
      </c>
      <c r="E918" s="29" t="s">
        <v>37</v>
      </c>
      <c r="F918" s="29" t="s">
        <v>36</v>
      </c>
      <c r="G918" s="29">
        <v>1159.07</v>
      </c>
      <c r="H918" s="71" t="s">
        <v>38</v>
      </c>
      <c r="I918" s="37" t="s">
        <v>207</v>
      </c>
    </row>
    <row r="919" spans="1:9" x14ac:dyDescent="0.25">
      <c r="A919" s="29" t="s">
        <v>12</v>
      </c>
      <c r="B919" s="29" t="s">
        <v>75</v>
      </c>
      <c r="C919" s="29">
        <v>2379</v>
      </c>
      <c r="D919" s="37" t="s">
        <v>3249</v>
      </c>
      <c r="E919" s="29" t="s">
        <v>37</v>
      </c>
      <c r="F919" s="29" t="s">
        <v>36</v>
      </c>
      <c r="G919" s="29">
        <v>1159.07</v>
      </c>
      <c r="H919" s="71" t="s">
        <v>38</v>
      </c>
      <c r="I919" s="37" t="s">
        <v>207</v>
      </c>
    </row>
    <row r="920" spans="1:9" x14ac:dyDescent="0.25">
      <c r="A920" s="29" t="s">
        <v>12</v>
      </c>
      <c r="B920" s="29" t="s">
        <v>75</v>
      </c>
      <c r="C920" s="29">
        <v>2376</v>
      </c>
      <c r="D920" s="37" t="s">
        <v>3250</v>
      </c>
      <c r="E920" s="29" t="s">
        <v>37</v>
      </c>
      <c r="F920" s="29" t="s">
        <v>36</v>
      </c>
      <c r="G920" s="29">
        <v>1908.98</v>
      </c>
      <c r="H920" s="71" t="s">
        <v>38</v>
      </c>
      <c r="I920" s="37" t="s">
        <v>207</v>
      </c>
    </row>
    <row r="921" spans="1:9" x14ac:dyDescent="0.25">
      <c r="A921" s="29" t="s">
        <v>12</v>
      </c>
      <c r="B921" s="29" t="s">
        <v>75</v>
      </c>
      <c r="C921" s="29">
        <v>2394</v>
      </c>
      <c r="D921" s="37" t="s">
        <v>3146</v>
      </c>
      <c r="E921" s="29" t="s">
        <v>37</v>
      </c>
      <c r="F921" s="29" t="s">
        <v>36</v>
      </c>
      <c r="G921" s="29">
        <v>4081.06</v>
      </c>
      <c r="H921" s="71" t="s">
        <v>38</v>
      </c>
      <c r="I921" s="37" t="s">
        <v>207</v>
      </c>
    </row>
    <row r="922" spans="1:9" x14ac:dyDescent="0.25">
      <c r="A922" s="29" t="s">
        <v>12</v>
      </c>
      <c r="B922" s="29" t="s">
        <v>75</v>
      </c>
      <c r="C922" s="29">
        <v>2388</v>
      </c>
      <c r="D922" s="37" t="s">
        <v>946</v>
      </c>
      <c r="E922" s="29" t="s">
        <v>37</v>
      </c>
      <c r="F922" s="29" t="s">
        <v>36</v>
      </c>
      <c r="G922" s="29">
        <v>57.58</v>
      </c>
      <c r="H922" s="71" t="s">
        <v>38</v>
      </c>
      <c r="I922" s="37" t="s">
        <v>207</v>
      </c>
    </row>
    <row r="923" spans="1:9" x14ac:dyDescent="0.25">
      <c r="A923" s="29" t="s">
        <v>12</v>
      </c>
      <c r="B923" s="29" t="s">
        <v>75</v>
      </c>
      <c r="C923" s="29">
        <v>34606</v>
      </c>
      <c r="D923" s="37" t="s">
        <v>947</v>
      </c>
      <c r="E923" s="29" t="s">
        <v>37</v>
      </c>
      <c r="F923" s="29" t="s">
        <v>36</v>
      </c>
      <c r="G923" s="29">
        <v>88.33</v>
      </c>
      <c r="H923" s="71" t="s">
        <v>38</v>
      </c>
      <c r="I923" s="37" t="s">
        <v>207</v>
      </c>
    </row>
    <row r="924" spans="1:9" x14ac:dyDescent="0.25">
      <c r="A924" s="29" t="s">
        <v>12</v>
      </c>
      <c r="B924" s="29" t="s">
        <v>75</v>
      </c>
      <c r="C924" s="29">
        <v>2370</v>
      </c>
      <c r="D924" s="37" t="s">
        <v>1558</v>
      </c>
      <c r="E924" s="29" t="s">
        <v>37</v>
      </c>
      <c r="F924" s="29" t="s">
        <v>36</v>
      </c>
      <c r="G924" s="29">
        <v>10.7</v>
      </c>
      <c r="H924" s="71" t="s">
        <v>38</v>
      </c>
      <c r="I924" s="37" t="s">
        <v>207</v>
      </c>
    </row>
    <row r="925" spans="1:9" x14ac:dyDescent="0.25">
      <c r="A925" s="29" t="s">
        <v>12</v>
      </c>
      <c r="B925" s="29" t="s">
        <v>75</v>
      </c>
      <c r="C925" s="29">
        <v>2386</v>
      </c>
      <c r="D925" s="37" t="s">
        <v>1559</v>
      </c>
      <c r="E925" s="29" t="s">
        <v>37</v>
      </c>
      <c r="F925" s="29" t="s">
        <v>36</v>
      </c>
      <c r="G925" s="29">
        <v>17.95</v>
      </c>
      <c r="H925" s="71" t="s">
        <v>38</v>
      </c>
      <c r="I925" s="37" t="s">
        <v>207</v>
      </c>
    </row>
    <row r="926" spans="1:9" x14ac:dyDescent="0.25">
      <c r="A926" s="29" t="s">
        <v>12</v>
      </c>
      <c r="B926" s="29" t="s">
        <v>75</v>
      </c>
      <c r="C926" s="29">
        <v>34689</v>
      </c>
      <c r="D926" s="37" t="s">
        <v>1560</v>
      </c>
      <c r="E926" s="29" t="s">
        <v>37</v>
      </c>
      <c r="F926" s="29" t="s">
        <v>36</v>
      </c>
      <c r="G926" s="29">
        <v>28.12</v>
      </c>
      <c r="H926" s="71" t="s">
        <v>38</v>
      </c>
      <c r="I926" s="37" t="s">
        <v>207</v>
      </c>
    </row>
    <row r="927" spans="1:9" x14ac:dyDescent="0.25">
      <c r="A927" s="29" t="s">
        <v>12</v>
      </c>
      <c r="B927" s="29" t="s">
        <v>75</v>
      </c>
      <c r="C927" s="29">
        <v>2392</v>
      </c>
      <c r="D927" s="37" t="s">
        <v>1561</v>
      </c>
      <c r="E927" s="29" t="s">
        <v>37</v>
      </c>
      <c r="F927" s="29" t="s">
        <v>36</v>
      </c>
      <c r="G927" s="29">
        <v>71.819999999999993</v>
      </c>
      <c r="H927" s="71" t="s">
        <v>38</v>
      </c>
      <c r="I927" s="37" t="s">
        <v>207</v>
      </c>
    </row>
    <row r="928" spans="1:9" x14ac:dyDescent="0.25">
      <c r="A928" s="29" t="s">
        <v>12</v>
      </c>
      <c r="B928" s="29" t="s">
        <v>75</v>
      </c>
      <c r="C928" s="29">
        <v>2373</v>
      </c>
      <c r="D928" s="37" t="s">
        <v>1562</v>
      </c>
      <c r="E928" s="29" t="s">
        <v>37</v>
      </c>
      <c r="F928" s="29" t="s">
        <v>36</v>
      </c>
      <c r="G928" s="29">
        <v>101.2</v>
      </c>
      <c r="H928" s="71" t="s">
        <v>38</v>
      </c>
      <c r="I928" s="37" t="s">
        <v>207</v>
      </c>
    </row>
    <row r="929" spans="1:9" x14ac:dyDescent="0.25">
      <c r="A929" s="29" t="s">
        <v>12</v>
      </c>
      <c r="B929" s="29" t="s">
        <v>75</v>
      </c>
      <c r="C929" s="29">
        <v>39459</v>
      </c>
      <c r="D929" s="37" t="s">
        <v>3126</v>
      </c>
      <c r="E929" s="29" t="s">
        <v>37</v>
      </c>
      <c r="F929" s="29" t="s">
        <v>36</v>
      </c>
      <c r="G929" s="29">
        <v>253.35</v>
      </c>
      <c r="H929" s="71" t="s">
        <v>38</v>
      </c>
      <c r="I929" s="37" t="s">
        <v>207</v>
      </c>
    </row>
    <row r="930" spans="1:9" x14ac:dyDescent="0.25">
      <c r="A930" s="29" t="s">
        <v>12</v>
      </c>
      <c r="B930" s="29" t="s">
        <v>75</v>
      </c>
      <c r="C930" s="29">
        <v>39445</v>
      </c>
      <c r="D930" s="37" t="s">
        <v>3127</v>
      </c>
      <c r="E930" s="29" t="s">
        <v>37</v>
      </c>
      <c r="F930" s="29" t="s">
        <v>36</v>
      </c>
      <c r="G930" s="29">
        <v>127.21</v>
      </c>
      <c r="H930" s="71" t="s">
        <v>38</v>
      </c>
      <c r="I930" s="37" t="s">
        <v>207</v>
      </c>
    </row>
    <row r="931" spans="1:9" x14ac:dyDescent="0.25">
      <c r="A931" s="29" t="s">
        <v>12</v>
      </c>
      <c r="B931" s="29" t="s">
        <v>75</v>
      </c>
      <c r="C931" s="29">
        <v>39446</v>
      </c>
      <c r="D931" s="37" t="s">
        <v>3128</v>
      </c>
      <c r="E931" s="29" t="s">
        <v>37</v>
      </c>
      <c r="F931" s="29" t="s">
        <v>36</v>
      </c>
      <c r="G931" s="29">
        <v>129.47</v>
      </c>
      <c r="H931" s="71" t="s">
        <v>38</v>
      </c>
      <c r="I931" s="37" t="s">
        <v>207</v>
      </c>
    </row>
    <row r="932" spans="1:9" x14ac:dyDescent="0.25">
      <c r="A932" s="29" t="s">
        <v>12</v>
      </c>
      <c r="B932" s="29" t="s">
        <v>75</v>
      </c>
      <c r="C932" s="29">
        <v>39447</v>
      </c>
      <c r="D932" s="37" t="s">
        <v>3129</v>
      </c>
      <c r="E932" s="29" t="s">
        <v>37</v>
      </c>
      <c r="F932" s="29" t="s">
        <v>36</v>
      </c>
      <c r="G932" s="29">
        <v>138.44999999999999</v>
      </c>
      <c r="H932" s="71" t="s">
        <v>38</v>
      </c>
      <c r="I932" s="37" t="s">
        <v>207</v>
      </c>
    </row>
    <row r="933" spans="1:9" x14ac:dyDescent="0.25">
      <c r="A933" s="29" t="s">
        <v>12</v>
      </c>
      <c r="B933" s="29" t="s">
        <v>75</v>
      </c>
      <c r="C933" s="29">
        <v>39448</v>
      </c>
      <c r="D933" s="37" t="s">
        <v>3130</v>
      </c>
      <c r="E933" s="29" t="s">
        <v>37</v>
      </c>
      <c r="F933" s="29" t="s">
        <v>36</v>
      </c>
      <c r="G933" s="29">
        <v>236.09</v>
      </c>
      <c r="H933" s="71" t="s">
        <v>38</v>
      </c>
      <c r="I933" s="37" t="s">
        <v>207</v>
      </c>
    </row>
    <row r="934" spans="1:9" x14ac:dyDescent="0.25">
      <c r="A934" s="29" t="s">
        <v>12</v>
      </c>
      <c r="B934" s="29" t="s">
        <v>75</v>
      </c>
      <c r="C934" s="29">
        <v>39450</v>
      </c>
      <c r="D934" s="37" t="s">
        <v>3131</v>
      </c>
      <c r="E934" s="29" t="s">
        <v>37</v>
      </c>
      <c r="F934" s="29" t="s">
        <v>36</v>
      </c>
      <c r="G934" s="29">
        <v>144.04</v>
      </c>
      <c r="H934" s="71" t="s">
        <v>38</v>
      </c>
      <c r="I934" s="37" t="s">
        <v>207</v>
      </c>
    </row>
    <row r="935" spans="1:9" x14ac:dyDescent="0.25">
      <c r="A935" s="29" t="s">
        <v>12</v>
      </c>
      <c r="B935" s="29" t="s">
        <v>75</v>
      </c>
      <c r="C935" s="29">
        <v>39451</v>
      </c>
      <c r="D935" s="37" t="s">
        <v>3132</v>
      </c>
      <c r="E935" s="29" t="s">
        <v>37</v>
      </c>
      <c r="F935" s="29" t="s">
        <v>36</v>
      </c>
      <c r="G935" s="29">
        <v>157.11000000000001</v>
      </c>
      <c r="H935" s="71" t="s">
        <v>38</v>
      </c>
      <c r="I935" s="37" t="s">
        <v>207</v>
      </c>
    </row>
    <row r="936" spans="1:9" x14ac:dyDescent="0.25">
      <c r="A936" s="29" t="s">
        <v>12</v>
      </c>
      <c r="B936" s="29" t="s">
        <v>75</v>
      </c>
      <c r="C936" s="29">
        <v>39452</v>
      </c>
      <c r="D936" s="37" t="s">
        <v>3133</v>
      </c>
      <c r="E936" s="29" t="s">
        <v>37</v>
      </c>
      <c r="F936" s="29" t="s">
        <v>36</v>
      </c>
      <c r="G936" s="29">
        <v>158.05000000000001</v>
      </c>
      <c r="H936" s="71" t="s">
        <v>38</v>
      </c>
      <c r="I936" s="37" t="s">
        <v>207</v>
      </c>
    </row>
    <row r="937" spans="1:9" x14ac:dyDescent="0.25">
      <c r="A937" s="29" t="s">
        <v>12</v>
      </c>
      <c r="B937" s="29" t="s">
        <v>75</v>
      </c>
      <c r="C937" s="29">
        <v>39523</v>
      </c>
      <c r="D937" s="37" t="s">
        <v>3134</v>
      </c>
      <c r="E937" s="29" t="s">
        <v>37</v>
      </c>
      <c r="F937" s="29" t="s">
        <v>36</v>
      </c>
      <c r="G937" s="29">
        <v>264.49</v>
      </c>
      <c r="H937" s="71" t="s">
        <v>38</v>
      </c>
      <c r="I937" s="37" t="s">
        <v>207</v>
      </c>
    </row>
    <row r="938" spans="1:9" x14ac:dyDescent="0.25">
      <c r="A938" s="29" t="s">
        <v>12</v>
      </c>
      <c r="B938" s="29" t="s">
        <v>75</v>
      </c>
      <c r="C938" s="29">
        <v>39449</v>
      </c>
      <c r="D938" s="37" t="s">
        <v>3135</v>
      </c>
      <c r="E938" s="29" t="s">
        <v>37</v>
      </c>
      <c r="F938" s="29" t="s">
        <v>36</v>
      </c>
      <c r="G938" s="29">
        <v>292.89999999999998</v>
      </c>
      <c r="H938" s="71" t="s">
        <v>38</v>
      </c>
      <c r="I938" s="37" t="s">
        <v>207</v>
      </c>
    </row>
    <row r="939" spans="1:9" x14ac:dyDescent="0.25">
      <c r="A939" s="29" t="s">
        <v>12</v>
      </c>
      <c r="B939" s="29" t="s">
        <v>75</v>
      </c>
      <c r="C939" s="29">
        <v>39455</v>
      </c>
      <c r="D939" s="37" t="s">
        <v>3136</v>
      </c>
      <c r="E939" s="29" t="s">
        <v>37</v>
      </c>
      <c r="F939" s="29" t="s">
        <v>36</v>
      </c>
      <c r="G939" s="29">
        <v>144.93</v>
      </c>
      <c r="H939" s="71" t="s">
        <v>38</v>
      </c>
      <c r="I939" s="37" t="s">
        <v>207</v>
      </c>
    </row>
    <row r="940" spans="1:9" x14ac:dyDescent="0.25">
      <c r="A940" s="29" t="s">
        <v>12</v>
      </c>
      <c r="B940" s="29" t="s">
        <v>75</v>
      </c>
      <c r="C940" s="29">
        <v>39456</v>
      </c>
      <c r="D940" s="37" t="s">
        <v>3137</v>
      </c>
      <c r="E940" s="29" t="s">
        <v>37</v>
      </c>
      <c r="F940" s="29" t="s">
        <v>36</v>
      </c>
      <c r="G940" s="29">
        <v>145.04</v>
      </c>
      <c r="H940" s="71" t="s">
        <v>38</v>
      </c>
      <c r="I940" s="37" t="s">
        <v>207</v>
      </c>
    </row>
    <row r="941" spans="1:9" x14ac:dyDescent="0.25">
      <c r="A941" s="29" t="s">
        <v>12</v>
      </c>
      <c r="B941" s="29" t="s">
        <v>75</v>
      </c>
      <c r="C941" s="29">
        <v>39457</v>
      </c>
      <c r="D941" s="37" t="s">
        <v>3138</v>
      </c>
      <c r="E941" s="29" t="s">
        <v>37</v>
      </c>
      <c r="F941" s="29" t="s">
        <v>36</v>
      </c>
      <c r="G941" s="29">
        <v>158.12</v>
      </c>
      <c r="H941" s="71" t="s">
        <v>38</v>
      </c>
      <c r="I941" s="37" t="s">
        <v>207</v>
      </c>
    </row>
    <row r="942" spans="1:9" x14ac:dyDescent="0.25">
      <c r="A942" s="29" t="s">
        <v>12</v>
      </c>
      <c r="B942" s="29" t="s">
        <v>75</v>
      </c>
      <c r="C942" s="29">
        <v>39458</v>
      </c>
      <c r="D942" s="37" t="s">
        <v>3139</v>
      </c>
      <c r="E942" s="29" t="s">
        <v>37</v>
      </c>
      <c r="F942" s="29" t="s">
        <v>36</v>
      </c>
      <c r="G942" s="29">
        <v>295.06</v>
      </c>
      <c r="H942" s="71" t="s">
        <v>38</v>
      </c>
      <c r="I942" s="37" t="s">
        <v>207</v>
      </c>
    </row>
    <row r="943" spans="1:9" x14ac:dyDescent="0.25">
      <c r="A943" s="29" t="s">
        <v>12</v>
      </c>
      <c r="B943" s="29" t="s">
        <v>75</v>
      </c>
      <c r="C943" s="29">
        <v>39464</v>
      </c>
      <c r="D943" s="37" t="s">
        <v>3140</v>
      </c>
      <c r="E943" s="29" t="s">
        <v>37</v>
      </c>
      <c r="F943" s="29" t="s">
        <v>36</v>
      </c>
      <c r="G943" s="29">
        <v>474.48</v>
      </c>
      <c r="H943" s="71" t="s">
        <v>38</v>
      </c>
      <c r="I943" s="37" t="s">
        <v>207</v>
      </c>
    </row>
    <row r="944" spans="1:9" x14ac:dyDescent="0.25">
      <c r="A944" s="29" t="s">
        <v>12</v>
      </c>
      <c r="B944" s="29" t="s">
        <v>75</v>
      </c>
      <c r="C944" s="29">
        <v>39460</v>
      </c>
      <c r="D944" s="37" t="s">
        <v>3141</v>
      </c>
      <c r="E944" s="29" t="s">
        <v>37</v>
      </c>
      <c r="F944" s="29" t="s">
        <v>36</v>
      </c>
      <c r="G944" s="29">
        <v>179.96</v>
      </c>
      <c r="H944" s="71" t="s">
        <v>38</v>
      </c>
      <c r="I944" s="37" t="s">
        <v>207</v>
      </c>
    </row>
    <row r="945" spans="1:9" x14ac:dyDescent="0.25">
      <c r="A945" s="29" t="s">
        <v>12</v>
      </c>
      <c r="B945" s="29" t="s">
        <v>75</v>
      </c>
      <c r="C945" s="29">
        <v>39461</v>
      </c>
      <c r="D945" s="37" t="s">
        <v>3142</v>
      </c>
      <c r="E945" s="29" t="s">
        <v>37</v>
      </c>
      <c r="F945" s="29" t="s">
        <v>36</v>
      </c>
      <c r="G945" s="29">
        <v>210.87</v>
      </c>
      <c r="H945" s="71" t="s">
        <v>38</v>
      </c>
      <c r="I945" s="37" t="s">
        <v>207</v>
      </c>
    </row>
    <row r="946" spans="1:9" x14ac:dyDescent="0.25">
      <c r="A946" s="29" t="s">
        <v>12</v>
      </c>
      <c r="B946" s="29" t="s">
        <v>75</v>
      </c>
      <c r="C946" s="29">
        <v>39462</v>
      </c>
      <c r="D946" s="37" t="s">
        <v>3143</v>
      </c>
      <c r="E946" s="29" t="s">
        <v>37</v>
      </c>
      <c r="F946" s="29" t="s">
        <v>36</v>
      </c>
      <c r="G946" s="29">
        <v>203.22</v>
      </c>
      <c r="H946" s="71" t="s">
        <v>38</v>
      </c>
      <c r="I946" s="37" t="s">
        <v>207</v>
      </c>
    </row>
    <row r="947" spans="1:9" x14ac:dyDescent="0.25">
      <c r="A947" s="29" t="s">
        <v>12</v>
      </c>
      <c r="B947" s="29" t="s">
        <v>75</v>
      </c>
      <c r="C947" s="29">
        <v>39463</v>
      </c>
      <c r="D947" s="37" t="s">
        <v>3144</v>
      </c>
      <c r="E947" s="29" t="s">
        <v>37</v>
      </c>
      <c r="F947" s="29" t="s">
        <v>36</v>
      </c>
      <c r="G947" s="29">
        <v>470.8</v>
      </c>
      <c r="H947" s="71" t="s">
        <v>38</v>
      </c>
      <c r="I947" s="37" t="s">
        <v>207</v>
      </c>
    </row>
    <row r="948" spans="1:9" x14ac:dyDescent="0.25">
      <c r="A948" s="29" t="s">
        <v>12</v>
      </c>
      <c r="B948" s="29" t="s">
        <v>75</v>
      </c>
      <c r="C948" s="29" t="s">
        <v>34</v>
      </c>
      <c r="D948" s="37" t="s">
        <v>3251</v>
      </c>
      <c r="E948" s="29" t="s">
        <v>105</v>
      </c>
      <c r="F948" s="29" t="s">
        <v>36</v>
      </c>
      <c r="G948" s="29">
        <v>11.48</v>
      </c>
      <c r="H948" s="71" t="s">
        <v>793</v>
      </c>
      <c r="I948" s="37" t="str">
        <f>"https://www.viewtech.ind.br/disjuntor-mono-10a-curva-c-siemens-c10-mini-din-5ka-5sj1"</f>
        <v>https://www.viewtech.ind.br/disjuntor-mono-10a-curva-c-siemens-c10-mini-din-5ka-5sj1</v>
      </c>
    </row>
    <row r="949" spans="1:9" x14ac:dyDescent="0.25">
      <c r="A949" s="29" t="s">
        <v>12</v>
      </c>
      <c r="B949" s="29" t="s">
        <v>75</v>
      </c>
      <c r="C949" s="29" t="s">
        <v>34</v>
      </c>
      <c r="D949" s="37" t="s">
        <v>3252</v>
      </c>
      <c r="E949" s="29" t="s">
        <v>105</v>
      </c>
      <c r="F949" s="29" t="s">
        <v>36</v>
      </c>
      <c r="G949" s="29">
        <v>11.48</v>
      </c>
      <c r="H949" s="71" t="s">
        <v>793</v>
      </c>
      <c r="I949" s="37" t="str">
        <f>"https://www.viewtech.ind.br/disjuntor-mono-16a-curva-c-siemens-c16-mini-din-5ka-5sj1"</f>
        <v>https://www.viewtech.ind.br/disjuntor-mono-16a-curva-c-siemens-c16-mini-din-5ka-5sj1</v>
      </c>
    </row>
    <row r="950" spans="1:9" x14ac:dyDescent="0.25">
      <c r="A950" s="29" t="s">
        <v>12</v>
      </c>
      <c r="B950" s="29" t="s">
        <v>75</v>
      </c>
      <c r="C950" s="29" t="s">
        <v>34</v>
      </c>
      <c r="D950" s="37" t="s">
        <v>3253</v>
      </c>
      <c r="E950" s="29" t="s">
        <v>105</v>
      </c>
      <c r="F950" s="29" t="s">
        <v>36</v>
      </c>
      <c r="G950" s="29">
        <v>7.14</v>
      </c>
      <c r="H950" s="71" t="s">
        <v>793</v>
      </c>
      <c r="I950" s="37" t="str">
        <f>"https://www.leroymerlin.com.br/disjuntor-mini-din-%7C-monofasico-40a-curva-c-%7C-ruptura-4,5-ka_1571659582?msockid=1b223b79009e6d3b00a82d0101f56cec; https://www.47eletrica.com.br/disjuntor-mini-din-monofasico-40a-curva-c-ruptura-4-5-ka"</f>
        <v>https://www.leroymerlin.com.br/disjuntor-mini-din-%7C-monofasico-40a-curva-c-%7C-ruptura-4,5-ka_1571659582?msockid=1b223b79009e6d3b00a82d0101f56cec; https://www.47eletrica.com.br/disjuntor-mini-din-monofasico-40a-curva-c-ruptura-4-5-ka</v>
      </c>
    </row>
    <row r="951" spans="1:9" x14ac:dyDescent="0.25">
      <c r="A951" s="29" t="s">
        <v>12</v>
      </c>
      <c r="B951" s="29" t="s">
        <v>75</v>
      </c>
      <c r="C951" s="29" t="s">
        <v>34</v>
      </c>
      <c r="D951" s="37" t="s">
        <v>3254</v>
      </c>
      <c r="E951" s="29" t="s">
        <v>105</v>
      </c>
      <c r="F951" s="29" t="s">
        <v>36</v>
      </c>
      <c r="I951" s="37" t="s">
        <v>37</v>
      </c>
    </row>
    <row r="952" spans="1:9" x14ac:dyDescent="0.25">
      <c r="A952" s="29" t="s">
        <v>12</v>
      </c>
      <c r="B952" s="29" t="s">
        <v>75</v>
      </c>
      <c r="C952" s="29" t="s">
        <v>34</v>
      </c>
      <c r="D952" s="37" t="s">
        <v>3255</v>
      </c>
      <c r="E952" s="29" t="s">
        <v>37</v>
      </c>
      <c r="F952" s="29" t="s">
        <v>36</v>
      </c>
      <c r="G952" s="29">
        <v>53.55</v>
      </c>
      <c r="H952" s="71" t="s">
        <v>793</v>
      </c>
      <c r="I952" s="37" t="str">
        <f>"https://www.lojaeletrica.com.br/disjuntor-tripolar-50a-curva-c-3ka-400vca-mdwc503-weg.html"</f>
        <v>https://www.lojaeletrica.com.br/disjuntor-tripolar-50a-curva-c-3ka-400vca-mdwc503-weg.html</v>
      </c>
    </row>
    <row r="953" spans="1:9" x14ac:dyDescent="0.25">
      <c r="A953" s="29" t="s">
        <v>12</v>
      </c>
      <c r="B953" s="29" t="s">
        <v>75</v>
      </c>
      <c r="C953" s="29" t="s">
        <v>34</v>
      </c>
      <c r="D953" s="37" t="s">
        <v>3256</v>
      </c>
      <c r="E953" s="29" t="s">
        <v>37</v>
      </c>
      <c r="F953" s="29" t="s">
        <v>36</v>
      </c>
      <c r="G953" s="29">
        <v>34.9</v>
      </c>
      <c r="H953" s="71" t="s">
        <v>793</v>
      </c>
      <c r="I953" s="37" t="str">
        <f>"https://www.leroymerlin.com.br/disjuntor-mini-din-%7C-trifasico-50a-curva-c-%7C-ruptura-4,5ka_1571655604?msockid=1b223b79009e6d3b00a82d0101f56cec"</f>
        <v>https://www.leroymerlin.com.br/disjuntor-mini-din-%7C-trifasico-50a-curva-c-%7C-ruptura-4,5ka_1571655604?msockid=1b223b79009e6d3b00a82d0101f56cec</v>
      </c>
    </row>
    <row r="954" spans="1:9" x14ac:dyDescent="0.25">
      <c r="A954" s="29" t="s">
        <v>12</v>
      </c>
      <c r="B954" s="29" t="s">
        <v>79</v>
      </c>
      <c r="C954" s="29">
        <v>39465</v>
      </c>
      <c r="D954" s="37" t="s">
        <v>3257</v>
      </c>
      <c r="E954" s="29" t="s">
        <v>37</v>
      </c>
      <c r="F954" s="29" t="s">
        <v>36</v>
      </c>
      <c r="G954" s="29">
        <v>61.82</v>
      </c>
      <c r="H954" s="71" t="s">
        <v>38</v>
      </c>
      <c r="I954" s="37" t="s">
        <v>207</v>
      </c>
    </row>
    <row r="955" spans="1:9" x14ac:dyDescent="0.25">
      <c r="A955" s="29" t="s">
        <v>12</v>
      </c>
      <c r="B955" s="29" t="s">
        <v>79</v>
      </c>
      <c r="C955" s="29">
        <v>39466</v>
      </c>
      <c r="D955" s="37" t="s">
        <v>3258</v>
      </c>
      <c r="E955" s="29" t="s">
        <v>37</v>
      </c>
      <c r="F955" s="29" t="s">
        <v>36</v>
      </c>
      <c r="G955" s="29">
        <v>69.55</v>
      </c>
      <c r="H955" s="71" t="s">
        <v>38</v>
      </c>
      <c r="I955" s="37" t="s">
        <v>207</v>
      </c>
    </row>
    <row r="956" spans="1:9" x14ac:dyDescent="0.25">
      <c r="A956" s="29" t="s">
        <v>12</v>
      </c>
      <c r="B956" s="29" t="s">
        <v>79</v>
      </c>
      <c r="C956" s="29">
        <v>39467</v>
      </c>
      <c r="D956" s="37" t="s">
        <v>3259</v>
      </c>
      <c r="E956" s="29" t="s">
        <v>37</v>
      </c>
      <c r="F956" s="29" t="s">
        <v>36</v>
      </c>
      <c r="G956" s="29">
        <v>88.96</v>
      </c>
      <c r="H956" s="71" t="s">
        <v>38</v>
      </c>
      <c r="I956" s="37" t="s">
        <v>207</v>
      </c>
    </row>
    <row r="957" spans="1:9" x14ac:dyDescent="0.25">
      <c r="A957" s="29" t="s">
        <v>12</v>
      </c>
      <c r="B957" s="29" t="s">
        <v>79</v>
      </c>
      <c r="C957" s="29">
        <v>39468</v>
      </c>
      <c r="D957" s="37" t="s">
        <v>3260</v>
      </c>
      <c r="E957" s="29" t="s">
        <v>37</v>
      </c>
      <c r="F957" s="29" t="s">
        <v>36</v>
      </c>
      <c r="G957" s="29">
        <v>158.12</v>
      </c>
      <c r="H957" s="71" t="s">
        <v>38</v>
      </c>
      <c r="I957" s="37" t="s">
        <v>207</v>
      </c>
    </row>
    <row r="958" spans="1:9" x14ac:dyDescent="0.25">
      <c r="A958" s="29" t="s">
        <v>12</v>
      </c>
      <c r="B958" s="29" t="s">
        <v>79</v>
      </c>
      <c r="C958" s="29">
        <v>39469</v>
      </c>
      <c r="D958" s="37" t="s">
        <v>3261</v>
      </c>
      <c r="E958" s="29" t="s">
        <v>37</v>
      </c>
      <c r="F958" s="29" t="s">
        <v>36</v>
      </c>
      <c r="G958" s="29">
        <v>64.41</v>
      </c>
      <c r="H958" s="71" t="s">
        <v>38</v>
      </c>
      <c r="I958" s="37" t="s">
        <v>207</v>
      </c>
    </row>
    <row r="959" spans="1:9" x14ac:dyDescent="0.25">
      <c r="A959" s="29" t="s">
        <v>12</v>
      </c>
      <c r="B959" s="29" t="s">
        <v>79</v>
      </c>
      <c r="C959" s="29">
        <v>39470</v>
      </c>
      <c r="D959" s="37" t="s">
        <v>3262</v>
      </c>
      <c r="E959" s="29" t="s">
        <v>37</v>
      </c>
      <c r="F959" s="29" t="s">
        <v>36</v>
      </c>
      <c r="G959" s="29">
        <v>79.14</v>
      </c>
      <c r="H959" s="71" t="s">
        <v>38</v>
      </c>
      <c r="I959" s="37" t="s">
        <v>207</v>
      </c>
    </row>
    <row r="960" spans="1:9" x14ac:dyDescent="0.25">
      <c r="A960" s="29" t="s">
        <v>12</v>
      </c>
      <c r="B960" s="29" t="s">
        <v>79</v>
      </c>
      <c r="C960" s="29">
        <v>39471</v>
      </c>
      <c r="D960" s="37" t="s">
        <v>3263</v>
      </c>
      <c r="E960" s="29" t="s">
        <v>37</v>
      </c>
      <c r="F960" s="29" t="s">
        <v>36</v>
      </c>
      <c r="G960" s="29">
        <v>95.11</v>
      </c>
      <c r="H960" s="71" t="s">
        <v>38</v>
      </c>
      <c r="I960" s="37" t="s">
        <v>207</v>
      </c>
    </row>
    <row r="961" spans="1:9" x14ac:dyDescent="0.25">
      <c r="A961" s="29" t="s">
        <v>12</v>
      </c>
      <c r="B961" s="29" t="s">
        <v>79</v>
      </c>
      <c r="C961" s="29">
        <v>39472</v>
      </c>
      <c r="D961" s="37" t="s">
        <v>3264</v>
      </c>
      <c r="E961" s="29" t="s">
        <v>37</v>
      </c>
      <c r="F961" s="29" t="s">
        <v>36</v>
      </c>
      <c r="G961" s="29">
        <v>165.25</v>
      </c>
      <c r="H961" s="71" t="s">
        <v>38</v>
      </c>
      <c r="I961" s="37" t="s">
        <v>207</v>
      </c>
    </row>
    <row r="962" spans="1:9" x14ac:dyDescent="0.25">
      <c r="A962" s="29" t="s">
        <v>12</v>
      </c>
      <c r="B962" s="29" t="s">
        <v>79</v>
      </c>
      <c r="C962" s="29">
        <v>39473</v>
      </c>
      <c r="D962" s="37" t="s">
        <v>3265</v>
      </c>
      <c r="E962" s="29" t="s">
        <v>37</v>
      </c>
      <c r="F962" s="29" t="s">
        <v>36</v>
      </c>
      <c r="G962" s="29">
        <v>106.75</v>
      </c>
      <c r="H962" s="71" t="s">
        <v>38</v>
      </c>
      <c r="I962" s="37" t="s">
        <v>207</v>
      </c>
    </row>
    <row r="963" spans="1:9" x14ac:dyDescent="0.25">
      <c r="A963" s="29" t="s">
        <v>12</v>
      </c>
      <c r="B963" s="29" t="s">
        <v>79</v>
      </c>
      <c r="C963" s="29">
        <v>39474</v>
      </c>
      <c r="D963" s="37" t="s">
        <v>3266</v>
      </c>
      <c r="E963" s="29" t="s">
        <v>37</v>
      </c>
      <c r="F963" s="29" t="s">
        <v>36</v>
      </c>
      <c r="G963" s="29">
        <v>113.8</v>
      </c>
      <c r="H963" s="71" t="s">
        <v>38</v>
      </c>
      <c r="I963" s="37" t="s">
        <v>207</v>
      </c>
    </row>
    <row r="964" spans="1:9" x14ac:dyDescent="0.25">
      <c r="A964" s="29" t="s">
        <v>12</v>
      </c>
      <c r="B964" s="29" t="s">
        <v>79</v>
      </c>
      <c r="C964" s="29">
        <v>39475</v>
      </c>
      <c r="D964" s="37" t="s">
        <v>3267</v>
      </c>
      <c r="E964" s="29" t="s">
        <v>37</v>
      </c>
      <c r="F964" s="29" t="s">
        <v>36</v>
      </c>
      <c r="G964" s="29">
        <v>129.12</v>
      </c>
      <c r="H964" s="71" t="s">
        <v>38</v>
      </c>
      <c r="I964" s="37" t="s">
        <v>207</v>
      </c>
    </row>
    <row r="965" spans="1:9" x14ac:dyDescent="0.25">
      <c r="A965" s="29" t="s">
        <v>12</v>
      </c>
      <c r="B965" s="29" t="s">
        <v>79</v>
      </c>
      <c r="C965" s="29">
        <v>39476</v>
      </c>
      <c r="D965" s="37" t="s">
        <v>3268</v>
      </c>
      <c r="E965" s="29" t="s">
        <v>37</v>
      </c>
      <c r="F965" s="29" t="s">
        <v>36</v>
      </c>
      <c r="G965" s="29">
        <v>243.06</v>
      </c>
      <c r="H965" s="71" t="s">
        <v>38</v>
      </c>
      <c r="I965" s="37" t="s">
        <v>207</v>
      </c>
    </row>
    <row r="966" spans="1:9" x14ac:dyDescent="0.25">
      <c r="A966" s="29" t="s">
        <v>12</v>
      </c>
      <c r="B966" s="29" t="s">
        <v>79</v>
      </c>
      <c r="C966" s="29">
        <v>39477</v>
      </c>
      <c r="D966" s="37" t="s">
        <v>3269</v>
      </c>
      <c r="E966" s="29" t="s">
        <v>37</v>
      </c>
      <c r="F966" s="29" t="s">
        <v>36</v>
      </c>
      <c r="G966" s="29">
        <v>119.09</v>
      </c>
      <c r="H966" s="71" t="s">
        <v>38</v>
      </c>
      <c r="I966" s="37" t="s">
        <v>207</v>
      </c>
    </row>
    <row r="967" spans="1:9" x14ac:dyDescent="0.25">
      <c r="A967" s="29" t="s">
        <v>12</v>
      </c>
      <c r="B967" s="29" t="s">
        <v>79</v>
      </c>
      <c r="C967" s="29">
        <v>39478</v>
      </c>
      <c r="D967" s="37" t="s">
        <v>3270</v>
      </c>
      <c r="E967" s="29" t="s">
        <v>37</v>
      </c>
      <c r="F967" s="29" t="s">
        <v>36</v>
      </c>
      <c r="G967" s="29">
        <v>122.78</v>
      </c>
      <c r="H967" s="71" t="s">
        <v>38</v>
      </c>
      <c r="I967" s="37" t="s">
        <v>207</v>
      </c>
    </row>
    <row r="968" spans="1:9" x14ac:dyDescent="0.25">
      <c r="A968" s="29" t="s">
        <v>12</v>
      </c>
      <c r="B968" s="29" t="s">
        <v>79</v>
      </c>
      <c r="C968" s="29">
        <v>39479</v>
      </c>
      <c r="D968" s="37" t="s">
        <v>3271</v>
      </c>
      <c r="E968" s="29" t="s">
        <v>37</v>
      </c>
      <c r="F968" s="29" t="s">
        <v>36</v>
      </c>
      <c r="G968" s="29">
        <v>144.66</v>
      </c>
      <c r="H968" s="71" t="s">
        <v>38</v>
      </c>
      <c r="I968" s="37" t="s">
        <v>207</v>
      </c>
    </row>
    <row r="969" spans="1:9" x14ac:dyDescent="0.25">
      <c r="A969" s="29" t="s">
        <v>12</v>
      </c>
      <c r="B969" s="29" t="s">
        <v>79</v>
      </c>
      <c r="C969" s="29">
        <v>39480</v>
      </c>
      <c r="D969" s="37" t="s">
        <v>3272</v>
      </c>
      <c r="E969" s="29" t="s">
        <v>37</v>
      </c>
      <c r="F969" s="29" t="s">
        <v>36</v>
      </c>
      <c r="G969" s="29">
        <v>298.5</v>
      </c>
      <c r="H969" s="71" t="s">
        <v>38</v>
      </c>
      <c r="I969" s="37" t="s">
        <v>207</v>
      </c>
    </row>
    <row r="970" spans="1:9" x14ac:dyDescent="0.25">
      <c r="A970" s="29" t="s">
        <v>12</v>
      </c>
      <c r="B970" s="29" t="s">
        <v>79</v>
      </c>
      <c r="C970" s="29" t="s">
        <v>34</v>
      </c>
      <c r="D970" s="37" t="s">
        <v>3328</v>
      </c>
      <c r="E970" s="29" t="s">
        <v>83</v>
      </c>
      <c r="F970" s="29" t="s">
        <v>36</v>
      </c>
      <c r="G970" s="29">
        <v>66.489999999999995</v>
      </c>
      <c r="H970" s="71" t="s">
        <v>3153</v>
      </c>
      <c r="I970" s="37" t="str">
        <f>"https://www.lojaclamper.com.br/dps-clamper-serie-700--faster-722-b-010/p; https://www.lojaclamper.com.br/dps-clamper-serie-700-722-b-010/p"</f>
        <v>https://www.lojaclamper.com.br/dps-clamper-serie-700--faster-722-b-010/p; https://www.lojaclamper.com.br/dps-clamper-serie-700-722-b-010/p</v>
      </c>
    </row>
    <row r="971" spans="1:9" x14ac:dyDescent="0.25">
      <c r="A971" s="29" t="s">
        <v>12</v>
      </c>
      <c r="B971" s="29" t="s">
        <v>79</v>
      </c>
      <c r="C971" s="29" t="s">
        <v>34</v>
      </c>
      <c r="D971" s="37" t="s">
        <v>3417</v>
      </c>
      <c r="E971" s="29" t="s">
        <v>83</v>
      </c>
      <c r="F971" s="29" t="s">
        <v>36</v>
      </c>
      <c r="G971" s="29">
        <v>124.99</v>
      </c>
      <c r="H971" s="71" t="s">
        <v>3352</v>
      </c>
      <c r="I971" s="37" t="str">
        <f>"https://www.lojaclamper.com.br/dps-clamper-serie-800/p"</f>
        <v>https://www.lojaclamper.com.br/dps-clamper-serie-800/p</v>
      </c>
    </row>
    <row r="972" spans="1:9" x14ac:dyDescent="0.25">
      <c r="A972" s="29" t="s">
        <v>12</v>
      </c>
      <c r="B972" s="29" t="s">
        <v>79</v>
      </c>
      <c r="C972" s="29" t="s">
        <v>34</v>
      </c>
      <c r="D972" s="37" t="s">
        <v>3416</v>
      </c>
      <c r="E972" s="29" t="s">
        <v>83</v>
      </c>
      <c r="F972" s="29" t="s">
        <v>36</v>
      </c>
      <c r="G972" s="29">
        <v>63.99</v>
      </c>
      <c r="H972" s="71" t="s">
        <v>3352</v>
      </c>
      <c r="I972" s="37" t="str">
        <f>"https://www.lojaclamper.com.br/copia-de-clamper-serie-700-722-b-010/p"</f>
        <v>https://www.lojaclamper.com.br/copia-de-clamper-serie-700-722-b-010/p</v>
      </c>
    </row>
    <row r="973" spans="1:9" x14ac:dyDescent="0.25">
      <c r="A973" s="29" t="s">
        <v>12</v>
      </c>
      <c r="B973" s="29" t="s">
        <v>79</v>
      </c>
      <c r="C973" s="29" t="s">
        <v>34</v>
      </c>
      <c r="D973" s="37" t="s">
        <v>3329</v>
      </c>
      <c r="E973" s="29" t="s">
        <v>83</v>
      </c>
      <c r="F973" s="29" t="s">
        <v>36</v>
      </c>
      <c r="G973" s="29">
        <v>89.99</v>
      </c>
      <c r="H973" s="71" t="s">
        <v>3153</v>
      </c>
      <c r="I973" s="37" t="str">
        <f>"https://www.lojaclamper.com.br/dps-clamper-serie-s700-722-b-010-050-faster-50v/p; https://www.lojaclamper.com.br/copia-de-clamper-serie-700-722-b-010---127v/p"</f>
        <v>https://www.lojaclamper.com.br/dps-clamper-serie-s700-722-b-010-050-faster-50v/p; https://www.lojaclamper.com.br/copia-de-clamper-serie-700-722-b-010---127v/p</v>
      </c>
    </row>
    <row r="974" spans="1:9" x14ac:dyDescent="0.25">
      <c r="A974" s="29" t="s">
        <v>12</v>
      </c>
      <c r="B974" s="29" t="s">
        <v>79</v>
      </c>
      <c r="C974" s="29" t="s">
        <v>34</v>
      </c>
      <c r="D974" s="37" t="s">
        <v>3418</v>
      </c>
      <c r="E974" s="29" t="s">
        <v>83</v>
      </c>
      <c r="F974" s="29" t="s">
        <v>36</v>
      </c>
      <c r="G974" s="29">
        <v>141.99</v>
      </c>
      <c r="H974" s="71" t="s">
        <v>3352</v>
      </c>
      <c r="I974" s="37" t="str">
        <f>"https://www.lojaclamper.com.br/dps-clamper-serie-900-923-010-060/p"</f>
        <v>https://www.lojaclamper.com.br/dps-clamper-serie-900-923-010-060/p</v>
      </c>
    </row>
    <row r="975" spans="1:9" x14ac:dyDescent="0.25">
      <c r="A975" s="29" t="s">
        <v>12</v>
      </c>
      <c r="B975" s="29" t="s">
        <v>79</v>
      </c>
      <c r="C975" s="29" t="s">
        <v>34</v>
      </c>
      <c r="D975" s="37" t="s">
        <v>3405</v>
      </c>
      <c r="E975" s="29" t="s">
        <v>83</v>
      </c>
      <c r="F975" s="29" t="s">
        <v>36</v>
      </c>
      <c r="G975" s="29">
        <v>150.99</v>
      </c>
      <c r="H975" s="71" t="s">
        <v>3352</v>
      </c>
      <c r="I975" s="37" t="str">
        <f>"https://www.lojaclamper.com.br/clamper-dcl-10ka-slim-sr/p"</f>
        <v>https://www.lojaclamper.com.br/clamper-dcl-10ka-slim-sr/p</v>
      </c>
    </row>
    <row r="976" spans="1:9" x14ac:dyDescent="0.25">
      <c r="A976" s="29" t="s">
        <v>12</v>
      </c>
      <c r="B976" s="29" t="s">
        <v>79</v>
      </c>
      <c r="C976" s="29" t="s">
        <v>34</v>
      </c>
      <c r="D976" s="37" t="s">
        <v>3380</v>
      </c>
      <c r="E976" s="29" t="s">
        <v>83</v>
      </c>
      <c r="F976" s="29" t="s">
        <v>36</v>
      </c>
      <c r="G976" s="29">
        <v>40.99</v>
      </c>
      <c r="H976" s="71" t="s">
        <v>3153</v>
      </c>
      <c r="I976" s="37" t="str">
        <f>"https://www.lojaclamper.com.br/clamper-front-15ka/p"</f>
        <v>https://www.lojaclamper.com.br/clamper-front-15ka/p</v>
      </c>
    </row>
    <row r="977" spans="1:9" x14ac:dyDescent="0.25">
      <c r="A977" s="29" t="s">
        <v>12</v>
      </c>
      <c r="B977" s="29" t="s">
        <v>79</v>
      </c>
      <c r="C977" s="29" t="s">
        <v>34</v>
      </c>
      <c r="D977" s="37" t="s">
        <v>3381</v>
      </c>
      <c r="E977" s="29" t="s">
        <v>83</v>
      </c>
      <c r="F977" s="29" t="s">
        <v>36</v>
      </c>
      <c r="G977" s="29">
        <v>65.989999999999995</v>
      </c>
      <c r="H977" s="71" t="s">
        <v>3153</v>
      </c>
      <c r="I977" s="37" t="str">
        <f>"https://www.lojaclamper.com.br/clamper-front-45ka/p"</f>
        <v>https://www.lojaclamper.com.br/clamper-front-45ka/p</v>
      </c>
    </row>
    <row r="978" spans="1:9" x14ac:dyDescent="0.25">
      <c r="A978" s="29" t="s">
        <v>12</v>
      </c>
      <c r="B978" s="29" t="s">
        <v>79</v>
      </c>
      <c r="C978" s="29" t="s">
        <v>34</v>
      </c>
      <c r="D978" s="37" t="s">
        <v>3393</v>
      </c>
      <c r="E978" s="29" t="s">
        <v>83</v>
      </c>
      <c r="F978" s="29" t="s">
        <v>36</v>
      </c>
      <c r="G978" s="29">
        <v>95.99</v>
      </c>
      <c r="H978" s="71" t="s">
        <v>3352</v>
      </c>
      <c r="I978" s="37" t="str">
        <f>"https://www.lojaclamper.com.br/plugue-clamper-front-12-5-60ka/p"</f>
        <v>https://www.lojaclamper.com.br/plugue-clamper-front-12-5-60ka/p</v>
      </c>
    </row>
    <row r="979" spans="1:9" x14ac:dyDescent="0.25">
      <c r="A979" s="29" t="s">
        <v>12</v>
      </c>
      <c r="B979" s="29" t="s">
        <v>79</v>
      </c>
      <c r="C979" s="29" t="s">
        <v>34</v>
      </c>
      <c r="D979" s="37" t="s">
        <v>3386</v>
      </c>
      <c r="E979" s="29" t="s">
        <v>83</v>
      </c>
      <c r="F979" s="29" t="s">
        <v>36</v>
      </c>
      <c r="G979" s="29">
        <v>32.99</v>
      </c>
      <c r="H979" s="71" t="s">
        <v>3153</v>
      </c>
      <c r="I979" s="37" t="str">
        <f>"https://www.lojaclamper.com.br/plugue-clamper-front-15ka/p"</f>
        <v>https://www.lojaclamper.com.br/plugue-clamper-front-15ka/p</v>
      </c>
    </row>
    <row r="980" spans="1:9" x14ac:dyDescent="0.25">
      <c r="A980" s="29" t="s">
        <v>12</v>
      </c>
      <c r="B980" s="29" t="s">
        <v>79</v>
      </c>
      <c r="C980" s="29" t="s">
        <v>34</v>
      </c>
      <c r="D980" s="37" t="s">
        <v>3389</v>
      </c>
      <c r="E980" s="29" t="s">
        <v>83</v>
      </c>
      <c r="F980" s="29" t="s">
        <v>36</v>
      </c>
      <c r="G980" s="29">
        <v>36.99</v>
      </c>
      <c r="H980" s="71" t="s">
        <v>3352</v>
      </c>
      <c r="I980" s="37" t="str">
        <f>"https://www.lojaclamper.com.br/plugue-clamper-front-20ka/p"</f>
        <v>https://www.lojaclamper.com.br/plugue-clamper-front-20ka/p</v>
      </c>
    </row>
    <row r="981" spans="1:9" x14ac:dyDescent="0.25">
      <c r="A981" s="29" t="s">
        <v>12</v>
      </c>
      <c r="B981" s="29" t="s">
        <v>79</v>
      </c>
      <c r="C981" s="29" t="s">
        <v>34</v>
      </c>
      <c r="D981" s="37" t="s">
        <v>3385</v>
      </c>
      <c r="E981" s="29" t="s">
        <v>83</v>
      </c>
      <c r="F981" s="29" t="s">
        <v>36</v>
      </c>
      <c r="G981" s="29">
        <v>42.99</v>
      </c>
      <c r="H981" s="71" t="s">
        <v>3352</v>
      </c>
      <c r="I981" s="37" t="str">
        <f>"https://www.lojaclamper.com.br/plugue-clamper-front-45ka/p"</f>
        <v>https://www.lojaclamper.com.br/plugue-clamper-front-45ka/p</v>
      </c>
    </row>
    <row r="982" spans="1:9" x14ac:dyDescent="0.25">
      <c r="A982" s="29" t="s">
        <v>12</v>
      </c>
      <c r="B982" s="29" t="s">
        <v>79</v>
      </c>
      <c r="C982" s="29" t="s">
        <v>34</v>
      </c>
      <c r="D982" s="37" t="s">
        <v>3394</v>
      </c>
      <c r="E982" s="29" t="s">
        <v>83</v>
      </c>
      <c r="F982" s="29" t="s">
        <v>36</v>
      </c>
      <c r="G982" s="29">
        <v>95.99</v>
      </c>
      <c r="H982" s="71" t="s">
        <v>3352</v>
      </c>
      <c r="I982" s="37" t="str">
        <f>"https://www.lojaclamper.com.br/plugue-clamper-front-12-5-60ka/p"</f>
        <v>https://www.lojaclamper.com.br/plugue-clamper-front-12-5-60ka/p</v>
      </c>
    </row>
    <row r="983" spans="1:9" x14ac:dyDescent="0.25">
      <c r="A983" s="29" t="s">
        <v>12</v>
      </c>
      <c r="B983" s="29" t="s">
        <v>79</v>
      </c>
      <c r="C983" s="29" t="s">
        <v>34</v>
      </c>
      <c r="D983" s="37" t="s">
        <v>3387</v>
      </c>
      <c r="E983" s="29" t="s">
        <v>83</v>
      </c>
      <c r="F983" s="29" t="s">
        <v>36</v>
      </c>
      <c r="G983" s="29">
        <v>32.99</v>
      </c>
      <c r="H983" s="71" t="s">
        <v>3153</v>
      </c>
      <c r="I983" s="37" t="str">
        <f>"https://www.lojaclamper.com.br/plugue-clamper-front-15ka/p"</f>
        <v>https://www.lojaclamper.com.br/plugue-clamper-front-15ka/p</v>
      </c>
    </row>
    <row r="984" spans="1:9" x14ac:dyDescent="0.25">
      <c r="A984" s="29" t="s">
        <v>12</v>
      </c>
      <c r="B984" s="29" t="s">
        <v>79</v>
      </c>
      <c r="C984" s="29" t="s">
        <v>34</v>
      </c>
      <c r="D984" s="37" t="s">
        <v>3392</v>
      </c>
      <c r="E984" s="29" t="s">
        <v>83</v>
      </c>
      <c r="F984" s="29" t="s">
        <v>36</v>
      </c>
      <c r="G984" s="29">
        <v>40.99</v>
      </c>
      <c r="H984" s="71" t="s">
        <v>3352</v>
      </c>
      <c r="I984" s="37" t="str">
        <f>"https://www.lojaclamper.com.br/protetor-contra-surtos--dps--para-quadros-eletricos---clamper-front-30ka---plugue/p"</f>
        <v>https://www.lojaclamper.com.br/protetor-contra-surtos--dps--para-quadros-eletricos---clamper-front-30ka---plugue/p</v>
      </c>
    </row>
    <row r="985" spans="1:9" x14ac:dyDescent="0.25">
      <c r="A985" s="29" t="s">
        <v>12</v>
      </c>
      <c r="B985" s="29" t="s">
        <v>79</v>
      </c>
      <c r="C985" s="29" t="s">
        <v>34</v>
      </c>
      <c r="D985" s="37" t="s">
        <v>3384</v>
      </c>
      <c r="E985" s="29" t="s">
        <v>83</v>
      </c>
      <c r="F985" s="29" t="s">
        <v>36</v>
      </c>
      <c r="G985" s="29">
        <v>42.99</v>
      </c>
      <c r="H985" s="71" t="s">
        <v>3352</v>
      </c>
      <c r="I985" s="37" t="str">
        <f>"https://www.lojaclamper.com.br/plugue-clamper-front-45ka/p"</f>
        <v>https://www.lojaclamper.com.br/plugue-clamper-front-45ka/p</v>
      </c>
    </row>
    <row r="986" spans="1:9" x14ac:dyDescent="0.25">
      <c r="A986" s="29" t="s">
        <v>12</v>
      </c>
      <c r="B986" s="29" t="s">
        <v>79</v>
      </c>
      <c r="C986" s="29" t="s">
        <v>34</v>
      </c>
      <c r="D986" s="37" t="s">
        <v>3395</v>
      </c>
      <c r="E986" s="29" t="s">
        <v>83</v>
      </c>
      <c r="F986" s="29" t="s">
        <v>36</v>
      </c>
      <c r="G986" s="29">
        <v>144.99</v>
      </c>
      <c r="H986" s="71" t="s">
        <v>3352</v>
      </c>
      <c r="I986" s="37" t="str">
        <f>"https://www.lojaclamper.com.br/plugue-clamper-front-12-5-60ka/p"</f>
        <v>https://www.lojaclamper.com.br/plugue-clamper-front-12-5-60ka/p</v>
      </c>
    </row>
    <row r="987" spans="1:9" x14ac:dyDescent="0.25">
      <c r="A987" s="29" t="s">
        <v>12</v>
      </c>
      <c r="B987" s="29" t="s">
        <v>79</v>
      </c>
      <c r="C987" s="29" t="s">
        <v>34</v>
      </c>
      <c r="D987" s="37" t="s">
        <v>3388</v>
      </c>
      <c r="E987" s="29" t="s">
        <v>83</v>
      </c>
      <c r="F987" s="29" t="s">
        <v>36</v>
      </c>
      <c r="G987" s="29">
        <v>43.99</v>
      </c>
      <c r="H987" s="71" t="s">
        <v>3153</v>
      </c>
      <c r="I987" s="37" t="str">
        <f>"https://www.lojaclamper.com.br/plugue-clamper-front-15ka/p"</f>
        <v>https://www.lojaclamper.com.br/plugue-clamper-front-15ka/p</v>
      </c>
    </row>
    <row r="988" spans="1:9" x14ac:dyDescent="0.25">
      <c r="A988" s="29" t="s">
        <v>12</v>
      </c>
      <c r="B988" s="29" t="s">
        <v>79</v>
      </c>
      <c r="C988" s="29" t="s">
        <v>34</v>
      </c>
      <c r="D988" s="37" t="s">
        <v>3390</v>
      </c>
      <c r="E988" s="29" t="s">
        <v>83</v>
      </c>
      <c r="F988" s="29" t="s">
        <v>36</v>
      </c>
      <c r="G988" s="29">
        <v>49.99</v>
      </c>
      <c r="H988" s="71" t="s">
        <v>3352</v>
      </c>
      <c r="I988" s="37" t="str">
        <f>"https://www.lojaclamper.com.br/plugue-clamper-front-20ka/p"</f>
        <v>https://www.lojaclamper.com.br/plugue-clamper-front-20ka/p</v>
      </c>
    </row>
    <row r="989" spans="1:9" x14ac:dyDescent="0.25">
      <c r="A989" s="29" t="s">
        <v>12</v>
      </c>
      <c r="B989" s="29" t="s">
        <v>79</v>
      </c>
      <c r="C989" s="29" t="s">
        <v>34</v>
      </c>
      <c r="D989" s="37" t="s">
        <v>3396</v>
      </c>
      <c r="E989" s="29" t="s">
        <v>83</v>
      </c>
      <c r="F989" s="29" t="s">
        <v>36</v>
      </c>
      <c r="G989" s="29">
        <v>144.99</v>
      </c>
      <c r="H989" s="71" t="s">
        <v>3352</v>
      </c>
      <c r="I989" s="37" t="str">
        <f>"https://www.lojaclamper.com.br/plugue-clamper-front-12-5-60ka/p"</f>
        <v>https://www.lojaclamper.com.br/plugue-clamper-front-12-5-60ka/p</v>
      </c>
    </row>
    <row r="990" spans="1:9" x14ac:dyDescent="0.25">
      <c r="A990" s="29" t="s">
        <v>12</v>
      </c>
      <c r="B990" s="29" t="s">
        <v>79</v>
      </c>
      <c r="C990" s="29" t="s">
        <v>34</v>
      </c>
      <c r="D990" s="37" t="s">
        <v>3382</v>
      </c>
      <c r="E990" s="29" t="s">
        <v>83</v>
      </c>
      <c r="F990" s="29" t="s">
        <v>36</v>
      </c>
      <c r="G990" s="29">
        <v>43.99</v>
      </c>
      <c r="H990" s="71" t="s">
        <v>3153</v>
      </c>
      <c r="I990" s="37" t="str">
        <f>"https://www.lojaclamper.com.br/plugue-clamper-front-15ka/p"</f>
        <v>https://www.lojaclamper.com.br/plugue-clamper-front-15ka/p</v>
      </c>
    </row>
    <row r="991" spans="1:9" x14ac:dyDescent="0.25">
      <c r="A991" s="29" t="s">
        <v>12</v>
      </c>
      <c r="B991" s="29" t="s">
        <v>79</v>
      </c>
      <c r="C991" s="29" t="s">
        <v>34</v>
      </c>
      <c r="D991" s="37" t="s">
        <v>3391</v>
      </c>
      <c r="E991" s="29" t="s">
        <v>83</v>
      </c>
      <c r="F991" s="29" t="s">
        <v>36</v>
      </c>
      <c r="G991" s="29">
        <v>49.99</v>
      </c>
      <c r="H991" s="71" t="s">
        <v>3352</v>
      </c>
      <c r="I991" s="37" t="str">
        <f>"https://www.lojaclamper.com.br/plugue-clamper-front-20ka/p"</f>
        <v>https://www.lojaclamper.com.br/plugue-clamper-front-20ka/p</v>
      </c>
    </row>
    <row r="992" spans="1:9" x14ac:dyDescent="0.25">
      <c r="A992" s="29" t="s">
        <v>12</v>
      </c>
      <c r="B992" s="29" t="s">
        <v>79</v>
      </c>
      <c r="C992" s="29" t="s">
        <v>34</v>
      </c>
      <c r="D992" s="37" t="s">
        <v>3383</v>
      </c>
      <c r="E992" s="29" t="s">
        <v>83</v>
      </c>
      <c r="F992" s="29" t="s">
        <v>36</v>
      </c>
      <c r="G992" s="29">
        <v>60.99</v>
      </c>
      <c r="H992" s="71" t="s">
        <v>3352</v>
      </c>
      <c r="I992" s="37" t="str">
        <f>"https://www.lojaclamper.com.br/plugue-clamper-front-45ka/p"</f>
        <v>https://www.lojaclamper.com.br/plugue-clamper-front-45ka/p</v>
      </c>
    </row>
    <row r="993" spans="1:9" x14ac:dyDescent="0.25">
      <c r="A993" s="29" t="s">
        <v>12</v>
      </c>
      <c r="B993" s="29" t="s">
        <v>79</v>
      </c>
      <c r="C993" s="29" t="s">
        <v>34</v>
      </c>
      <c r="D993" s="37" t="s">
        <v>3332</v>
      </c>
      <c r="E993" s="29" t="s">
        <v>83</v>
      </c>
      <c r="F993" s="29" t="s">
        <v>36</v>
      </c>
      <c r="G993" s="29">
        <v>73.989999999999995</v>
      </c>
      <c r="H993" s="71" t="s">
        <v>3153</v>
      </c>
      <c r="I993" s="37" t="str">
        <f>"https://www.lojaclamper.com.br/dps-clamper-front-v-bipolar-175v-15ka-2-0---ci-classe-ii/p"</f>
        <v>https://www.lojaclamper.com.br/dps-clamper-front-v-bipolar-175v-15ka-2-0---ci-classe-ii/p</v>
      </c>
    </row>
    <row r="994" spans="1:9" x14ac:dyDescent="0.25">
      <c r="A994" s="29" t="s">
        <v>12</v>
      </c>
      <c r="B994" s="29" t="s">
        <v>79</v>
      </c>
      <c r="C994" s="29" t="s">
        <v>34</v>
      </c>
      <c r="D994" s="37" t="s">
        <v>3333</v>
      </c>
      <c r="E994" s="29" t="s">
        <v>83</v>
      </c>
      <c r="F994" s="29" t="s">
        <v>36</v>
      </c>
      <c r="G994" s="29">
        <v>83.99</v>
      </c>
      <c r="H994" s="71" t="s">
        <v>3153</v>
      </c>
      <c r="I994" s="37" t="str">
        <f>"https://www.lojaclamper.com.br/dps-clamper-front-v-bipolar-175v-20ka-2-0---ci-classe-ii/p"</f>
        <v>https://www.lojaclamper.com.br/dps-clamper-front-v-bipolar-175v-20ka-2-0---ci-classe-ii/p</v>
      </c>
    </row>
    <row r="995" spans="1:9" x14ac:dyDescent="0.25">
      <c r="A995" s="29" t="s">
        <v>12</v>
      </c>
      <c r="B995" s="29" t="s">
        <v>79</v>
      </c>
      <c r="C995" s="29" t="s">
        <v>34</v>
      </c>
      <c r="D995" s="37" t="s">
        <v>3334</v>
      </c>
      <c r="E995" s="29" t="s">
        <v>83</v>
      </c>
      <c r="F995" s="29" t="s">
        <v>36</v>
      </c>
      <c r="G995" s="29">
        <v>97.99</v>
      </c>
      <c r="H995" s="71" t="s">
        <v>3153</v>
      </c>
      <c r="I995" s="37" t="str">
        <f>"https://www.lojaclamper.com.br/dps-clamper-front-v-bipolar-175v-45ka-2-0---ci-classe-ii/p"</f>
        <v>https://www.lojaclamper.com.br/dps-clamper-front-v-bipolar-175v-45ka-2-0---ci-classe-ii/p</v>
      </c>
    </row>
    <row r="996" spans="1:9" x14ac:dyDescent="0.25">
      <c r="A996" s="29" t="s">
        <v>12</v>
      </c>
      <c r="B996" s="29" t="s">
        <v>79</v>
      </c>
      <c r="C996" s="29" t="s">
        <v>34</v>
      </c>
      <c r="D996" s="37" t="s">
        <v>3335</v>
      </c>
      <c r="E996" s="29" t="s">
        <v>83</v>
      </c>
      <c r="F996" s="29" t="s">
        <v>36</v>
      </c>
      <c r="G996" s="29">
        <v>278.99</v>
      </c>
      <c r="H996" s="71" t="s">
        <v>3153</v>
      </c>
      <c r="I996" s="37" t="str">
        <f>"https://www.lojaclamper.com.br/dps-clamper-front-v-275v-bipolar-12-5-60ka-2-0---ci/p"</f>
        <v>https://www.lojaclamper.com.br/dps-clamper-front-v-275v-bipolar-12-5-60ka-2-0---ci/p</v>
      </c>
    </row>
    <row r="997" spans="1:9" x14ac:dyDescent="0.25">
      <c r="A997" s="29" t="s">
        <v>12</v>
      </c>
      <c r="B997" s="29" t="s">
        <v>79</v>
      </c>
      <c r="C997" s="29" t="s">
        <v>34</v>
      </c>
      <c r="D997" s="37" t="s">
        <v>3336</v>
      </c>
      <c r="E997" s="29" t="s">
        <v>83</v>
      </c>
      <c r="F997" s="29" t="s">
        <v>36</v>
      </c>
      <c r="G997" s="29">
        <v>75.989999999999995</v>
      </c>
      <c r="H997" s="71" t="s">
        <v>3153</v>
      </c>
      <c r="I997" s="37" t="str">
        <f>"https://www.lojaclamper.com.br/dps-clamper-front-v-bipolar-275v-15ka-2-0---ci-classe-ii/p"</f>
        <v>https://www.lojaclamper.com.br/dps-clamper-front-v-bipolar-275v-15ka-2-0---ci-classe-ii/p</v>
      </c>
    </row>
    <row r="998" spans="1:9" x14ac:dyDescent="0.25">
      <c r="A998" s="29" t="s">
        <v>12</v>
      </c>
      <c r="B998" s="29" t="s">
        <v>79</v>
      </c>
      <c r="C998" s="29" t="s">
        <v>34</v>
      </c>
      <c r="D998" s="37" t="s">
        <v>3337</v>
      </c>
      <c r="E998" s="29" t="s">
        <v>83</v>
      </c>
      <c r="F998" s="29" t="s">
        <v>36</v>
      </c>
      <c r="G998" s="29">
        <v>85.99</v>
      </c>
      <c r="H998" s="71" t="s">
        <v>3153</v>
      </c>
      <c r="I998" s="37" t="str">
        <f>"https://www.lojaclamper.com.br/dps-clamper-front-v-bipolar-275v-20ka-2-0---ci-classe-ii/p"</f>
        <v>https://www.lojaclamper.com.br/dps-clamper-front-v-bipolar-275v-20ka-2-0---ci-classe-ii/p</v>
      </c>
    </row>
    <row r="999" spans="1:9" x14ac:dyDescent="0.25">
      <c r="A999" s="29" t="s">
        <v>12</v>
      </c>
      <c r="B999" s="29" t="s">
        <v>79</v>
      </c>
      <c r="C999" s="29" t="s">
        <v>34</v>
      </c>
      <c r="D999" s="37" t="s">
        <v>3338</v>
      </c>
      <c r="E999" s="29" t="s">
        <v>83</v>
      </c>
      <c r="F999" s="29" t="s">
        <v>36</v>
      </c>
      <c r="G999" s="29">
        <v>99.99</v>
      </c>
      <c r="H999" s="71" t="s">
        <v>3153</v>
      </c>
      <c r="I999" s="37" t="str">
        <f>"https://www.lojaclamper.com.br/dps-clamper-front-v-bipolar-275v-45ka-2-0---ci-classe-ii/p"</f>
        <v>https://www.lojaclamper.com.br/dps-clamper-front-v-bipolar-275v-45ka-2-0---ci-classe-ii/p</v>
      </c>
    </row>
    <row r="1000" spans="1:9" x14ac:dyDescent="0.25">
      <c r="A1000" s="29" t="s">
        <v>12</v>
      </c>
      <c r="B1000" s="29" t="s">
        <v>79</v>
      </c>
      <c r="C1000" s="29" t="s">
        <v>34</v>
      </c>
      <c r="D1000" s="37" t="s">
        <v>3397</v>
      </c>
      <c r="E1000" s="29" t="s">
        <v>83</v>
      </c>
      <c r="F1000" s="29" t="s">
        <v>36</v>
      </c>
      <c r="G1000" s="29">
        <v>145.99</v>
      </c>
      <c r="H1000" s="71" t="s">
        <v>3352</v>
      </c>
      <c r="I1000" s="37" t="str">
        <f>"https://www.lojaclamper.com.br/clamper-front-125-60ka-sr/p"</f>
        <v>https://www.lojaclamper.com.br/clamper-front-125-60ka-sr/p</v>
      </c>
    </row>
    <row r="1001" spans="1:9" x14ac:dyDescent="0.25">
      <c r="A1001" s="29" t="s">
        <v>12</v>
      </c>
      <c r="B1001" s="29" t="s">
        <v>79</v>
      </c>
      <c r="C1001" s="29" t="s">
        <v>34</v>
      </c>
      <c r="D1001" s="37" t="s">
        <v>3398</v>
      </c>
      <c r="E1001" s="29" t="s">
        <v>83</v>
      </c>
      <c r="F1001" s="29" t="s">
        <v>36</v>
      </c>
      <c r="G1001" s="29">
        <v>145.99</v>
      </c>
      <c r="H1001" s="71" t="s">
        <v>3352</v>
      </c>
      <c r="I1001" s="37" t="str">
        <f>"https://www.lojaclamper.com.br/clamper-front-125-60ka-sr/p"</f>
        <v>https://www.lojaclamper.com.br/clamper-front-125-60ka-sr/p</v>
      </c>
    </row>
    <row r="1002" spans="1:9" x14ac:dyDescent="0.25">
      <c r="A1002" s="29" t="s">
        <v>12</v>
      </c>
      <c r="B1002" s="29" t="s">
        <v>79</v>
      </c>
      <c r="C1002" s="29" t="s">
        <v>34</v>
      </c>
      <c r="D1002" s="37" t="s">
        <v>3399</v>
      </c>
      <c r="E1002" s="29" t="s">
        <v>83</v>
      </c>
      <c r="F1002" s="29" t="s">
        <v>36</v>
      </c>
      <c r="G1002" s="29">
        <v>155.99</v>
      </c>
      <c r="H1002" s="71" t="s">
        <v>3352</v>
      </c>
      <c r="I1002" s="37" t="str">
        <f>"https://www.lojaclamper.com.br/clamper-front-125-60ka-sr/p"</f>
        <v>https://www.lojaclamper.com.br/clamper-front-125-60ka-sr/p</v>
      </c>
    </row>
    <row r="1003" spans="1:9" x14ac:dyDescent="0.25">
      <c r="A1003" s="29" t="s">
        <v>12</v>
      </c>
      <c r="B1003" s="29" t="s">
        <v>79</v>
      </c>
      <c r="C1003" s="29" t="s">
        <v>34</v>
      </c>
      <c r="D1003" s="37" t="s">
        <v>3400</v>
      </c>
      <c r="E1003" s="29" t="s">
        <v>83</v>
      </c>
      <c r="F1003" s="29" t="s">
        <v>36</v>
      </c>
      <c r="G1003" s="29">
        <v>176.99</v>
      </c>
      <c r="H1003" s="71" t="s">
        <v>3352</v>
      </c>
      <c r="I1003" s="37" t="str">
        <f>"https://www.lojaclamper.com.br/clamper-front-125-60ka-sr/p"</f>
        <v>https://www.lojaclamper.com.br/clamper-front-125-60ka-sr/p</v>
      </c>
    </row>
    <row r="1004" spans="1:9" x14ac:dyDescent="0.25">
      <c r="A1004" s="29" t="s">
        <v>12</v>
      </c>
      <c r="B1004" s="29" t="s">
        <v>79</v>
      </c>
      <c r="C1004" s="29" t="s">
        <v>34</v>
      </c>
      <c r="D1004" s="37" t="s">
        <v>3358</v>
      </c>
      <c r="E1004" s="29" t="s">
        <v>83</v>
      </c>
      <c r="F1004" s="29" t="s">
        <v>36</v>
      </c>
      <c r="G1004" s="29">
        <v>36.99</v>
      </c>
      <c r="H1004" s="71" t="s">
        <v>3153</v>
      </c>
      <c r="I1004" s="37" t="str">
        <f>"https://www.lojaclamper.com.br/clamper-front-v-15ka/p"</f>
        <v>https://www.lojaclamper.com.br/clamper-front-v-15ka/p</v>
      </c>
    </row>
    <row r="1005" spans="1:9" x14ac:dyDescent="0.25">
      <c r="A1005" s="29" t="s">
        <v>12</v>
      </c>
      <c r="B1005" s="29" t="s">
        <v>79</v>
      </c>
      <c r="C1005" s="29" t="s">
        <v>34</v>
      </c>
      <c r="D1005" s="37" t="s">
        <v>3359</v>
      </c>
      <c r="E1005" s="29" t="s">
        <v>83</v>
      </c>
      <c r="F1005" s="29" t="s">
        <v>36</v>
      </c>
      <c r="G1005" s="29">
        <v>57.99</v>
      </c>
      <c r="H1005" s="71" t="s">
        <v>3153</v>
      </c>
      <c r="I1005" s="37" t="str">
        <f>"https://www.lojaclamper.com.br/clamper-front-v-sr-15ka/p"</f>
        <v>https://www.lojaclamper.com.br/clamper-front-v-sr-15ka/p</v>
      </c>
    </row>
    <row r="1006" spans="1:9" x14ac:dyDescent="0.25">
      <c r="A1006" s="29" t="s">
        <v>12</v>
      </c>
      <c r="B1006" s="29" t="s">
        <v>79</v>
      </c>
      <c r="C1006" s="29" t="s">
        <v>34</v>
      </c>
      <c r="D1006" s="37" t="s">
        <v>3372</v>
      </c>
      <c r="E1006" s="29" t="s">
        <v>83</v>
      </c>
      <c r="F1006" s="29" t="s">
        <v>36</v>
      </c>
      <c r="G1006" s="29">
        <v>48.99</v>
      </c>
      <c r="H1006" s="71" t="s">
        <v>3153</v>
      </c>
      <c r="I1006" s="37" t="str">
        <f>"https://www.lojaclamper.com.br/clamper-front-v-20ka/p"</f>
        <v>https://www.lojaclamper.com.br/clamper-front-v-20ka/p</v>
      </c>
    </row>
    <row r="1007" spans="1:9" x14ac:dyDescent="0.25">
      <c r="A1007" s="29" t="s">
        <v>12</v>
      </c>
      <c r="B1007" s="29" t="s">
        <v>79</v>
      </c>
      <c r="C1007" s="29" t="s">
        <v>34</v>
      </c>
      <c r="D1007" s="37" t="s">
        <v>3362</v>
      </c>
      <c r="E1007" s="29" t="s">
        <v>83</v>
      </c>
      <c r="F1007" s="29" t="s">
        <v>36</v>
      </c>
      <c r="G1007" s="29">
        <v>62.99</v>
      </c>
      <c r="H1007" s="71" t="s">
        <v>3153</v>
      </c>
      <c r="I1007" s="37" t="str">
        <f>"https://www.lojaclamper.com.br/clamper-front-v-sr-20ka/p"</f>
        <v>https://www.lojaclamper.com.br/clamper-front-v-sr-20ka/p</v>
      </c>
    </row>
    <row r="1008" spans="1:9" x14ac:dyDescent="0.25">
      <c r="A1008" s="29" t="s">
        <v>12</v>
      </c>
      <c r="B1008" s="29" t="s">
        <v>79</v>
      </c>
      <c r="C1008" s="29" t="s">
        <v>34</v>
      </c>
      <c r="D1008" s="37" t="s">
        <v>3376</v>
      </c>
      <c r="E1008" s="29" t="s">
        <v>83</v>
      </c>
      <c r="F1008" s="29" t="s">
        <v>36</v>
      </c>
      <c r="G1008" s="29">
        <v>55.99</v>
      </c>
      <c r="H1008" s="71" t="s">
        <v>3153</v>
      </c>
      <c r="I1008" s="37" t="str">
        <f>"https://www.lojaclamper.com.br/clamper-front-v-45ka/p"</f>
        <v>https://www.lojaclamper.com.br/clamper-front-v-45ka/p</v>
      </c>
    </row>
    <row r="1009" spans="1:9" x14ac:dyDescent="0.25">
      <c r="A1009" s="29" t="s">
        <v>12</v>
      </c>
      <c r="B1009" s="29" t="s">
        <v>79</v>
      </c>
      <c r="C1009" s="29" t="s">
        <v>34</v>
      </c>
      <c r="D1009" s="37" t="s">
        <v>3364</v>
      </c>
      <c r="E1009" s="29" t="s">
        <v>83</v>
      </c>
      <c r="F1009" s="29" t="s">
        <v>36</v>
      </c>
      <c r="G1009" s="29">
        <v>69.989999999999995</v>
      </c>
      <c r="H1009" s="71" t="s">
        <v>3153</v>
      </c>
      <c r="I1009" s="37" t="str">
        <f>"https://www.lojaclamper.com.br/clamper-front-v-sr-45ka/p"</f>
        <v>https://www.lojaclamper.com.br/clamper-front-v-sr-45ka/p</v>
      </c>
    </row>
    <row r="1010" spans="1:9" x14ac:dyDescent="0.25">
      <c r="A1010" s="29" t="s">
        <v>12</v>
      </c>
      <c r="B1010" s="29" t="s">
        <v>79</v>
      </c>
      <c r="C1010" s="29" t="s">
        <v>34</v>
      </c>
      <c r="D1010" s="37" t="s">
        <v>3357</v>
      </c>
      <c r="E1010" s="29" t="s">
        <v>83</v>
      </c>
      <c r="F1010" s="29" t="s">
        <v>36</v>
      </c>
      <c r="G1010" s="29">
        <v>35.99</v>
      </c>
      <c r="H1010" s="71" t="s">
        <v>3153</v>
      </c>
      <c r="I1010" s="37" t="str">
        <f>"https://www.lojaclamper.com.br/clamper-front-12ka/p"</f>
        <v>https://www.lojaclamper.com.br/clamper-front-12ka/p</v>
      </c>
    </row>
    <row r="1011" spans="1:9" x14ac:dyDescent="0.25">
      <c r="A1011" s="29" t="s">
        <v>12</v>
      </c>
      <c r="B1011" s="29" t="s">
        <v>79</v>
      </c>
      <c r="C1011" s="29" t="s">
        <v>34</v>
      </c>
      <c r="D1011" s="37" t="s">
        <v>3360</v>
      </c>
      <c r="E1011" s="29" t="s">
        <v>83</v>
      </c>
      <c r="F1011" s="29" t="s">
        <v>36</v>
      </c>
      <c r="G1011" s="29">
        <v>36.99</v>
      </c>
      <c r="H1011" s="71" t="s">
        <v>3153</v>
      </c>
      <c r="I1011" s="37" t="str">
        <f>"https://www.lojaclamper.com.br/clamper-front-v-15ka/p"</f>
        <v>https://www.lojaclamper.com.br/clamper-front-v-15ka/p</v>
      </c>
    </row>
    <row r="1012" spans="1:9" x14ac:dyDescent="0.25">
      <c r="A1012" s="29" t="s">
        <v>12</v>
      </c>
      <c r="B1012" s="29" t="s">
        <v>79</v>
      </c>
      <c r="C1012" s="29" t="s">
        <v>34</v>
      </c>
      <c r="D1012" s="37" t="s">
        <v>3361</v>
      </c>
      <c r="E1012" s="29" t="s">
        <v>83</v>
      </c>
      <c r="F1012" s="29" t="s">
        <v>36</v>
      </c>
      <c r="G1012" s="29">
        <v>57.99</v>
      </c>
      <c r="H1012" s="71" t="s">
        <v>3153</v>
      </c>
      <c r="I1012" s="37" t="str">
        <f>"https://www.lojaclamper.com.br/clamper-front-v-sr-15ka/p"</f>
        <v>https://www.lojaclamper.com.br/clamper-front-v-sr-15ka/p</v>
      </c>
    </row>
    <row r="1013" spans="1:9" x14ac:dyDescent="0.25">
      <c r="A1013" s="29" t="s">
        <v>12</v>
      </c>
      <c r="B1013" s="29" t="s">
        <v>79</v>
      </c>
      <c r="C1013" s="29" t="s">
        <v>34</v>
      </c>
      <c r="D1013" s="37" t="s">
        <v>3373</v>
      </c>
      <c r="E1013" s="29" t="s">
        <v>83</v>
      </c>
      <c r="F1013" s="29" t="s">
        <v>36</v>
      </c>
      <c r="G1013" s="29">
        <v>48.99</v>
      </c>
      <c r="H1013" s="71" t="s">
        <v>3153</v>
      </c>
      <c r="I1013" s="37" t="str">
        <f>"https://www.lojaclamper.com.br/clamper-front-v-20ka/p"</f>
        <v>https://www.lojaclamper.com.br/clamper-front-v-20ka/p</v>
      </c>
    </row>
    <row r="1014" spans="1:9" x14ac:dyDescent="0.25">
      <c r="A1014" s="29" t="s">
        <v>12</v>
      </c>
      <c r="B1014" s="29" t="s">
        <v>79</v>
      </c>
      <c r="C1014" s="29" t="s">
        <v>34</v>
      </c>
      <c r="D1014" s="37" t="s">
        <v>3363</v>
      </c>
      <c r="E1014" s="29" t="s">
        <v>83</v>
      </c>
      <c r="F1014" s="29" t="s">
        <v>36</v>
      </c>
      <c r="G1014" s="29">
        <v>62.99</v>
      </c>
      <c r="H1014" s="71" t="s">
        <v>3153</v>
      </c>
      <c r="I1014" s="37" t="str">
        <f>"https://www.lojaclamper.com.br/clamper-front-v-sr-20ka/p"</f>
        <v>https://www.lojaclamper.com.br/clamper-front-v-sr-20ka/p</v>
      </c>
    </row>
    <row r="1015" spans="1:9" x14ac:dyDescent="0.25">
      <c r="A1015" s="29" t="s">
        <v>12</v>
      </c>
      <c r="B1015" s="29" t="s">
        <v>79</v>
      </c>
      <c r="C1015" s="29" t="s">
        <v>34</v>
      </c>
      <c r="D1015" s="37" t="s">
        <v>3377</v>
      </c>
      <c r="E1015" s="29" t="s">
        <v>83</v>
      </c>
      <c r="F1015" s="29" t="s">
        <v>36</v>
      </c>
      <c r="G1015" s="29">
        <v>55.99</v>
      </c>
      <c r="H1015" s="71" t="s">
        <v>3153</v>
      </c>
      <c r="I1015" s="37" t="str">
        <f>"https://www.lojaclamper.com.br/clamper-front-v-45ka/p"</f>
        <v>https://www.lojaclamper.com.br/clamper-front-v-45ka/p</v>
      </c>
    </row>
    <row r="1016" spans="1:9" x14ac:dyDescent="0.25">
      <c r="A1016" s="29" t="s">
        <v>12</v>
      </c>
      <c r="B1016" s="29" t="s">
        <v>79</v>
      </c>
      <c r="C1016" s="29" t="s">
        <v>34</v>
      </c>
      <c r="D1016" s="37" t="s">
        <v>3366</v>
      </c>
      <c r="E1016" s="29" t="s">
        <v>83</v>
      </c>
      <c r="F1016" s="29" t="s">
        <v>36</v>
      </c>
      <c r="G1016" s="29">
        <v>69.989999999999995</v>
      </c>
      <c r="H1016" s="71" t="s">
        <v>3153</v>
      </c>
      <c r="I1016" s="37" t="str">
        <f>"https://www.lojaclamper.com.br/clamper-front-v-sr-45ka/p"</f>
        <v>https://www.lojaclamper.com.br/clamper-front-v-sr-45ka/p</v>
      </c>
    </row>
    <row r="1017" spans="1:9" x14ac:dyDescent="0.25">
      <c r="A1017" s="29" t="s">
        <v>12</v>
      </c>
      <c r="B1017" s="29" t="s">
        <v>79</v>
      </c>
      <c r="C1017" s="29" t="s">
        <v>34</v>
      </c>
      <c r="D1017" s="37" t="s">
        <v>3370</v>
      </c>
      <c r="E1017" s="29" t="s">
        <v>83</v>
      </c>
      <c r="F1017" s="29" t="s">
        <v>36</v>
      </c>
      <c r="G1017" s="29">
        <v>46.99</v>
      </c>
      <c r="H1017" s="71" t="s">
        <v>3153</v>
      </c>
      <c r="I1017" s="37" t="str">
        <f>"https://www.lojaclamper.com.br/clamper-front-v-15ka/p"</f>
        <v>https://www.lojaclamper.com.br/clamper-front-v-15ka/p</v>
      </c>
    </row>
    <row r="1018" spans="1:9" x14ac:dyDescent="0.25">
      <c r="A1018" s="29" t="s">
        <v>12</v>
      </c>
      <c r="B1018" s="29" t="s">
        <v>79</v>
      </c>
      <c r="C1018" s="29" t="s">
        <v>34</v>
      </c>
      <c r="D1018" s="37" t="s">
        <v>3374</v>
      </c>
      <c r="E1018" s="29" t="s">
        <v>83</v>
      </c>
      <c r="F1018" s="29" t="s">
        <v>36</v>
      </c>
      <c r="G1018" s="29">
        <v>56.99</v>
      </c>
      <c r="H1018" s="71" t="s">
        <v>3153</v>
      </c>
      <c r="I1018" s="37" t="str">
        <f>"https://www.lojaclamper.com.br/clamper-front-v-20ka/p"</f>
        <v>https://www.lojaclamper.com.br/clamper-front-v-20ka/p</v>
      </c>
    </row>
    <row r="1019" spans="1:9" x14ac:dyDescent="0.25">
      <c r="A1019" s="29" t="s">
        <v>12</v>
      </c>
      <c r="B1019" s="29" t="s">
        <v>79</v>
      </c>
      <c r="C1019" s="29" t="s">
        <v>34</v>
      </c>
      <c r="D1019" s="37" t="s">
        <v>3378</v>
      </c>
      <c r="E1019" s="29" t="s">
        <v>83</v>
      </c>
      <c r="F1019" s="29" t="s">
        <v>36</v>
      </c>
      <c r="G1019" s="29">
        <v>54.99</v>
      </c>
      <c r="H1019" s="71" t="s">
        <v>3153</v>
      </c>
      <c r="I1019" s="37" t="str">
        <f>"https://www.lojaclamper.com.br/clamper-front-v-45ka/p"</f>
        <v>https://www.lojaclamper.com.br/clamper-front-v-45ka/p</v>
      </c>
    </row>
    <row r="1020" spans="1:9" x14ac:dyDescent="0.25">
      <c r="A1020" s="29" t="s">
        <v>12</v>
      </c>
      <c r="B1020" s="29" t="s">
        <v>79</v>
      </c>
      <c r="C1020" s="29" t="s">
        <v>34</v>
      </c>
      <c r="D1020" s="37" t="s">
        <v>3367</v>
      </c>
      <c r="E1020" s="29" t="s">
        <v>83</v>
      </c>
      <c r="F1020" s="29" t="s">
        <v>36</v>
      </c>
      <c r="G1020" s="29">
        <v>69.989999999999995</v>
      </c>
      <c r="H1020" s="71" t="s">
        <v>3153</v>
      </c>
      <c r="I1020" s="37" t="str">
        <f>"https://www.lojaclamper.com.br/clamper-front-v-sr-45ka/p"</f>
        <v>https://www.lojaclamper.com.br/clamper-front-v-sr-45ka/p</v>
      </c>
    </row>
    <row r="1021" spans="1:9" x14ac:dyDescent="0.25">
      <c r="A1021" s="29" t="s">
        <v>12</v>
      </c>
      <c r="B1021" s="29" t="s">
        <v>79</v>
      </c>
      <c r="C1021" s="29" t="s">
        <v>34</v>
      </c>
      <c r="D1021" s="37" t="s">
        <v>3371</v>
      </c>
      <c r="E1021" s="29" t="s">
        <v>83</v>
      </c>
      <c r="F1021" s="29" t="s">
        <v>36</v>
      </c>
      <c r="G1021" s="29">
        <v>46.99</v>
      </c>
      <c r="H1021" s="71" t="s">
        <v>3153</v>
      </c>
      <c r="I1021" s="37" t="str">
        <f>"https://www.lojaclamper.com.br/clamper-front-v-15ka/p"</f>
        <v>https://www.lojaclamper.com.br/clamper-front-v-15ka/p</v>
      </c>
    </row>
    <row r="1022" spans="1:9" x14ac:dyDescent="0.25">
      <c r="A1022" s="29" t="s">
        <v>12</v>
      </c>
      <c r="B1022" s="29" t="s">
        <v>79</v>
      </c>
      <c r="C1022" s="29" t="s">
        <v>34</v>
      </c>
      <c r="D1022" s="37" t="s">
        <v>3375</v>
      </c>
      <c r="E1022" s="29" t="s">
        <v>83</v>
      </c>
      <c r="F1022" s="29" t="s">
        <v>36</v>
      </c>
      <c r="G1022" s="29">
        <v>56.99</v>
      </c>
      <c r="H1022" s="71" t="s">
        <v>3153</v>
      </c>
      <c r="I1022" s="37" t="str">
        <f>"https://www.lojaclamper.com.br/clamper-front-v-20ka/p"</f>
        <v>https://www.lojaclamper.com.br/clamper-front-v-20ka/p</v>
      </c>
    </row>
    <row r="1023" spans="1:9" x14ac:dyDescent="0.25">
      <c r="A1023" s="29" t="s">
        <v>12</v>
      </c>
      <c r="B1023" s="29" t="s">
        <v>79</v>
      </c>
      <c r="C1023" s="29" t="s">
        <v>34</v>
      </c>
      <c r="D1023" s="37" t="s">
        <v>3379</v>
      </c>
      <c r="E1023" s="29" t="s">
        <v>83</v>
      </c>
      <c r="F1023" s="29" t="s">
        <v>36</v>
      </c>
      <c r="G1023" s="29">
        <v>62.99</v>
      </c>
      <c r="H1023" s="71" t="s">
        <v>3153</v>
      </c>
      <c r="I1023" s="37" t="str">
        <f>"https://www.lojaclamper.com.br/clamper-front-v-45ka/p"</f>
        <v>https://www.lojaclamper.com.br/clamper-front-v-45ka/p</v>
      </c>
    </row>
    <row r="1024" spans="1:9" x14ac:dyDescent="0.25">
      <c r="A1024" s="29" t="s">
        <v>12</v>
      </c>
      <c r="B1024" s="29" t="s">
        <v>79</v>
      </c>
      <c r="C1024" s="29" t="s">
        <v>34</v>
      </c>
      <c r="D1024" s="37" t="s">
        <v>3368</v>
      </c>
      <c r="E1024" s="29" t="s">
        <v>83</v>
      </c>
      <c r="F1024" s="29" t="s">
        <v>36</v>
      </c>
      <c r="G1024" s="29">
        <v>69.989999999999995</v>
      </c>
      <c r="H1024" s="71" t="s">
        <v>3153</v>
      </c>
      <c r="I1024" s="37" t="str">
        <f>"https://www.lojaclamper.com.br/clamper-front-v-sr-45ka/p"</f>
        <v>https://www.lojaclamper.com.br/clamper-front-v-sr-45ka/p</v>
      </c>
    </row>
    <row r="1025" spans="1:9" x14ac:dyDescent="0.25">
      <c r="A1025" s="29" t="s">
        <v>12</v>
      </c>
      <c r="B1025" s="29" t="s">
        <v>79</v>
      </c>
      <c r="C1025" s="29" t="s">
        <v>34</v>
      </c>
      <c r="D1025" s="37" t="s">
        <v>3369</v>
      </c>
      <c r="E1025" s="29" t="s">
        <v>83</v>
      </c>
      <c r="F1025" s="29" t="s">
        <v>36</v>
      </c>
      <c r="G1025" s="29">
        <v>49.99</v>
      </c>
      <c r="H1025" s="71" t="s">
        <v>3153</v>
      </c>
      <c r="I1025" s="37" t="str">
        <f>"https://www.lojaclamper.com.br/dps-clamper-front-45ka-sr/p"</f>
        <v>https://www.lojaclamper.com.br/dps-clamper-front-45ka-sr/p</v>
      </c>
    </row>
    <row r="1026" spans="1:9" x14ac:dyDescent="0.25">
      <c r="A1026" s="29" t="s">
        <v>12</v>
      </c>
      <c r="B1026" s="29" t="s">
        <v>79</v>
      </c>
      <c r="C1026" s="29" t="s">
        <v>34</v>
      </c>
      <c r="D1026" s="37" t="s">
        <v>3343</v>
      </c>
      <c r="E1026" s="29" t="s">
        <v>83</v>
      </c>
      <c r="F1026" s="29" t="s">
        <v>36</v>
      </c>
      <c r="G1026" s="29">
        <v>552.99</v>
      </c>
      <c r="H1026" s="71" t="s">
        <v>3153</v>
      </c>
      <c r="I1026" s="37" t="str">
        <f>"https://www.lojaclamper.com.br/dps-clamper-front-v-tetrapolar-275v-12-5-60ka-4-0---ci/p"</f>
        <v>https://www.lojaclamper.com.br/dps-clamper-front-v-tetrapolar-275v-12-5-60ka-4-0---ci/p</v>
      </c>
    </row>
    <row r="1027" spans="1:9" x14ac:dyDescent="0.25">
      <c r="A1027" s="29" t="s">
        <v>12</v>
      </c>
      <c r="B1027" s="29" t="s">
        <v>79</v>
      </c>
      <c r="C1027" s="29" t="s">
        <v>34</v>
      </c>
      <c r="D1027" s="37" t="s">
        <v>3345</v>
      </c>
      <c r="E1027" s="29" t="s">
        <v>83</v>
      </c>
      <c r="F1027" s="29" t="s">
        <v>36</v>
      </c>
      <c r="G1027" s="29">
        <v>151.99</v>
      </c>
      <c r="H1027" s="71" t="s">
        <v>3153</v>
      </c>
      <c r="I1027" s="37" t="str">
        <f>"https://www.lojaclamper.com.br/dps-clamper-front-v-tetrapolar-275v-15ka-4-0---ci-classe-ii/p"</f>
        <v>https://www.lojaclamper.com.br/dps-clamper-front-v-tetrapolar-275v-15ka-4-0---ci-classe-ii/p</v>
      </c>
    </row>
    <row r="1028" spans="1:9" x14ac:dyDescent="0.25">
      <c r="A1028" s="29" t="s">
        <v>12</v>
      </c>
      <c r="B1028" s="29" t="s">
        <v>79</v>
      </c>
      <c r="C1028" s="29" t="s">
        <v>34</v>
      </c>
      <c r="D1028" s="37" t="s">
        <v>3346</v>
      </c>
      <c r="E1028" s="29" t="s">
        <v>83</v>
      </c>
      <c r="F1028" s="29" t="s">
        <v>36</v>
      </c>
      <c r="G1028" s="29">
        <v>171.99</v>
      </c>
      <c r="H1028" s="71" t="s">
        <v>3153</v>
      </c>
      <c r="I1028" s="37" t="str">
        <f>"https://www.lojaclamper.com.br/dps-clamper-front-v-tetrapolar-275v-20ka-4-0---ci-classe-ii/p"</f>
        <v>https://www.lojaclamper.com.br/dps-clamper-front-v-tetrapolar-275v-20ka-4-0---ci-classe-ii/p</v>
      </c>
    </row>
    <row r="1029" spans="1:9" x14ac:dyDescent="0.25">
      <c r="A1029" s="29" t="s">
        <v>12</v>
      </c>
      <c r="B1029" s="29" t="s">
        <v>79</v>
      </c>
      <c r="C1029" s="29" t="s">
        <v>34</v>
      </c>
      <c r="D1029" s="37" t="s">
        <v>3347</v>
      </c>
      <c r="E1029" s="29" t="s">
        <v>83</v>
      </c>
      <c r="F1029" s="29" t="s">
        <v>36</v>
      </c>
      <c r="G1029" s="29">
        <v>199.99</v>
      </c>
      <c r="H1029" s="71" t="s">
        <v>3153</v>
      </c>
      <c r="I1029" s="37" t="str">
        <f>"https://www.lojaclamper.com.br/dps-clamper-front-v-tetrapolar-275v-45ka-4-0---ci-classe-ii/p"</f>
        <v>https://www.lojaclamper.com.br/dps-clamper-front-v-tetrapolar-275v-45ka-4-0---ci-classe-ii/p</v>
      </c>
    </row>
    <row r="1030" spans="1:9" x14ac:dyDescent="0.25">
      <c r="A1030" s="29" t="s">
        <v>12</v>
      </c>
      <c r="B1030" s="29" t="s">
        <v>79</v>
      </c>
      <c r="C1030" s="29" t="s">
        <v>34</v>
      </c>
      <c r="D1030" s="37" t="s">
        <v>3348</v>
      </c>
      <c r="E1030" s="29" t="s">
        <v>83</v>
      </c>
      <c r="F1030" s="29" t="s">
        <v>36</v>
      </c>
      <c r="G1030" s="29">
        <v>315.99</v>
      </c>
      <c r="H1030" s="71" t="s">
        <v>3153</v>
      </c>
      <c r="I1030" s="37" t="str">
        <f>"https://www.lojaclamper.com.br/dps-clamper-front-v-tetrapolar-275v-45ka-4-0-sinalizacao-rem/p"</f>
        <v>https://www.lojaclamper.com.br/dps-clamper-front-v-tetrapolar-275v-45ka-4-0-sinalizacao-rem/p</v>
      </c>
    </row>
    <row r="1031" spans="1:9" x14ac:dyDescent="0.25">
      <c r="A1031" s="29" t="s">
        <v>12</v>
      </c>
      <c r="B1031" s="29" t="s">
        <v>79</v>
      </c>
      <c r="C1031" s="29" t="s">
        <v>34</v>
      </c>
      <c r="D1031" s="37" t="s">
        <v>3349</v>
      </c>
      <c r="E1031" s="29" t="s">
        <v>83</v>
      </c>
      <c r="F1031" s="29" t="s">
        <v>36</v>
      </c>
      <c r="G1031" s="29">
        <v>421.99</v>
      </c>
      <c r="H1031" s="71" t="s">
        <v>3153</v>
      </c>
      <c r="I1031" s="37" t="str">
        <f>"https://www.lojaclamper.com.br/dps-clamper-front-v-tripolar-175v-12-5-60ka-3-0---ci/p"</f>
        <v>https://www.lojaclamper.com.br/dps-clamper-front-v-tripolar-175v-12-5-60ka-3-0---ci/p</v>
      </c>
    </row>
    <row r="1032" spans="1:9" x14ac:dyDescent="0.25">
      <c r="A1032" s="29" t="s">
        <v>12</v>
      </c>
      <c r="B1032" s="29" t="s">
        <v>79</v>
      </c>
      <c r="C1032" s="29" t="s">
        <v>34</v>
      </c>
      <c r="D1032" s="37" t="s">
        <v>3350</v>
      </c>
      <c r="E1032" s="29" t="s">
        <v>83</v>
      </c>
      <c r="F1032" s="29" t="s">
        <v>36</v>
      </c>
      <c r="G1032" s="29">
        <v>113.99</v>
      </c>
      <c r="H1032" s="71" t="s">
        <v>3153</v>
      </c>
      <c r="I1032" s="37" t="str">
        <f>"https://www.lojaclamper.com.br/dps-clamper-front-v-tripolar-175v-15ka-3-0/p"</f>
        <v>https://www.lojaclamper.com.br/dps-clamper-front-v-tripolar-175v-15ka-3-0/p</v>
      </c>
    </row>
    <row r="1033" spans="1:9" x14ac:dyDescent="0.25">
      <c r="A1033" s="29" t="s">
        <v>12</v>
      </c>
      <c r="B1033" s="29" t="s">
        <v>79</v>
      </c>
      <c r="C1033" s="29" t="s">
        <v>34</v>
      </c>
      <c r="D1033" s="37" t="s">
        <v>3351</v>
      </c>
      <c r="E1033" s="29" t="s">
        <v>83</v>
      </c>
      <c r="F1033" s="29" t="s">
        <v>36</v>
      </c>
      <c r="G1033" s="29">
        <v>113.99</v>
      </c>
      <c r="H1033" s="71" t="s">
        <v>3153</v>
      </c>
      <c r="I1033" s="37" t="str">
        <f>"https://www.lojaclamper.com.br/dps-clamper-front-v-tripolar-275v-15ka-3-0-classe-ii/p"</f>
        <v>https://www.lojaclamper.com.br/dps-clamper-front-v-tripolar-275v-15ka-3-0-classe-ii/p</v>
      </c>
    </row>
    <row r="1034" spans="1:9" x14ac:dyDescent="0.25">
      <c r="A1034" s="29" t="s">
        <v>12</v>
      </c>
      <c r="B1034" s="29" t="s">
        <v>79</v>
      </c>
      <c r="C1034" s="29" t="s">
        <v>34</v>
      </c>
      <c r="D1034" s="37" t="s">
        <v>3354</v>
      </c>
      <c r="E1034" s="29" t="s">
        <v>83</v>
      </c>
      <c r="F1034" s="29" t="s">
        <v>36</v>
      </c>
      <c r="G1034" s="29">
        <v>128.99</v>
      </c>
      <c r="H1034" s="71" t="s">
        <v>3153</v>
      </c>
      <c r="I1034" s="37" t="str">
        <f>"https://www.lojaclamper.com.br/dps-clamper-front-v-tripolar-275v-20ka-3-0-classe-ii/p"</f>
        <v>https://www.lojaclamper.com.br/dps-clamper-front-v-tripolar-275v-20ka-3-0-classe-ii/p</v>
      </c>
    </row>
    <row r="1035" spans="1:9" x14ac:dyDescent="0.25">
      <c r="A1035" s="29" t="s">
        <v>12</v>
      </c>
      <c r="B1035" s="29" t="s">
        <v>79</v>
      </c>
      <c r="C1035" s="29" t="s">
        <v>34</v>
      </c>
      <c r="D1035" s="37" t="s">
        <v>3355</v>
      </c>
      <c r="E1035" s="29" t="s">
        <v>83</v>
      </c>
      <c r="F1035" s="29" t="s">
        <v>36</v>
      </c>
      <c r="G1035" s="29">
        <v>149.99</v>
      </c>
      <c r="H1035" s="71" t="s">
        <v>3153</v>
      </c>
      <c r="I1035" s="37" t="str">
        <f>"https://www.lojaclamper.com.br/dps-clamper-front-v-tripolar-275v-45ka-3-0-classe-ii/p"</f>
        <v>https://www.lojaclamper.com.br/dps-clamper-front-v-tripolar-275v-45ka-3-0-classe-ii/p</v>
      </c>
    </row>
    <row r="1036" spans="1:9" x14ac:dyDescent="0.25">
      <c r="A1036" s="29" t="s">
        <v>12</v>
      </c>
      <c r="B1036" s="29" t="s">
        <v>79</v>
      </c>
      <c r="C1036" s="29" t="s">
        <v>34</v>
      </c>
      <c r="D1036" s="37" t="s">
        <v>3356</v>
      </c>
      <c r="E1036" s="29" t="s">
        <v>83</v>
      </c>
      <c r="F1036" s="29" t="s">
        <v>36</v>
      </c>
      <c r="G1036" s="29">
        <v>170.99</v>
      </c>
      <c r="H1036" s="71" t="s">
        <v>3153</v>
      </c>
      <c r="I1036" s="37" t="str">
        <f>"https://www.lojaclamper.com.br/dps-clamper-front-v-275v-45ka-3-0---sinalizacao-remota/p"</f>
        <v>https://www.lojaclamper.com.br/dps-clamper-front-v-275v-45ka-3-0---sinalizacao-remota/p</v>
      </c>
    </row>
    <row r="1037" spans="1:9" x14ac:dyDescent="0.25">
      <c r="A1037" s="29" t="s">
        <v>12</v>
      </c>
      <c r="B1037" s="29" t="s">
        <v>79</v>
      </c>
      <c r="C1037" s="29" t="s">
        <v>34</v>
      </c>
      <c r="D1037" s="37" t="s">
        <v>3330</v>
      </c>
      <c r="E1037" s="29" t="s">
        <v>83</v>
      </c>
      <c r="F1037" s="29" t="s">
        <v>36</v>
      </c>
      <c r="G1037" s="29">
        <v>94.99</v>
      </c>
      <c r="H1037" s="71" t="s">
        <v>3153</v>
      </c>
      <c r="I1037" s="37" t="str">
        <f>"https://www.lojaclamper.com.br/dps-clamper-front-v-g-275v-20ka-1-1/p"</f>
        <v>https://www.lojaclamper.com.br/dps-clamper-front-v-g-275v-20ka-1-1/p</v>
      </c>
    </row>
    <row r="1038" spans="1:9" x14ac:dyDescent="0.25">
      <c r="A1038" s="29" t="s">
        <v>12</v>
      </c>
      <c r="B1038" s="29" t="s">
        <v>79</v>
      </c>
      <c r="C1038" s="29" t="s">
        <v>34</v>
      </c>
      <c r="D1038" s="37" t="s">
        <v>3331</v>
      </c>
      <c r="E1038" s="29" t="s">
        <v>83</v>
      </c>
      <c r="F1038" s="29" t="s">
        <v>36</v>
      </c>
      <c r="G1038" s="29">
        <v>109.99</v>
      </c>
      <c r="H1038" s="71" t="s">
        <v>3153</v>
      </c>
      <c r="I1038" s="37" t="str">
        <f>"https://www.lojaclamper.com.br/dps-clamper-front-v-g-275v-45ka-1-1/p"</f>
        <v>https://www.lojaclamper.com.br/dps-clamper-front-v-g-275v-45ka-1-1/p</v>
      </c>
    </row>
    <row r="1039" spans="1:9" x14ac:dyDescent="0.25">
      <c r="A1039" s="29" t="s">
        <v>12</v>
      </c>
      <c r="B1039" s="29" t="s">
        <v>79</v>
      </c>
      <c r="C1039" s="29" t="s">
        <v>34</v>
      </c>
      <c r="D1039" s="37" t="s">
        <v>3344</v>
      </c>
      <c r="E1039" s="29" t="s">
        <v>83</v>
      </c>
      <c r="F1039" s="29" t="s">
        <v>36</v>
      </c>
      <c r="G1039" s="29">
        <v>219.99</v>
      </c>
      <c r="H1039" s="71" t="s">
        <v>3153</v>
      </c>
      <c r="I1039" s="37" t="str">
        <f>"https://www.lojaclamper.com.br/dps-clamper-front-v-g-275v-45ka-3-1/p"</f>
        <v>https://www.lojaclamper.com.br/dps-clamper-front-v-g-275v-45ka-3-1/p</v>
      </c>
    </row>
    <row r="1040" spans="1:9" x14ac:dyDescent="0.25">
      <c r="A1040" s="29" t="s">
        <v>12</v>
      </c>
      <c r="B1040" s="29" t="s">
        <v>79</v>
      </c>
      <c r="C1040" s="29" t="s">
        <v>34</v>
      </c>
      <c r="D1040" s="37" t="s">
        <v>3404</v>
      </c>
      <c r="E1040" s="29" t="s">
        <v>83</v>
      </c>
      <c r="F1040" s="29" t="s">
        <v>36</v>
      </c>
      <c r="G1040" s="29">
        <v>537.99</v>
      </c>
      <c r="H1040" s="71" t="s">
        <v>3352</v>
      </c>
      <c r="I1040" s="37" t="str">
        <f>"https://www.lojaclamper.com.br/dps-clamper-gcl-sp-n-pe-250v-50ka/p"</f>
        <v>https://www.lojaclamper.com.br/dps-clamper-gcl-sp-n-pe-250v-50ka/p</v>
      </c>
    </row>
    <row r="1041" spans="1:9" x14ac:dyDescent="0.25">
      <c r="A1041" s="29" t="s">
        <v>12</v>
      </c>
      <c r="B1041" s="29" t="s">
        <v>79</v>
      </c>
      <c r="C1041" s="29" t="s">
        <v>34</v>
      </c>
      <c r="D1041" s="37" t="s">
        <v>3406</v>
      </c>
      <c r="E1041" s="29" t="s">
        <v>83</v>
      </c>
      <c r="F1041" s="29" t="s">
        <v>36</v>
      </c>
      <c r="G1041" s="29">
        <v>899.99</v>
      </c>
      <c r="H1041" s="71" t="s">
        <v>3352</v>
      </c>
      <c r="I1041" s="37" t="str">
        <f>"https://www.lojaclamper.com.br/dps-clamper-gcl-n-pe-275v-100ka/p"</f>
        <v>https://www.lojaclamper.com.br/dps-clamper-gcl-n-pe-275v-100ka/p</v>
      </c>
    </row>
    <row r="1042" spans="1:9" x14ac:dyDescent="0.25">
      <c r="A1042" s="29" t="s">
        <v>12</v>
      </c>
      <c r="B1042" s="29" t="s">
        <v>79</v>
      </c>
      <c r="C1042" s="29" t="s">
        <v>34</v>
      </c>
      <c r="D1042" s="37" t="s">
        <v>3403</v>
      </c>
      <c r="E1042" s="29" t="s">
        <v>83</v>
      </c>
      <c r="F1042" s="29" t="s">
        <v>36</v>
      </c>
      <c r="G1042" s="29">
        <v>336.99</v>
      </c>
      <c r="H1042" s="71" t="s">
        <v>3352</v>
      </c>
      <c r="I1042" s="37" t="str">
        <f>"https://www.lojaclamper.com.br/dps-clamper-gcl-n-pe-275v-25ka-slim/p"</f>
        <v>https://www.lojaclamper.com.br/dps-clamper-gcl-n-pe-275v-25ka-slim/p</v>
      </c>
    </row>
    <row r="1043" spans="1:9" x14ac:dyDescent="0.25">
      <c r="A1043" s="29" t="s">
        <v>12</v>
      </c>
      <c r="B1043" s="29" t="s">
        <v>79</v>
      </c>
      <c r="C1043" s="29" t="s">
        <v>34</v>
      </c>
      <c r="D1043" s="37" t="s">
        <v>3420</v>
      </c>
      <c r="E1043" s="29" t="s">
        <v>83</v>
      </c>
      <c r="F1043" s="29" t="s">
        <v>36</v>
      </c>
      <c r="G1043" s="29">
        <v>45.99</v>
      </c>
      <c r="H1043" s="71" t="s">
        <v>3352</v>
      </c>
      <c r="I1043" s="37" t="str">
        <f>"https://www.lojaclamper.com.br/clamper-light/p"</f>
        <v>https://www.lojaclamper.com.br/clamper-light/p</v>
      </c>
    </row>
    <row r="1044" spans="1:9" x14ac:dyDescent="0.25">
      <c r="A1044" s="29" t="s">
        <v>12</v>
      </c>
      <c r="B1044" s="29" t="s">
        <v>79</v>
      </c>
      <c r="C1044" s="29" t="s">
        <v>34</v>
      </c>
      <c r="D1044" s="37" t="s">
        <v>3421</v>
      </c>
      <c r="E1044" s="29" t="s">
        <v>83</v>
      </c>
      <c r="F1044" s="29" t="s">
        <v>36</v>
      </c>
      <c r="G1044" s="29">
        <v>45.99</v>
      </c>
      <c r="H1044" s="71" t="s">
        <v>3352</v>
      </c>
      <c r="I1044" s="37" t="str">
        <f>"https://www.lojaclamper.com.br/clamper-light-outdoor/p"</f>
        <v>https://www.lojaclamper.com.br/clamper-light-outdoor/p</v>
      </c>
    </row>
    <row r="1045" spans="1:9" x14ac:dyDescent="0.25">
      <c r="A1045" s="29" t="s">
        <v>12</v>
      </c>
      <c r="B1045" s="29" t="s">
        <v>79</v>
      </c>
      <c r="C1045" s="29" t="s">
        <v>34</v>
      </c>
      <c r="D1045" s="37" t="s">
        <v>3419</v>
      </c>
      <c r="E1045" s="29" t="s">
        <v>83</v>
      </c>
      <c r="F1045" s="29" t="s">
        <v>36</v>
      </c>
      <c r="G1045" s="29">
        <v>56.99</v>
      </c>
      <c r="H1045" s="71" t="s">
        <v>3153</v>
      </c>
      <c r="I1045" s="37" t="str">
        <f>"https://www.lojaclamper.com.br/dps-clamper-multi/p"</f>
        <v>https://www.lojaclamper.com.br/dps-clamper-multi/p</v>
      </c>
    </row>
    <row r="1046" spans="1:9" x14ac:dyDescent="0.25">
      <c r="A1046" s="29" t="s">
        <v>12</v>
      </c>
      <c r="B1046" s="29" t="s">
        <v>79</v>
      </c>
      <c r="C1046" s="29" t="s">
        <v>34</v>
      </c>
      <c r="D1046" s="37" t="s">
        <v>3401</v>
      </c>
      <c r="E1046" s="29" t="s">
        <v>83</v>
      </c>
      <c r="F1046" s="29" t="s">
        <v>36</v>
      </c>
      <c r="G1046" s="29">
        <v>599.99</v>
      </c>
      <c r="H1046" s="71" t="s">
        <v>3352</v>
      </c>
      <c r="I1046" s="37" t="str">
        <f>"https://www.lojaclamper.com.br/dps-clamper-scl-60ka/p"</f>
        <v>https://www.lojaclamper.com.br/dps-clamper-scl-60ka/p</v>
      </c>
    </row>
    <row r="1047" spans="1:9" x14ac:dyDescent="0.25">
      <c r="A1047" s="29" t="s">
        <v>12</v>
      </c>
      <c r="B1047" s="29" t="s">
        <v>79</v>
      </c>
      <c r="C1047" s="29" t="s">
        <v>34</v>
      </c>
      <c r="D1047" s="37" t="s">
        <v>3402</v>
      </c>
      <c r="E1047" s="29" t="s">
        <v>83</v>
      </c>
      <c r="F1047" s="29" t="s">
        <v>36</v>
      </c>
      <c r="G1047" s="29">
        <v>623.99</v>
      </c>
      <c r="H1047" s="71" t="s">
        <v>3352</v>
      </c>
      <c r="I1047" s="37" t="str">
        <f>"https://www.lojaclamper.com.br/dps-clamper-scl-60ka/p"</f>
        <v>https://www.lojaclamper.com.br/dps-clamper-scl-60ka/p</v>
      </c>
    </row>
    <row r="1048" spans="1:9" x14ac:dyDescent="0.25">
      <c r="A1048" s="29" t="s">
        <v>12</v>
      </c>
      <c r="B1048" s="29" t="s">
        <v>79</v>
      </c>
      <c r="C1048" s="29" t="s">
        <v>34</v>
      </c>
      <c r="D1048" s="37" t="s">
        <v>3414</v>
      </c>
      <c r="E1048" s="29" t="s">
        <v>83</v>
      </c>
      <c r="F1048" s="29" t="s">
        <v>36</v>
      </c>
      <c r="G1048" s="29">
        <v>41.99</v>
      </c>
      <c r="H1048" s="71" t="s">
        <v>3352</v>
      </c>
      <c r="I1048" s="37" t="str">
        <f>"https://www.lojaclamper.com.br/dps-plugue-clamper-solar-40ka/p"</f>
        <v>https://www.lojaclamper.com.br/dps-plugue-clamper-solar-40ka/p</v>
      </c>
    </row>
    <row r="1049" spans="1:9" x14ac:dyDescent="0.25">
      <c r="A1049" s="29" t="s">
        <v>12</v>
      </c>
      <c r="B1049" s="29" t="s">
        <v>79</v>
      </c>
      <c r="C1049" s="29" t="s">
        <v>34</v>
      </c>
      <c r="D1049" s="37" t="s">
        <v>3415</v>
      </c>
      <c r="E1049" s="29" t="s">
        <v>83</v>
      </c>
      <c r="F1049" s="29" t="s">
        <v>36</v>
      </c>
      <c r="G1049" s="29">
        <v>46.99</v>
      </c>
      <c r="H1049" s="71" t="s">
        <v>3352</v>
      </c>
      <c r="I1049" s="37" t="str">
        <f>"https://www.lojaclamper.com.br/dps-plugue-clamper-solar--string-box--40ka/p"</f>
        <v>https://www.lojaclamper.com.br/dps-plugue-clamper-solar--string-box--40ka/p</v>
      </c>
    </row>
    <row r="1050" spans="1:9" x14ac:dyDescent="0.25">
      <c r="A1050" s="29" t="s">
        <v>12</v>
      </c>
      <c r="B1050" s="29" t="s">
        <v>79</v>
      </c>
      <c r="C1050" s="29" t="s">
        <v>34</v>
      </c>
      <c r="D1050" s="37" t="s">
        <v>3339</v>
      </c>
      <c r="E1050" s="29" t="s">
        <v>83</v>
      </c>
      <c r="F1050" s="29" t="s">
        <v>36</v>
      </c>
      <c r="G1050" s="29">
        <v>12.99</v>
      </c>
      <c r="H1050" s="71" t="s">
        <v>3153</v>
      </c>
      <c r="I1050" s="37" t="str">
        <f>"https://www.lojaclamper.com.br/dps-clamper-solar-plugue-150v-20ka/p"</f>
        <v>https://www.lojaclamper.com.br/dps-clamper-solar-plugue-150v-20ka/p</v>
      </c>
    </row>
    <row r="1051" spans="1:9" x14ac:dyDescent="0.25">
      <c r="A1051" s="29" t="s">
        <v>12</v>
      </c>
      <c r="B1051" s="29" t="s">
        <v>79</v>
      </c>
      <c r="C1051" s="29" t="s">
        <v>34</v>
      </c>
      <c r="D1051" s="37" t="s">
        <v>3340</v>
      </c>
      <c r="E1051" s="29" t="s">
        <v>83</v>
      </c>
      <c r="F1051" s="29" t="s">
        <v>36</v>
      </c>
      <c r="G1051" s="29">
        <v>53.99</v>
      </c>
      <c r="H1051" s="71" t="s">
        <v>3153</v>
      </c>
      <c r="I1051" s="37" t="str">
        <f>"https://www.lojaclamper.com.br/dps-clamper-solar-plugue-150v-40ka/p"</f>
        <v>https://www.lojaclamper.com.br/dps-clamper-solar-plugue-150v-40ka/p</v>
      </c>
    </row>
    <row r="1052" spans="1:9" x14ac:dyDescent="0.25">
      <c r="A1052" s="29" t="s">
        <v>12</v>
      </c>
      <c r="B1052" s="29" t="s">
        <v>79</v>
      </c>
      <c r="C1052" s="29" t="s">
        <v>34</v>
      </c>
      <c r="D1052" s="37" t="s">
        <v>3341</v>
      </c>
      <c r="E1052" s="29" t="s">
        <v>83</v>
      </c>
      <c r="F1052" s="29" t="s">
        <v>36</v>
      </c>
      <c r="G1052" s="29">
        <v>47.99</v>
      </c>
      <c r="H1052" s="71" t="s">
        <v>3153</v>
      </c>
      <c r="I1052" s="37" t="str">
        <f>"https://www.lojaclamper.com.br/dps-clamper-solar-plugue-300v-40ka/p"</f>
        <v>https://www.lojaclamper.com.br/dps-clamper-solar-plugue-300v-40ka/p</v>
      </c>
    </row>
    <row r="1053" spans="1:9" x14ac:dyDescent="0.25">
      <c r="A1053" s="29" t="s">
        <v>12</v>
      </c>
      <c r="B1053" s="29" t="s">
        <v>79</v>
      </c>
      <c r="C1053" s="29" t="s">
        <v>34</v>
      </c>
      <c r="D1053" s="37" t="s">
        <v>3342</v>
      </c>
      <c r="E1053" s="29" t="s">
        <v>83</v>
      </c>
      <c r="F1053" s="29" t="s">
        <v>36</v>
      </c>
      <c r="G1053" s="29">
        <v>46.99</v>
      </c>
      <c r="H1053" s="71" t="s">
        <v>3153</v>
      </c>
      <c r="I1053" s="37" t="str">
        <f>"https://www.lojaclamper.com.br/dps-clamper-solar-plugue-600v-40ka-1/p"</f>
        <v>https://www.lojaclamper.com.br/dps-clamper-solar-plugue-600v-40ka-1/p</v>
      </c>
    </row>
    <row r="1054" spans="1:9" x14ac:dyDescent="0.25">
      <c r="A1054" s="29" t="s">
        <v>12</v>
      </c>
      <c r="B1054" s="29" t="s">
        <v>79</v>
      </c>
      <c r="C1054" s="29" t="s">
        <v>34</v>
      </c>
      <c r="D1054" s="37" t="s">
        <v>3412</v>
      </c>
      <c r="E1054" s="29" t="s">
        <v>83</v>
      </c>
      <c r="F1054" s="29" t="s">
        <v>36</v>
      </c>
      <c r="G1054" s="29">
        <v>139.99</v>
      </c>
      <c r="H1054" s="71" t="s">
        <v>3352</v>
      </c>
      <c r="I1054" s="37" t="str">
        <f>"https://www.lojaclamper.com.br/dps-clamper-solar-1000v-40ka/p"</f>
        <v>https://www.lojaclamper.com.br/dps-clamper-solar-1000v-40ka/p</v>
      </c>
    </row>
    <row r="1055" spans="1:9" x14ac:dyDescent="0.25">
      <c r="A1055" s="29" t="s">
        <v>12</v>
      </c>
      <c r="B1055" s="29" t="s">
        <v>79</v>
      </c>
      <c r="C1055" s="29" t="s">
        <v>34</v>
      </c>
      <c r="D1055" s="37" t="s">
        <v>3413</v>
      </c>
      <c r="E1055" s="29" t="s">
        <v>83</v>
      </c>
      <c r="F1055" s="29" t="s">
        <v>36</v>
      </c>
      <c r="G1055" s="29">
        <v>56.99</v>
      </c>
      <c r="H1055" s="71" t="s">
        <v>3352</v>
      </c>
      <c r="I1055" s="37" t="str">
        <f>"https://www.lojaclamper.com.br/clamper-solar-1040v-40ka-sr/p"</f>
        <v>https://www.lojaclamper.com.br/clamper-solar-1040v-40ka-sr/p</v>
      </c>
    </row>
    <row r="1056" spans="1:9" x14ac:dyDescent="0.25">
      <c r="A1056" s="29" t="s">
        <v>12</v>
      </c>
      <c r="B1056" s="29" t="s">
        <v>79</v>
      </c>
      <c r="C1056" s="29" t="s">
        <v>34</v>
      </c>
      <c r="D1056" s="37" t="s">
        <v>3409</v>
      </c>
      <c r="E1056" s="29" t="s">
        <v>83</v>
      </c>
      <c r="F1056" s="29" t="s">
        <v>36</v>
      </c>
      <c r="G1056" s="29">
        <v>179.99</v>
      </c>
      <c r="H1056" s="71" t="s">
        <v>3352</v>
      </c>
      <c r="I1056" s="37" t="str">
        <f>"https://www.lojaclamper.com.br/dps_solar-150/p; https://www.lojaclamper.com.br/dps-clamper-solar-150v-40ka/p"</f>
        <v>https://www.lojaclamper.com.br/dps_solar-150/p; https://www.lojaclamper.com.br/dps-clamper-solar-150v-40ka/p</v>
      </c>
    </row>
    <row r="1057" spans="1:9" x14ac:dyDescent="0.25">
      <c r="A1057" s="29" t="s">
        <v>12</v>
      </c>
      <c r="B1057" s="29" t="s">
        <v>79</v>
      </c>
      <c r="C1057" s="29" t="s">
        <v>34</v>
      </c>
      <c r="D1057" s="37" t="s">
        <v>3408</v>
      </c>
      <c r="E1057" s="29" t="s">
        <v>83</v>
      </c>
      <c r="F1057" s="29" t="s">
        <v>36</v>
      </c>
      <c r="G1057" s="29">
        <v>57.99</v>
      </c>
      <c r="H1057" s="71" t="s">
        <v>3153</v>
      </c>
      <c r="I1057" s="37" t="str">
        <f>"https://www.lojaclamper.com.br/dps-clamper-solar-150v-40ka-sr/p"</f>
        <v>https://www.lojaclamper.com.br/dps-clamper-solar-150v-40ka-sr/p</v>
      </c>
    </row>
    <row r="1058" spans="1:9" x14ac:dyDescent="0.25">
      <c r="A1058" s="29" t="s">
        <v>12</v>
      </c>
      <c r="B1058" s="29" t="s">
        <v>79</v>
      </c>
      <c r="C1058" s="29" t="s">
        <v>34</v>
      </c>
      <c r="D1058" s="37" t="s">
        <v>3410</v>
      </c>
      <c r="E1058" s="29" t="s">
        <v>83</v>
      </c>
      <c r="F1058" s="29" t="s">
        <v>36</v>
      </c>
      <c r="G1058" s="29">
        <v>158.49</v>
      </c>
      <c r="H1058" s="71" t="s">
        <v>3352</v>
      </c>
      <c r="I1058" s="37" t="str">
        <f>"https://www.lojaclamper.com.br/dps-clamper-solar-300v-40ka/p; https://www.lojaclamper.com.br/dps_solar-300/p"</f>
        <v>https://www.lojaclamper.com.br/dps-clamper-solar-300v-40ka/p; https://www.lojaclamper.com.br/dps_solar-300/p</v>
      </c>
    </row>
    <row r="1059" spans="1:9" x14ac:dyDescent="0.25">
      <c r="A1059" s="29" t="s">
        <v>12</v>
      </c>
      <c r="B1059" s="29" t="s">
        <v>79</v>
      </c>
      <c r="C1059" s="29" t="s">
        <v>34</v>
      </c>
      <c r="D1059" s="37" t="s">
        <v>3411</v>
      </c>
      <c r="E1059" s="29" t="s">
        <v>83</v>
      </c>
      <c r="F1059" s="29" t="s">
        <v>36</v>
      </c>
      <c r="G1059" s="29">
        <v>127.99</v>
      </c>
      <c r="H1059" s="71" t="s">
        <v>3352</v>
      </c>
      <c r="I1059" s="37" t="str">
        <f>"https://www.lojaclamper.com.br/clamper-solar-600v-40ka-014470/p; https://www.lojaclamper.com.br/dps-clamper-solar-600v-40ka/p; https://www.lojaclamper.com.br/dps-clamper-solar-600/p"</f>
        <v>https://www.lojaclamper.com.br/clamper-solar-600v-40ka-014470/p; https://www.lojaclamper.com.br/dps-clamper-solar-600v-40ka/p; https://www.lojaclamper.com.br/dps-clamper-solar-600/p</v>
      </c>
    </row>
    <row r="1060" spans="1:9" x14ac:dyDescent="0.25">
      <c r="A1060" s="29" t="s">
        <v>12</v>
      </c>
      <c r="B1060" s="29" t="s">
        <v>79</v>
      </c>
      <c r="C1060" s="29" t="s">
        <v>34</v>
      </c>
      <c r="D1060" s="37" t="s">
        <v>3326</v>
      </c>
      <c r="E1060" s="29" t="s">
        <v>83</v>
      </c>
      <c r="F1060" s="29" t="s">
        <v>36</v>
      </c>
      <c r="G1060" s="29">
        <v>76.989999999999995</v>
      </c>
      <c r="H1060" s="71" t="s">
        <v>3153</v>
      </c>
      <c r="I1060" s="37" t="str">
        <f>"https://www.lojaclamper.com.br/protetor-ct-sobrec-eletrica-para-raios-prbt-s-rds-280v-10ka-rede-convencional/p"</f>
        <v>https://www.lojaclamper.com.br/protetor-ct-sobrec-eletrica-para-raios-prbt-s-rds-280v-10ka-rede-convencional/p</v>
      </c>
    </row>
    <row r="1061" spans="1:9" x14ac:dyDescent="0.25">
      <c r="A1061" s="29" t="s">
        <v>12</v>
      </c>
      <c r="B1061" s="29" t="s">
        <v>79</v>
      </c>
      <c r="C1061" s="29" t="s">
        <v>34</v>
      </c>
      <c r="D1061" s="37" t="s">
        <v>3276</v>
      </c>
      <c r="E1061" s="29" t="s">
        <v>83</v>
      </c>
      <c r="F1061" s="29" t="s">
        <v>36</v>
      </c>
      <c r="G1061" s="29">
        <v>269.99</v>
      </c>
      <c r="H1061" s="71" t="s">
        <v>3153</v>
      </c>
      <c r="I1061" s="37" t="str">
        <f>"https://www.lojaclamper.com.br/clamper-front-box-275v-20ka-2p-20a-ip65-cp/p"</f>
        <v>https://www.lojaclamper.com.br/clamper-front-box-275v-20ka-2p-20a-ip65-cp/p</v>
      </c>
    </row>
    <row r="1062" spans="1:9" x14ac:dyDescent="0.25">
      <c r="A1062" s="29" t="s">
        <v>12</v>
      </c>
      <c r="B1062" s="29" t="s">
        <v>79</v>
      </c>
      <c r="C1062" s="29" t="s">
        <v>34</v>
      </c>
      <c r="D1062" s="37" t="s">
        <v>3275</v>
      </c>
      <c r="E1062" s="29" t="s">
        <v>83</v>
      </c>
      <c r="F1062" s="29" t="s">
        <v>36</v>
      </c>
      <c r="G1062" s="29">
        <v>269.99</v>
      </c>
      <c r="H1062" s="71" t="s">
        <v>3153</v>
      </c>
      <c r="I1062" s="37" t="str">
        <f>"https://www.lojaclamper.com.br/front-box-clamper-275v-20ka-2p/p"</f>
        <v>https://www.lojaclamper.com.br/front-box-clamper-275v-20ka-2p/p</v>
      </c>
    </row>
    <row r="1063" spans="1:9" x14ac:dyDescent="0.25">
      <c r="A1063" s="29" t="s">
        <v>12</v>
      </c>
      <c r="B1063" s="29" t="s">
        <v>79</v>
      </c>
      <c r="C1063" s="29" t="s">
        <v>34</v>
      </c>
      <c r="D1063" s="37" t="s">
        <v>3327</v>
      </c>
      <c r="E1063" s="29" t="s">
        <v>83</v>
      </c>
      <c r="F1063" s="29" t="s">
        <v>36</v>
      </c>
      <c r="G1063" s="29">
        <v>269.99</v>
      </c>
      <c r="H1063" s="71" t="s">
        <v>3153</v>
      </c>
      <c r="I1063" s="37" t="str">
        <f>"https://www.lojaclamper.com.br/front-box-clamper-275v-20ka-2p-50a/p"</f>
        <v>https://www.lojaclamper.com.br/front-box-clamper-275v-20ka-2p-50a/p</v>
      </c>
    </row>
    <row r="1064" spans="1:9" x14ac:dyDescent="0.25">
      <c r="A1064" s="29" t="s">
        <v>12</v>
      </c>
      <c r="B1064" s="29" t="s">
        <v>79</v>
      </c>
      <c r="C1064" s="29" t="s">
        <v>34</v>
      </c>
      <c r="D1064" s="37" t="s">
        <v>3274</v>
      </c>
      <c r="E1064" s="29" t="s">
        <v>83</v>
      </c>
      <c r="F1064" s="29" t="s">
        <v>36</v>
      </c>
      <c r="G1064" s="29">
        <v>269.99</v>
      </c>
      <c r="H1064" s="71" t="s">
        <v>3153</v>
      </c>
      <c r="I1064" s="37" t="str">
        <f>"https://www.lojaclamper.com.br/clamper-front-box-275v-20ka-2p-63a/p"</f>
        <v>https://www.lojaclamper.com.br/clamper-front-box-275v-20ka-2p-63a/p</v>
      </c>
    </row>
    <row r="1065" spans="1:9" x14ac:dyDescent="0.25">
      <c r="A1065" s="29" t="s">
        <v>12</v>
      </c>
      <c r="B1065" s="29" t="s">
        <v>79</v>
      </c>
      <c r="C1065" s="29" t="s">
        <v>34</v>
      </c>
      <c r="D1065" s="37" t="s">
        <v>3273</v>
      </c>
      <c r="E1065" s="29" t="s">
        <v>83</v>
      </c>
      <c r="F1065" s="29" t="s">
        <v>36</v>
      </c>
      <c r="G1065" s="29">
        <v>599.99</v>
      </c>
      <c r="H1065" s="71" t="s">
        <v>3153</v>
      </c>
      <c r="I1065" s="37" t="str">
        <f>"https://www.lojaclamper.com.br/string-box-ca---quadro-de-protecao-ca---clamper-front-box-275v-20ka-3p-50a-bifasica/p"</f>
        <v>https://www.lojaclamper.com.br/string-box-ca---quadro-de-protecao-ca---clamper-front-box-275v-20ka-3p-50a-bifasica/p</v>
      </c>
    </row>
    <row r="1066" spans="1:9" x14ac:dyDescent="0.25">
      <c r="A1066" s="29" t="s">
        <v>12</v>
      </c>
      <c r="B1066" s="29" t="s">
        <v>79</v>
      </c>
      <c r="C1066" s="29" t="s">
        <v>34</v>
      </c>
      <c r="D1066" s="37" t="s">
        <v>3407</v>
      </c>
      <c r="E1066" s="29" t="s">
        <v>83</v>
      </c>
      <c r="F1066" s="29" t="s">
        <v>36</v>
      </c>
      <c r="G1066" s="29">
        <v>720.99</v>
      </c>
      <c r="H1066" s="71" t="s">
        <v>3352</v>
      </c>
      <c r="I1066" s="37" t="str">
        <f>"https://www.lojaclamper.com.br/string-box-clamper-solar-sb-4e-2s-1000v-20a--4d-/p"</f>
        <v>https://www.lojaclamper.com.br/string-box-clamper-solar-sb-4e-2s-1000v-20a--4d-/p</v>
      </c>
    </row>
    <row r="1067" spans="1:9" x14ac:dyDescent="0.25">
      <c r="A1067" s="29" t="s">
        <v>12</v>
      </c>
      <c r="B1067" s="29" t="s">
        <v>115</v>
      </c>
      <c r="C1067" s="29" t="s">
        <v>34</v>
      </c>
      <c r="D1067" s="37" t="s">
        <v>1912</v>
      </c>
      <c r="E1067" s="29" t="s">
        <v>798</v>
      </c>
      <c r="F1067" s="29" t="s">
        <v>36</v>
      </c>
      <c r="G1067" s="29">
        <v>4.95</v>
      </c>
      <c r="H1067" s="71" t="s">
        <v>793</v>
      </c>
      <c r="I1067" s="37" t="str">
        <f t="shared" ref="I1067:I1076" si="9">"https://www.infraeletrocalhas.com.br/eletrocalhas.asp?produtos=Eletrocalha-Galvanizada"</f>
        <v>https://www.infraeletrocalhas.com.br/eletrocalhas.asp?produtos=Eletrocalha-Galvanizada</v>
      </c>
    </row>
    <row r="1068" spans="1:9" x14ac:dyDescent="0.25">
      <c r="A1068" s="29" t="s">
        <v>12</v>
      </c>
      <c r="B1068" s="29" t="s">
        <v>115</v>
      </c>
      <c r="C1068" s="29" t="s">
        <v>34</v>
      </c>
      <c r="D1068" s="37" t="s">
        <v>1913</v>
      </c>
      <c r="E1068" s="29" t="s">
        <v>798</v>
      </c>
      <c r="F1068" s="29" t="s">
        <v>36</v>
      </c>
      <c r="G1068" s="29">
        <v>7.1</v>
      </c>
      <c r="H1068" s="71" t="s">
        <v>793</v>
      </c>
      <c r="I1068" s="37" t="str">
        <f t="shared" si="9"/>
        <v>https://www.infraeletrocalhas.com.br/eletrocalhas.asp?produtos=Eletrocalha-Galvanizada</v>
      </c>
    </row>
    <row r="1069" spans="1:9" x14ac:dyDescent="0.25">
      <c r="A1069" s="29" t="s">
        <v>12</v>
      </c>
      <c r="B1069" s="29" t="s">
        <v>115</v>
      </c>
      <c r="C1069" s="29" t="s">
        <v>34</v>
      </c>
      <c r="D1069" s="37" t="s">
        <v>1914</v>
      </c>
      <c r="E1069" s="29" t="s">
        <v>798</v>
      </c>
      <c r="F1069" s="29" t="s">
        <v>36</v>
      </c>
      <c r="G1069" s="29">
        <v>6.3</v>
      </c>
      <c r="H1069" s="71" t="s">
        <v>793</v>
      </c>
      <c r="I1069" s="37" t="str">
        <f t="shared" si="9"/>
        <v>https://www.infraeletrocalhas.com.br/eletrocalhas.asp?produtos=Eletrocalha-Galvanizada</v>
      </c>
    </row>
    <row r="1070" spans="1:9" x14ac:dyDescent="0.25">
      <c r="A1070" s="29" t="s">
        <v>12</v>
      </c>
      <c r="B1070" s="29" t="s">
        <v>115</v>
      </c>
      <c r="C1070" s="29" t="s">
        <v>34</v>
      </c>
      <c r="D1070" s="37" t="s">
        <v>1915</v>
      </c>
      <c r="E1070" s="29" t="s">
        <v>798</v>
      </c>
      <c r="F1070" s="29" t="s">
        <v>36</v>
      </c>
      <c r="G1070" s="29">
        <v>7.9</v>
      </c>
      <c r="H1070" s="71" t="s">
        <v>793</v>
      </c>
      <c r="I1070" s="37" t="str">
        <f t="shared" si="9"/>
        <v>https://www.infraeletrocalhas.com.br/eletrocalhas.asp?produtos=Eletrocalha-Galvanizada</v>
      </c>
    </row>
    <row r="1071" spans="1:9" x14ac:dyDescent="0.25">
      <c r="A1071" s="29" t="s">
        <v>12</v>
      </c>
      <c r="B1071" s="29" t="s">
        <v>115</v>
      </c>
      <c r="C1071" s="29" t="s">
        <v>34</v>
      </c>
      <c r="D1071" s="37" t="s">
        <v>1916</v>
      </c>
      <c r="E1071" s="29" t="s">
        <v>798</v>
      </c>
      <c r="F1071" s="29" t="s">
        <v>36</v>
      </c>
      <c r="G1071" s="29">
        <v>7.1</v>
      </c>
      <c r="H1071" s="71" t="s">
        <v>793</v>
      </c>
      <c r="I1071" s="37" t="str">
        <f t="shared" si="9"/>
        <v>https://www.infraeletrocalhas.com.br/eletrocalhas.asp?produtos=Eletrocalha-Galvanizada</v>
      </c>
    </row>
    <row r="1072" spans="1:9" x14ac:dyDescent="0.25">
      <c r="A1072" s="29" t="s">
        <v>12</v>
      </c>
      <c r="B1072" s="29" t="s">
        <v>115</v>
      </c>
      <c r="C1072" s="29" t="s">
        <v>34</v>
      </c>
      <c r="D1072" s="37" t="s">
        <v>1917</v>
      </c>
      <c r="E1072" s="29" t="s">
        <v>798</v>
      </c>
      <c r="F1072" s="29" t="s">
        <v>36</v>
      </c>
      <c r="G1072" s="29">
        <v>13.9</v>
      </c>
      <c r="H1072" s="71" t="s">
        <v>793</v>
      </c>
      <c r="I1072" s="37" t="str">
        <f t="shared" si="9"/>
        <v>https://www.infraeletrocalhas.com.br/eletrocalhas.asp?produtos=Eletrocalha-Galvanizada</v>
      </c>
    </row>
    <row r="1073" spans="1:9" x14ac:dyDescent="0.25">
      <c r="A1073" s="29" t="s">
        <v>12</v>
      </c>
      <c r="B1073" s="29" t="s">
        <v>115</v>
      </c>
      <c r="C1073" s="29" t="s">
        <v>34</v>
      </c>
      <c r="D1073" s="37" t="s">
        <v>1918</v>
      </c>
      <c r="E1073" s="29" t="s">
        <v>798</v>
      </c>
      <c r="F1073" s="29" t="s">
        <v>36</v>
      </c>
      <c r="G1073" s="29">
        <v>10.199999999999999</v>
      </c>
      <c r="H1073" s="71" t="s">
        <v>793</v>
      </c>
      <c r="I1073" s="37" t="str">
        <f t="shared" si="9"/>
        <v>https://www.infraeletrocalhas.com.br/eletrocalhas.asp?produtos=Eletrocalha-Galvanizada</v>
      </c>
    </row>
    <row r="1074" spans="1:9" x14ac:dyDescent="0.25">
      <c r="A1074" s="29" t="s">
        <v>12</v>
      </c>
      <c r="B1074" s="29" t="s">
        <v>115</v>
      </c>
      <c r="C1074" s="29" t="s">
        <v>34</v>
      </c>
      <c r="D1074" s="37" t="s">
        <v>1919</v>
      </c>
      <c r="E1074" s="29" t="s">
        <v>798</v>
      </c>
      <c r="F1074" s="29" t="s">
        <v>36</v>
      </c>
      <c r="G1074" s="29">
        <v>17.399999999999999</v>
      </c>
      <c r="H1074" s="71" t="s">
        <v>793</v>
      </c>
      <c r="I1074" s="37" t="str">
        <f t="shared" si="9"/>
        <v>https://www.infraeletrocalhas.com.br/eletrocalhas.asp?produtos=Eletrocalha-Galvanizada</v>
      </c>
    </row>
    <row r="1075" spans="1:9" x14ac:dyDescent="0.25">
      <c r="A1075" s="29" t="s">
        <v>12</v>
      </c>
      <c r="B1075" s="29" t="s">
        <v>115</v>
      </c>
      <c r="C1075" s="29" t="s">
        <v>34</v>
      </c>
      <c r="D1075" s="37" t="s">
        <v>1920</v>
      </c>
      <c r="E1075" s="29" t="s">
        <v>798</v>
      </c>
      <c r="F1075" s="29" t="s">
        <v>36</v>
      </c>
      <c r="G1075" s="29">
        <v>15.95</v>
      </c>
      <c r="H1075" s="71" t="s">
        <v>793</v>
      </c>
      <c r="I1075" s="37" t="str">
        <f t="shared" si="9"/>
        <v>https://www.infraeletrocalhas.com.br/eletrocalhas.asp?produtos=Eletrocalha-Galvanizada</v>
      </c>
    </row>
    <row r="1076" spans="1:9" x14ac:dyDescent="0.25">
      <c r="A1076" s="29" t="s">
        <v>12</v>
      </c>
      <c r="B1076" s="29" t="s">
        <v>115</v>
      </c>
      <c r="C1076" s="29" t="s">
        <v>34</v>
      </c>
      <c r="D1076" s="37" t="s">
        <v>1921</v>
      </c>
      <c r="E1076" s="29" t="s">
        <v>798</v>
      </c>
      <c r="F1076" s="29" t="s">
        <v>36</v>
      </c>
      <c r="G1076" s="29">
        <v>3.9</v>
      </c>
      <c r="H1076" s="71" t="s">
        <v>793</v>
      </c>
      <c r="I1076" s="37" t="str">
        <f t="shared" si="9"/>
        <v>https://www.infraeletrocalhas.com.br/eletrocalhas.asp?produtos=Eletrocalha-Galvanizada</v>
      </c>
    </row>
    <row r="1077" spans="1:9" x14ac:dyDescent="0.25">
      <c r="A1077" s="29" t="s">
        <v>12</v>
      </c>
      <c r="B1077" s="29" t="s">
        <v>115</v>
      </c>
      <c r="C1077" s="29" t="s">
        <v>34</v>
      </c>
      <c r="D1077" s="37" t="s">
        <v>1188</v>
      </c>
      <c r="E1077" s="29" t="s">
        <v>789</v>
      </c>
      <c r="F1077" s="29" t="s">
        <v>36</v>
      </c>
      <c r="G1077" s="29">
        <v>3.51</v>
      </c>
      <c r="H1077" s="71" t="s">
        <v>740</v>
      </c>
      <c r="I1077" s="37" t="str">
        <f>"https://www.eletrotrafo.com.br/eletrocalha-galv-suporte-ang--150x100-duplo-dp227-07120020/p?skuId=18332"</f>
        <v>https://www.eletrotrafo.com.br/eletrocalha-galv-suporte-ang--150x100-duplo-dp227-07120020/p?skuId=18332</v>
      </c>
    </row>
    <row r="1078" spans="1:9" x14ac:dyDescent="0.25">
      <c r="A1078" s="29" t="s">
        <v>12</v>
      </c>
      <c r="B1078" s="29" t="s">
        <v>115</v>
      </c>
      <c r="C1078" s="29" t="s">
        <v>34</v>
      </c>
      <c r="D1078" s="37" t="s">
        <v>1189</v>
      </c>
      <c r="E1078" s="29" t="s">
        <v>789</v>
      </c>
      <c r="F1078" s="29" t="s">
        <v>36</v>
      </c>
      <c r="G1078" s="29">
        <v>7.69</v>
      </c>
      <c r="H1078" s="71" t="s">
        <v>740</v>
      </c>
      <c r="I1078" s="37" t="str">
        <f>"https://www.eletrotrafo.com.br/eletrocalha-galv-suporte-ang--150x100-duplo-dp227-07120020/p?skuId=18332"</f>
        <v>https://www.eletrotrafo.com.br/eletrocalha-galv-suporte-ang--150x100-duplo-dp227-07120020/p?skuId=18332</v>
      </c>
    </row>
    <row r="1079" spans="1:9" x14ac:dyDescent="0.25">
      <c r="A1079" s="29" t="s">
        <v>12</v>
      </c>
      <c r="B1079" s="29" t="s">
        <v>115</v>
      </c>
      <c r="C1079" s="29" t="s">
        <v>34</v>
      </c>
      <c r="D1079" s="37" t="s">
        <v>1190</v>
      </c>
      <c r="E1079" s="29" t="s">
        <v>789</v>
      </c>
      <c r="F1079" s="29" t="s">
        <v>36</v>
      </c>
      <c r="G1079" s="29">
        <v>8.8000000000000007</v>
      </c>
      <c r="H1079" s="71" t="s">
        <v>740</v>
      </c>
      <c r="I1079" s="37" t="str">
        <f>"https://www.eletrotrafo.com.br/eletrocalha-galv-suporte-ang--150x100-duplo-dp227-07120020/p?skuId=18332"</f>
        <v>https://www.eletrotrafo.com.br/eletrocalha-galv-suporte-ang--150x100-duplo-dp227-07120020/p?skuId=18332</v>
      </c>
    </row>
    <row r="1080" spans="1:9" x14ac:dyDescent="0.25">
      <c r="A1080" s="29" t="s">
        <v>12</v>
      </c>
      <c r="B1080" s="29" t="s">
        <v>115</v>
      </c>
      <c r="C1080" s="29" t="s">
        <v>34</v>
      </c>
      <c r="D1080" s="37" t="s">
        <v>1191</v>
      </c>
      <c r="E1080" s="29" t="s">
        <v>789</v>
      </c>
      <c r="F1080" s="29" t="s">
        <v>36</v>
      </c>
      <c r="G1080" s="29">
        <v>13.74</v>
      </c>
      <c r="H1080" s="71" t="s">
        <v>740</v>
      </c>
      <c r="I1080" s="37" t="str">
        <f>"https://www.eletrotrafo.com.br/eletrocalha-galv-suporte-ang--150x100-duplo-dp227-07120020/p?skuId=18332"</f>
        <v>https://www.eletrotrafo.com.br/eletrocalha-galv-suporte-ang--150x100-duplo-dp227-07120020/p?skuId=18332</v>
      </c>
    </row>
    <row r="1081" spans="1:9" x14ac:dyDescent="0.25">
      <c r="A1081" s="29" t="s">
        <v>12</v>
      </c>
      <c r="B1081" s="29" t="s">
        <v>115</v>
      </c>
      <c r="C1081" s="29" t="s">
        <v>34</v>
      </c>
      <c r="D1081" s="37" t="s">
        <v>1192</v>
      </c>
      <c r="E1081" s="29" t="s">
        <v>789</v>
      </c>
      <c r="F1081" s="29" t="s">
        <v>36</v>
      </c>
      <c r="G1081" s="29">
        <v>3.32</v>
      </c>
      <c r="H1081" s="71" t="s">
        <v>740</v>
      </c>
      <c r="I1081" s="37" t="str">
        <f>"https://www.eletrotrafo.com.br/eletrocalha-galv-suporte-ang--150x100-duplo-dp227-07120020/p?skuId=18332"</f>
        <v>https://www.eletrotrafo.com.br/eletrocalha-galv-suporte-ang--150x100-duplo-dp227-07120020/p?skuId=18332</v>
      </c>
    </row>
    <row r="1082" spans="1:9" x14ac:dyDescent="0.25">
      <c r="A1082" s="29" t="s">
        <v>12</v>
      </c>
      <c r="B1082" s="29" t="s">
        <v>115</v>
      </c>
      <c r="C1082" s="29" t="s">
        <v>34</v>
      </c>
      <c r="D1082" s="37" t="s">
        <v>1193</v>
      </c>
      <c r="E1082" s="29" t="s">
        <v>37</v>
      </c>
      <c r="F1082" s="29" t="s">
        <v>36</v>
      </c>
      <c r="G1082" s="29">
        <v>15.48</v>
      </c>
      <c r="H1082" s="71" t="s">
        <v>793</v>
      </c>
      <c r="I1082" s="37" t="str">
        <f>"https://www.eletrofm.com.br/todos-produtos-do-site/cotovelo-reto-90-100x50-p-eletrocalha/"</f>
        <v>https://www.eletrofm.com.br/todos-produtos-do-site/cotovelo-reto-90-100x50-p-eletrocalha/</v>
      </c>
    </row>
    <row r="1083" spans="1:9" x14ac:dyDescent="0.25">
      <c r="A1083" s="29" t="s">
        <v>12</v>
      </c>
      <c r="B1083" s="29" t="s">
        <v>115</v>
      </c>
      <c r="C1083" s="29" t="s">
        <v>34</v>
      </c>
      <c r="D1083" s="37" t="s">
        <v>1194</v>
      </c>
      <c r="E1083" s="29" t="s">
        <v>37</v>
      </c>
      <c r="F1083" s="29" t="s">
        <v>36</v>
      </c>
      <c r="I1083" s="37" t="s">
        <v>37</v>
      </c>
    </row>
    <row r="1084" spans="1:9" x14ac:dyDescent="0.25">
      <c r="A1084" s="29" t="s">
        <v>12</v>
      </c>
      <c r="B1084" s="29" t="s">
        <v>115</v>
      </c>
      <c r="C1084" s="29" t="s">
        <v>34</v>
      </c>
      <c r="D1084" s="37" t="s">
        <v>1195</v>
      </c>
      <c r="E1084" s="29" t="s">
        <v>37</v>
      </c>
      <c r="F1084" s="29" t="s">
        <v>36</v>
      </c>
      <c r="G1084" s="29">
        <v>17.89</v>
      </c>
      <c r="H1084" s="71" t="s">
        <v>793</v>
      </c>
      <c r="I1084" s="37" t="str">
        <f>"https://www.leroymerlin.com.br/cotoveloretoeletrocalhaperfurada50x50mmaco-zincadoseb-brasil_1570791294?msockid=1b223b79009e6d3b00a82d0101f56cec"</f>
        <v>https://www.leroymerlin.com.br/cotoveloretoeletrocalhaperfurada50x50mmaco-zincadoseb-brasil_1570791294?msockid=1b223b79009e6d3b00a82d0101f56cec</v>
      </c>
    </row>
    <row r="1085" spans="1:9" x14ac:dyDescent="0.25">
      <c r="A1085" s="29" t="s">
        <v>12</v>
      </c>
      <c r="B1085" s="29" t="s">
        <v>115</v>
      </c>
      <c r="C1085" s="29" t="s">
        <v>34</v>
      </c>
      <c r="D1085" s="37" t="s">
        <v>1196</v>
      </c>
      <c r="E1085" s="29" t="s">
        <v>788</v>
      </c>
      <c r="F1085" s="29" t="s">
        <v>36</v>
      </c>
      <c r="G1085" s="29">
        <v>22.64</v>
      </c>
      <c r="H1085" s="71" t="s">
        <v>740</v>
      </c>
      <c r="I1085" s="37" t="str">
        <f>"https://www.eletrotrafo.com.br/eletrocalha-galv-curva-horiz--lisa-100x50-dp205-07120071/p?skuId=18584"</f>
        <v>https://www.eletrotrafo.com.br/eletrocalha-galv-curva-horiz--lisa-100x50-dp205-07120071/p?skuId=18584</v>
      </c>
    </row>
    <row r="1086" spans="1:9" x14ac:dyDescent="0.25">
      <c r="A1086" s="29" t="s">
        <v>12</v>
      </c>
      <c r="B1086" s="29" t="s">
        <v>115</v>
      </c>
      <c r="C1086" s="29" t="s">
        <v>34</v>
      </c>
      <c r="D1086" s="37" t="s">
        <v>1197</v>
      </c>
      <c r="E1086" s="29" t="s">
        <v>788</v>
      </c>
      <c r="F1086" s="29" t="s">
        <v>36</v>
      </c>
      <c r="G1086" s="29">
        <v>71.72</v>
      </c>
      <c r="H1086" s="71" t="s">
        <v>740</v>
      </c>
      <c r="I1086" s="37" t="str">
        <f>"https://www.eletrotrafo.com.br/eletrocalha-galv-curva-horiz--lisa-100x50-dp205-07120071/p?skuId=18584"</f>
        <v>https://www.eletrotrafo.com.br/eletrocalha-galv-curva-horiz--lisa-100x50-dp205-07120071/p?skuId=18584</v>
      </c>
    </row>
    <row r="1087" spans="1:9" x14ac:dyDescent="0.25">
      <c r="A1087" s="29" t="s">
        <v>12</v>
      </c>
      <c r="B1087" s="29" t="s">
        <v>115</v>
      </c>
      <c r="C1087" s="29" t="s">
        <v>34</v>
      </c>
      <c r="D1087" s="37" t="s">
        <v>1198</v>
      </c>
      <c r="E1087" s="29" t="s">
        <v>788</v>
      </c>
      <c r="F1087" s="29" t="s">
        <v>36</v>
      </c>
      <c r="G1087" s="29">
        <v>134.54</v>
      </c>
      <c r="H1087" s="71" t="s">
        <v>740</v>
      </c>
      <c r="I1087" s="37" t="str">
        <f>"https://www.eletrotrafo.com.br/eletrocalha-galv-curva-horiz--lisa-100x50-dp205-07120071/p?skuId=18584"</f>
        <v>https://www.eletrotrafo.com.br/eletrocalha-galv-curva-horiz--lisa-100x50-dp205-07120071/p?skuId=18584</v>
      </c>
    </row>
    <row r="1088" spans="1:9" x14ac:dyDescent="0.25">
      <c r="A1088" s="29" t="s">
        <v>12</v>
      </c>
      <c r="B1088" s="29" t="s">
        <v>115</v>
      </c>
      <c r="C1088" s="29" t="s">
        <v>34</v>
      </c>
      <c r="D1088" s="37" t="s">
        <v>1199</v>
      </c>
      <c r="E1088" s="29" t="s">
        <v>788</v>
      </c>
      <c r="F1088" s="29" t="s">
        <v>36</v>
      </c>
      <c r="G1088" s="29">
        <v>12.09</v>
      </c>
      <c r="H1088" s="71" t="s">
        <v>740</v>
      </c>
      <c r="I1088" s="37" t="str">
        <f>"https://www.eletrotrafo.com.br/eletrocalha-galv-curva-horiz--lisa-100x50-dp205-07120071/p?skuId=18584"</f>
        <v>https://www.eletrotrafo.com.br/eletrocalha-galv-curva-horiz--lisa-100x50-dp205-07120071/p?skuId=18584</v>
      </c>
    </row>
    <row r="1089" spans="1:9" x14ac:dyDescent="0.25">
      <c r="A1089" s="29" t="s">
        <v>12</v>
      </c>
      <c r="B1089" s="29" t="s">
        <v>115</v>
      </c>
      <c r="C1089" s="29" t="s">
        <v>34</v>
      </c>
      <c r="D1089" s="37" t="s">
        <v>1200</v>
      </c>
      <c r="E1089" s="29" t="s">
        <v>796</v>
      </c>
      <c r="F1089" s="29" t="s">
        <v>36</v>
      </c>
      <c r="G1089" s="29">
        <v>32.979999999999997</v>
      </c>
      <c r="H1089" s="71" t="s">
        <v>793</v>
      </c>
      <c r="I1089" s="37" t="str">
        <f>"https://www.eletrotrafo.com.br/eletrocalha-galv-curva-horiz--perf--200x50-70002801/p?skuId=18608; https://www.marmota.com.br/curva-horizontal-90-para-eletrocalha-100x100mm-perfilex-p51824?pp=/182.1443/"</f>
        <v>https://www.eletrotrafo.com.br/eletrocalha-galv-curva-horiz--perf--200x50-70002801/p?skuId=18608; https://www.marmota.com.br/curva-horizontal-90-para-eletrocalha-100x100mm-perfilex-p51824?pp=/182.1443/</v>
      </c>
    </row>
    <row r="1090" spans="1:9" x14ac:dyDescent="0.25">
      <c r="A1090" s="29" t="s">
        <v>12</v>
      </c>
      <c r="B1090" s="29" t="s">
        <v>115</v>
      </c>
      <c r="C1090" s="29" t="s">
        <v>34</v>
      </c>
      <c r="D1090" s="37" t="s">
        <v>1201</v>
      </c>
      <c r="E1090" s="29" t="s">
        <v>796</v>
      </c>
      <c r="F1090" s="29" t="s">
        <v>36</v>
      </c>
      <c r="G1090" s="29">
        <v>22.12</v>
      </c>
      <c r="H1090" s="71" t="s">
        <v>793</v>
      </c>
      <c r="I1090" s="37" t="str">
        <f>"https://www.eletrotrafo.com.br/eletrocalha-galv-curva-horiz--perf--200x50-70002801/p?skuId=18608; https://www.marmota.com.br/curva-horizontal-90-para-eletrocalha-100x50mm-perfilex-p52444?pp=/182.1443/"</f>
        <v>https://www.eletrotrafo.com.br/eletrocalha-galv-curva-horiz--perf--200x50-70002801/p?skuId=18608; https://www.marmota.com.br/curva-horizontal-90-para-eletrocalha-100x50mm-perfilex-p52444?pp=/182.1443/</v>
      </c>
    </row>
    <row r="1091" spans="1:9" x14ac:dyDescent="0.25">
      <c r="A1091" s="29" t="s">
        <v>12</v>
      </c>
      <c r="B1091" s="29" t="s">
        <v>115</v>
      </c>
      <c r="C1091" s="29" t="s">
        <v>34</v>
      </c>
      <c r="D1091" s="37" t="s">
        <v>1202</v>
      </c>
      <c r="E1091" s="29" t="s">
        <v>796</v>
      </c>
      <c r="F1091" s="29" t="s">
        <v>36</v>
      </c>
      <c r="G1091" s="29">
        <v>36.56</v>
      </c>
      <c r="H1091" s="71" t="s">
        <v>793</v>
      </c>
      <c r="I1091" s="37" t="str">
        <f>"https://www.eletrotrafo.com.br/eletrocalha-galv-curva-horiz--perf--200x50-70002801/p?skuId=18608; https://www.marmota.com.br/curva-horizontal-90-para-eletrocalha-150x100mm-perfilex-p51293?pp=/182.1443/"</f>
        <v>https://www.eletrotrafo.com.br/eletrocalha-galv-curva-horiz--perf--200x50-70002801/p?skuId=18608; https://www.marmota.com.br/curva-horizontal-90-para-eletrocalha-150x100mm-perfilex-p51293?pp=/182.1443/</v>
      </c>
    </row>
    <row r="1092" spans="1:9" x14ac:dyDescent="0.25">
      <c r="A1092" s="29" t="s">
        <v>12</v>
      </c>
      <c r="B1092" s="29" t="s">
        <v>115</v>
      </c>
      <c r="C1092" s="29" t="s">
        <v>34</v>
      </c>
      <c r="D1092" s="37" t="s">
        <v>1203</v>
      </c>
      <c r="E1092" s="29" t="s">
        <v>796</v>
      </c>
      <c r="F1092" s="29" t="s">
        <v>36</v>
      </c>
      <c r="G1092" s="29">
        <v>33.369999999999997</v>
      </c>
      <c r="H1092" s="71" t="s">
        <v>793</v>
      </c>
      <c r="I1092" s="37" t="str">
        <f>"https://www.eletrotrafo.com.br/eletrocalha-galv-curva-horiz--perf--200x50-70002801/p?skuId=18608; https://www.marmota.com.br/curva-horizontal-90-para-eletrocalha-150x50mm-perfilex-p49428?pp=/182.1443/"</f>
        <v>https://www.eletrotrafo.com.br/eletrocalha-galv-curva-horiz--perf--200x50-70002801/p?skuId=18608; https://www.marmota.com.br/curva-horizontal-90-para-eletrocalha-150x50mm-perfilex-p49428?pp=/182.1443/</v>
      </c>
    </row>
    <row r="1093" spans="1:9" x14ac:dyDescent="0.25">
      <c r="A1093" s="29" t="s">
        <v>12</v>
      </c>
      <c r="B1093" s="29" t="s">
        <v>115</v>
      </c>
      <c r="C1093" s="29" t="s">
        <v>34</v>
      </c>
      <c r="D1093" s="37" t="s">
        <v>1204</v>
      </c>
      <c r="E1093" s="29" t="s">
        <v>796</v>
      </c>
      <c r="F1093" s="29" t="s">
        <v>36</v>
      </c>
      <c r="G1093" s="29">
        <v>57.44</v>
      </c>
      <c r="H1093" s="71" t="s">
        <v>793</v>
      </c>
      <c r="I1093" s="37" t="str">
        <f>"https://www.eletrotrafo.com.br/eletrocalha-galv-curva-horiz--perf--200x50-70002801/p?skuId=18608; https://www.marmota.com.br/curva-horizontal-90-para-eletrocalha-200x100mm-perfilex-p50461?pp=/182.1443/"</f>
        <v>https://www.eletrotrafo.com.br/eletrocalha-galv-curva-horiz--perf--200x50-70002801/p?skuId=18608; https://www.marmota.com.br/curva-horizontal-90-para-eletrocalha-200x100mm-perfilex-p50461?pp=/182.1443/</v>
      </c>
    </row>
    <row r="1094" spans="1:9" x14ac:dyDescent="0.25">
      <c r="A1094" s="29" t="s">
        <v>12</v>
      </c>
      <c r="B1094" s="29" t="s">
        <v>115</v>
      </c>
      <c r="C1094" s="29" t="s">
        <v>34</v>
      </c>
      <c r="D1094" s="37" t="s">
        <v>1205</v>
      </c>
      <c r="E1094" s="29" t="s">
        <v>796</v>
      </c>
      <c r="F1094" s="29" t="s">
        <v>36</v>
      </c>
      <c r="G1094" s="29">
        <v>46.23</v>
      </c>
      <c r="H1094" s="71" t="s">
        <v>793</v>
      </c>
      <c r="I1094" s="37" t="str">
        <f>"https://www.eletrotrafo.com.br/eletrocalha-galv-curva-horiz--perf--200x50-70002801/p?skuId=18608; https://www.marmota.com.br/curva-horizontal-90-para-eletrocalha-200x50mm-perfilex-p50053?pp=/182.1443/"</f>
        <v>https://www.eletrotrafo.com.br/eletrocalha-galv-curva-horiz--perf--200x50-70002801/p?skuId=18608; https://www.marmota.com.br/curva-horizontal-90-para-eletrocalha-200x50mm-perfilex-p50053?pp=/182.1443/</v>
      </c>
    </row>
    <row r="1095" spans="1:9" x14ac:dyDescent="0.25">
      <c r="A1095" s="29" t="s">
        <v>12</v>
      </c>
      <c r="B1095" s="29" t="s">
        <v>115</v>
      </c>
      <c r="C1095" s="29" t="s">
        <v>34</v>
      </c>
      <c r="D1095" s="37" t="s">
        <v>1206</v>
      </c>
      <c r="E1095" s="29" t="s">
        <v>796</v>
      </c>
      <c r="F1095" s="29" t="s">
        <v>36</v>
      </c>
      <c r="G1095" s="29">
        <v>103.95</v>
      </c>
      <c r="H1095" s="71" t="s">
        <v>793</v>
      </c>
      <c r="I1095" s="37" t="str">
        <f>"https://www.eletrotrafo.com.br/eletrocalha-galv-curva-horiz--perf--200x50-70002801/p?skuId=18608; https://www.marmota.com.br/curva-horizontal-90-para-eletrocalha-300x100mm-perfilex-p51471?pp=/182.1443/"</f>
        <v>https://www.eletrotrafo.com.br/eletrocalha-galv-curva-horiz--perf--200x50-70002801/p?skuId=18608; https://www.marmota.com.br/curva-horizontal-90-para-eletrocalha-300x100mm-perfilex-p51471?pp=/182.1443/</v>
      </c>
    </row>
    <row r="1096" spans="1:9" x14ac:dyDescent="0.25">
      <c r="A1096" s="29" t="s">
        <v>12</v>
      </c>
      <c r="B1096" s="29" t="s">
        <v>115</v>
      </c>
      <c r="C1096" s="29" t="s">
        <v>34</v>
      </c>
      <c r="D1096" s="37" t="s">
        <v>1207</v>
      </c>
      <c r="E1096" s="29" t="s">
        <v>796</v>
      </c>
      <c r="F1096" s="29" t="s">
        <v>36</v>
      </c>
      <c r="G1096" s="29">
        <v>15.76</v>
      </c>
      <c r="H1096" s="71" t="s">
        <v>793</v>
      </c>
      <c r="I1096" s="37" t="str">
        <f>"https://www.eletrotrafo.com.br/eletrocalha-galv-curva-horiz--perf--200x50-70002801/p?skuId=18608; https://www.marmota.com.br/curva-horizontal-90-para-eletrocalha-50x50mm-perfilex-p50868?pp=/182.1443/"</f>
        <v>https://www.eletrotrafo.com.br/eletrocalha-galv-curva-horiz--perf--200x50-70002801/p?skuId=18608; https://www.marmota.com.br/curva-horizontal-90-para-eletrocalha-50x50mm-perfilex-p50868?pp=/182.1443/</v>
      </c>
    </row>
    <row r="1097" spans="1:9" x14ac:dyDescent="0.25">
      <c r="A1097" s="29" t="s">
        <v>12</v>
      </c>
      <c r="B1097" s="29" t="s">
        <v>115</v>
      </c>
      <c r="C1097" s="29" t="s">
        <v>34</v>
      </c>
      <c r="D1097" s="37" t="s">
        <v>1208</v>
      </c>
      <c r="E1097" s="29" t="s">
        <v>788</v>
      </c>
      <c r="F1097" s="29" t="s">
        <v>36</v>
      </c>
      <c r="G1097" s="29">
        <v>47.71</v>
      </c>
      <c r="H1097" s="71" t="s">
        <v>813</v>
      </c>
      <c r="I1097" s="37" t="str">
        <f>"https://www.eletrotrafo.com.br/eletrocalha-galv-curva-inv--lisa-100x50-dp208-13370078/p?skuId=18997"</f>
        <v>https://www.eletrotrafo.com.br/eletrocalha-galv-curva-inv--lisa-100x50-dp208-13370078/p?skuId=18997</v>
      </c>
    </row>
    <row r="1098" spans="1:9" x14ac:dyDescent="0.25">
      <c r="A1098" s="29" t="s">
        <v>12</v>
      </c>
      <c r="B1098" s="29" t="s">
        <v>115</v>
      </c>
      <c r="C1098" s="29" t="s">
        <v>34</v>
      </c>
      <c r="D1098" s="37" t="s">
        <v>1209</v>
      </c>
      <c r="E1098" s="29" t="s">
        <v>788</v>
      </c>
      <c r="F1098" s="29" t="s">
        <v>36</v>
      </c>
      <c r="G1098" s="29">
        <v>22.93</v>
      </c>
      <c r="H1098" s="71" t="s">
        <v>813</v>
      </c>
      <c r="I1098" s="37" t="str">
        <f>"https://www.eletrotrafo.com.br/eletrocalha-galv-curva-inv--lisa-100x50-dp208-13370078/p?skuId=18997"</f>
        <v>https://www.eletrotrafo.com.br/eletrocalha-galv-curva-inv--lisa-100x50-dp208-13370078/p?skuId=18997</v>
      </c>
    </row>
    <row r="1099" spans="1:9" x14ac:dyDescent="0.25">
      <c r="A1099" s="29" t="s">
        <v>12</v>
      </c>
      <c r="B1099" s="29" t="s">
        <v>115</v>
      </c>
      <c r="C1099" s="29" t="s">
        <v>34</v>
      </c>
      <c r="D1099" s="37" t="s">
        <v>1210</v>
      </c>
      <c r="E1099" s="29" t="s">
        <v>788</v>
      </c>
      <c r="F1099" s="29" t="s">
        <v>36</v>
      </c>
      <c r="G1099" s="29">
        <v>34.840000000000003</v>
      </c>
      <c r="H1099" s="71" t="s">
        <v>740</v>
      </c>
      <c r="I1099" s="37" t="str">
        <f>"https://www.eletrotrafo.com.br/eletrocalha-galv-curva-inv--perf--100x100mm-07120087/p?skuId=18357"</f>
        <v>https://www.eletrotrafo.com.br/eletrocalha-galv-curva-inv--perf--100x100mm-07120087/p?skuId=18357</v>
      </c>
    </row>
    <row r="1100" spans="1:9" x14ac:dyDescent="0.25">
      <c r="A1100" s="29" t="s">
        <v>12</v>
      </c>
      <c r="B1100" s="29" t="s">
        <v>115</v>
      </c>
      <c r="C1100" s="29" t="s">
        <v>34</v>
      </c>
      <c r="D1100" s="37" t="s">
        <v>1211</v>
      </c>
      <c r="E1100" s="29" t="s">
        <v>788</v>
      </c>
      <c r="F1100" s="29" t="s">
        <v>36</v>
      </c>
      <c r="G1100" s="29">
        <v>19.350000000000001</v>
      </c>
      <c r="H1100" s="71" t="s">
        <v>740</v>
      </c>
      <c r="I1100" s="37" t="str">
        <f>"https://www.eletrotrafo.com.br/eletrocalha-galv-curva-inv--perf--100x100mm-07120087/p?skuId=18357"</f>
        <v>https://www.eletrotrafo.com.br/eletrocalha-galv-curva-inv--perf--100x100mm-07120087/p?skuId=18357</v>
      </c>
    </row>
    <row r="1101" spans="1:9" x14ac:dyDescent="0.25">
      <c r="A1101" s="29" t="s">
        <v>12</v>
      </c>
      <c r="B1101" s="29" t="s">
        <v>115</v>
      </c>
      <c r="C1101" s="29" t="s">
        <v>34</v>
      </c>
      <c r="D1101" s="37" t="s">
        <v>1212</v>
      </c>
      <c r="E1101" s="29" t="s">
        <v>788</v>
      </c>
      <c r="F1101" s="29" t="s">
        <v>36</v>
      </c>
      <c r="G1101" s="29">
        <v>37.840000000000003</v>
      </c>
      <c r="H1101" s="71" t="s">
        <v>740</v>
      </c>
      <c r="I1101" s="37" t="str">
        <f>"https://www.eletrotrafo.com.br/eletrocalha-galv-curva-inv--perf--100x100mm-07120087/p?skuId=18357"</f>
        <v>https://www.eletrotrafo.com.br/eletrocalha-galv-curva-inv--perf--100x100mm-07120087/p?skuId=18357</v>
      </c>
    </row>
    <row r="1102" spans="1:9" x14ac:dyDescent="0.25">
      <c r="A1102" s="29" t="s">
        <v>12</v>
      </c>
      <c r="B1102" s="29" t="s">
        <v>115</v>
      </c>
      <c r="C1102" s="29" t="s">
        <v>34</v>
      </c>
      <c r="D1102" s="37" t="s">
        <v>1213</v>
      </c>
      <c r="E1102" s="29" t="s">
        <v>788</v>
      </c>
      <c r="F1102" s="29" t="s">
        <v>36</v>
      </c>
      <c r="G1102" s="29">
        <v>87.79</v>
      </c>
      <c r="H1102" s="71" t="s">
        <v>740</v>
      </c>
      <c r="I1102" s="37" t="str">
        <f>"https://www.eletrotrafo.com.br/eletrocalha-galv-curva-inv--perf--100x100mm-07120087/p?skuId=18357"</f>
        <v>https://www.eletrotrafo.com.br/eletrocalha-galv-curva-inv--perf--100x100mm-07120087/p?skuId=18357</v>
      </c>
    </row>
    <row r="1103" spans="1:9" x14ac:dyDescent="0.25">
      <c r="A1103" s="29" t="s">
        <v>12</v>
      </c>
      <c r="B1103" s="29" t="s">
        <v>115</v>
      </c>
      <c r="C1103" s="29" t="s">
        <v>34</v>
      </c>
      <c r="D1103" s="37" t="s">
        <v>1214</v>
      </c>
      <c r="E1103" s="29" t="s">
        <v>788</v>
      </c>
      <c r="F1103" s="29" t="s">
        <v>36</v>
      </c>
      <c r="G1103" s="29">
        <v>12.67</v>
      </c>
      <c r="H1103" s="71" t="s">
        <v>740</v>
      </c>
      <c r="I1103" s="37" t="str">
        <f>"https://www.eletrotrafo.com.br/eletrocalha-galv-curva-inv--perf--100x100mm-07120087/p?skuId=18357"</f>
        <v>https://www.eletrotrafo.com.br/eletrocalha-galv-curva-inv--perf--100x100mm-07120087/p?skuId=18357</v>
      </c>
    </row>
    <row r="1104" spans="1:9" x14ac:dyDescent="0.25">
      <c r="A1104" s="29" t="s">
        <v>12</v>
      </c>
      <c r="B1104" s="29" t="s">
        <v>115</v>
      </c>
      <c r="C1104" s="29" t="s">
        <v>34</v>
      </c>
      <c r="D1104" s="37" t="s">
        <v>1215</v>
      </c>
      <c r="E1104" s="29" t="s">
        <v>788</v>
      </c>
      <c r="F1104" s="29" t="s">
        <v>36</v>
      </c>
      <c r="G1104" s="29">
        <v>49.07</v>
      </c>
      <c r="H1104" s="71" t="s">
        <v>740</v>
      </c>
      <c r="I1104" s="37" t="str">
        <f>"https://www.eletrotrafo.com.br/eletrocalha-galv-curva-vert--ext--lisa-90g-100x100-dp206-15760002/p?skuId=18459"</f>
        <v>https://www.eletrotrafo.com.br/eletrocalha-galv-curva-vert--ext--lisa-90g-100x100-dp206-15760002/p?skuId=18459</v>
      </c>
    </row>
    <row r="1105" spans="1:9" x14ac:dyDescent="0.25">
      <c r="A1105" s="29" t="s">
        <v>12</v>
      </c>
      <c r="B1105" s="29" t="s">
        <v>115</v>
      </c>
      <c r="C1105" s="29" t="s">
        <v>34</v>
      </c>
      <c r="D1105" s="37" t="s">
        <v>1216</v>
      </c>
      <c r="E1105" s="29" t="s">
        <v>788</v>
      </c>
      <c r="F1105" s="29" t="s">
        <v>36</v>
      </c>
      <c r="G1105" s="29">
        <v>29.42</v>
      </c>
      <c r="H1105" s="71" t="s">
        <v>740</v>
      </c>
      <c r="I1105" s="37" t="str">
        <f>"https://www.eletrotrafo.com.br/eletrocalha-galv-curva-vert--ext--lisa-90g-100x100-dp206-15760002/p?skuId=18459"</f>
        <v>https://www.eletrotrafo.com.br/eletrocalha-galv-curva-vert--ext--lisa-90g-100x100-dp206-15760002/p?skuId=18459</v>
      </c>
    </row>
    <row r="1106" spans="1:9" x14ac:dyDescent="0.25">
      <c r="A1106" s="29" t="s">
        <v>12</v>
      </c>
      <c r="B1106" s="29" t="s">
        <v>115</v>
      </c>
      <c r="C1106" s="29" t="s">
        <v>34</v>
      </c>
      <c r="D1106" s="37" t="s">
        <v>1217</v>
      </c>
      <c r="E1106" s="29" t="s">
        <v>788</v>
      </c>
      <c r="F1106" s="29" t="s">
        <v>36</v>
      </c>
      <c r="G1106" s="29">
        <v>20.22</v>
      </c>
      <c r="H1106" s="71" t="s">
        <v>740</v>
      </c>
      <c r="I1106" s="37" t="str">
        <f>"https://www.eletrotrafo.com.br/eletrocalha-galv-curva-vert--ext--perf--45g-100x100-19820015/p?skuId=17369"</f>
        <v>https://www.eletrotrafo.com.br/eletrocalha-galv-curva-vert--ext--perf--45g-100x100-19820015/p?skuId=17369</v>
      </c>
    </row>
    <row r="1107" spans="1:9" x14ac:dyDescent="0.25">
      <c r="A1107" s="29" t="s">
        <v>12</v>
      </c>
      <c r="B1107" s="29" t="s">
        <v>115</v>
      </c>
      <c r="C1107" s="29" t="s">
        <v>34</v>
      </c>
      <c r="D1107" s="37" t="s">
        <v>1218</v>
      </c>
      <c r="E1107" s="29" t="s">
        <v>788</v>
      </c>
      <c r="F1107" s="29" t="s">
        <v>36</v>
      </c>
      <c r="G1107" s="29">
        <v>15.19</v>
      </c>
      <c r="H1107" s="71" t="s">
        <v>740</v>
      </c>
      <c r="I1107" s="37" t="str">
        <f>"https://www.eletrotrafo.com.br/eletrocalha-galv-curva-vert--ext--perf--45g-100x100-19820015/p?skuId=17369"</f>
        <v>https://www.eletrotrafo.com.br/eletrocalha-galv-curva-vert--ext--perf--45g-100x100-19820015/p?skuId=17369</v>
      </c>
    </row>
    <row r="1108" spans="1:9" x14ac:dyDescent="0.25">
      <c r="A1108" s="29" t="s">
        <v>12</v>
      </c>
      <c r="B1108" s="29" t="s">
        <v>115</v>
      </c>
      <c r="C1108" s="29" t="s">
        <v>34</v>
      </c>
      <c r="D1108" s="37" t="s">
        <v>1219</v>
      </c>
      <c r="E1108" s="29" t="s">
        <v>788</v>
      </c>
      <c r="F1108" s="29" t="s">
        <v>36</v>
      </c>
      <c r="G1108" s="29">
        <v>23.61</v>
      </c>
      <c r="H1108" s="71" t="s">
        <v>740</v>
      </c>
      <c r="I1108" s="37" t="str">
        <f>"https://www.eletrotrafo.com.br/eletrocalha-galv-curva-vert--ext--perf--45g-100x100-19820015/p?skuId=17369"</f>
        <v>https://www.eletrotrafo.com.br/eletrocalha-galv-curva-vert--ext--perf--45g-100x100-19820015/p?skuId=17369</v>
      </c>
    </row>
    <row r="1109" spans="1:9" x14ac:dyDescent="0.25">
      <c r="A1109" s="29" t="s">
        <v>12</v>
      </c>
      <c r="B1109" s="29" t="s">
        <v>115</v>
      </c>
      <c r="C1109" s="29" t="s">
        <v>34</v>
      </c>
      <c r="D1109" s="37" t="s">
        <v>1220</v>
      </c>
      <c r="E1109" s="29" t="s">
        <v>788</v>
      </c>
      <c r="F1109" s="29" t="s">
        <v>36</v>
      </c>
      <c r="G1109" s="29">
        <v>47.33</v>
      </c>
      <c r="H1109" s="71" t="s">
        <v>740</v>
      </c>
      <c r="I1109" s="37" t="str">
        <f>"https://www.eletrotrafo.com.br/eletrocalha-galv-curva-vert--ext--perf--45g-100x100-19820015/p?skuId=17369"</f>
        <v>https://www.eletrotrafo.com.br/eletrocalha-galv-curva-vert--ext--perf--45g-100x100-19820015/p?skuId=17369</v>
      </c>
    </row>
    <row r="1110" spans="1:9" x14ac:dyDescent="0.25">
      <c r="A1110" s="29" t="s">
        <v>12</v>
      </c>
      <c r="B1110" s="29" t="s">
        <v>115</v>
      </c>
      <c r="C1110" s="29" t="s">
        <v>34</v>
      </c>
      <c r="D1110" s="37" t="s">
        <v>1221</v>
      </c>
      <c r="E1110" s="29" t="s">
        <v>788</v>
      </c>
      <c r="F1110" s="29" t="s">
        <v>36</v>
      </c>
      <c r="G1110" s="29">
        <v>30.77</v>
      </c>
      <c r="H1110" s="71" t="s">
        <v>740</v>
      </c>
      <c r="I1110" s="37" t="str">
        <f>"https://www.eletrotrafo.com.br/eletrocalha-galv-curva-vert--ext--perf--90g-100x50-13370012/p?skuId=18451"</f>
        <v>https://www.eletrotrafo.com.br/eletrocalha-galv-curva-vert--ext--perf--90g-100x50-13370012/p?skuId=18451</v>
      </c>
    </row>
    <row r="1111" spans="1:9" x14ac:dyDescent="0.25">
      <c r="A1111" s="29" t="s">
        <v>12</v>
      </c>
      <c r="B1111" s="29" t="s">
        <v>115</v>
      </c>
      <c r="C1111" s="29" t="s">
        <v>34</v>
      </c>
      <c r="D1111" s="37" t="s">
        <v>1222</v>
      </c>
      <c r="E1111" s="29" t="s">
        <v>796</v>
      </c>
      <c r="F1111" s="29" t="s">
        <v>36</v>
      </c>
      <c r="G1111" s="29">
        <v>20.55</v>
      </c>
      <c r="H1111" s="71" t="s">
        <v>793</v>
      </c>
      <c r="I1111" s="37" t="str">
        <f>"https://www.eletrotrafo.com.br/eletrocalha-galv-curva-vert--ext--perf--90g-100x50-13370012/p?skuId=18451; https://www.marmota.com.br/curva-vertical-externa-90-para-eletrocalha-100x50mm-perfilex-p50407?pp=/182.1443/"</f>
        <v>https://www.eletrotrafo.com.br/eletrocalha-galv-curva-vert--ext--perf--90g-100x50-13370012/p?skuId=18451; https://www.marmota.com.br/curva-vertical-externa-90-para-eletrocalha-100x50mm-perfilex-p50407?pp=/182.1443/</v>
      </c>
    </row>
    <row r="1112" spans="1:9" x14ac:dyDescent="0.25">
      <c r="A1112" s="29" t="s">
        <v>12</v>
      </c>
      <c r="B1112" s="29" t="s">
        <v>115</v>
      </c>
      <c r="C1112" s="29" t="s">
        <v>34</v>
      </c>
      <c r="D1112" s="37" t="s">
        <v>1223</v>
      </c>
      <c r="E1112" s="29" t="s">
        <v>796</v>
      </c>
      <c r="F1112" s="29" t="s">
        <v>36</v>
      </c>
      <c r="G1112" s="29">
        <v>39.24</v>
      </c>
      <c r="H1112" s="71" t="s">
        <v>793</v>
      </c>
      <c r="I1112" s="37" t="str">
        <f>"https://www.eletrotrafo.com.br/eletrocalha-galv-curva-vert--ext--perf--90g-100x50-13370012/p?skuId=18451; https://www.marmota.com.br/curva-vertical-externa-90-para-eletrocalha-150x100mm-perfilex-p51225?pp=/182.1443/"</f>
        <v>https://www.eletrotrafo.com.br/eletrocalha-galv-curva-vert--ext--perf--90g-100x50-13370012/p?skuId=18451; https://www.marmota.com.br/curva-vertical-externa-90-para-eletrocalha-150x100mm-perfilex-p51225?pp=/182.1443/</v>
      </c>
    </row>
    <row r="1113" spans="1:9" x14ac:dyDescent="0.25">
      <c r="A1113" s="29" t="s">
        <v>12</v>
      </c>
      <c r="B1113" s="29" t="s">
        <v>115</v>
      </c>
      <c r="C1113" s="29" t="s">
        <v>34</v>
      </c>
      <c r="D1113" s="37" t="s">
        <v>1224</v>
      </c>
      <c r="E1113" s="29" t="s">
        <v>796</v>
      </c>
      <c r="F1113" s="29" t="s">
        <v>36</v>
      </c>
      <c r="G1113" s="29">
        <v>33.24</v>
      </c>
      <c r="H1113" s="71" t="s">
        <v>793</v>
      </c>
      <c r="I1113" s="37" t="str">
        <f>"https://www.eletrotrafo.com.br/eletrocalha-galv-curva-vert--ext--perf--90g-100x50-13370012/p?skuId=18451; https://www.marmota.com.br/curva-vertical-externa-90-para-eletrocalha-150x50mm-perfilex-p52137?pp=/182.1443/"</f>
        <v>https://www.eletrotrafo.com.br/eletrocalha-galv-curva-vert--ext--perf--90g-100x50-13370012/p?skuId=18451; https://www.marmota.com.br/curva-vertical-externa-90-para-eletrocalha-150x50mm-perfilex-p52137?pp=/182.1443/</v>
      </c>
    </row>
    <row r="1114" spans="1:9" x14ac:dyDescent="0.25">
      <c r="A1114" s="29" t="s">
        <v>12</v>
      </c>
      <c r="B1114" s="29" t="s">
        <v>115</v>
      </c>
      <c r="C1114" s="29" t="s">
        <v>34</v>
      </c>
      <c r="D1114" s="37" t="s">
        <v>1225</v>
      </c>
      <c r="E1114" s="29" t="s">
        <v>796</v>
      </c>
      <c r="F1114" s="29" t="s">
        <v>36</v>
      </c>
      <c r="G1114" s="29">
        <v>49.08</v>
      </c>
      <c r="H1114" s="71" t="s">
        <v>793</v>
      </c>
      <c r="I1114" s="37" t="str">
        <f>"https://www.eletrotrafo.com.br/eletrocalha-galv-curva-vert--ext--perf--90g-100x50-13370012/p?skuId=18451; https://www.marmota.com.br/curva-vertical-externa-90-para-eletrocalha-200x100mm-perfilex-p52217?pp=/182.1443/"</f>
        <v>https://www.eletrotrafo.com.br/eletrocalha-galv-curva-vert--ext--perf--90g-100x50-13370012/p?skuId=18451; https://www.marmota.com.br/curva-vertical-externa-90-para-eletrocalha-200x100mm-perfilex-p52217?pp=/182.1443/</v>
      </c>
    </row>
    <row r="1115" spans="1:9" x14ac:dyDescent="0.25">
      <c r="A1115" s="29" t="s">
        <v>12</v>
      </c>
      <c r="B1115" s="29" t="s">
        <v>115</v>
      </c>
      <c r="C1115" s="29" t="s">
        <v>34</v>
      </c>
      <c r="D1115" s="37" t="s">
        <v>1226</v>
      </c>
      <c r="E1115" s="29" t="s">
        <v>796</v>
      </c>
      <c r="F1115" s="29" t="s">
        <v>36</v>
      </c>
      <c r="G1115" s="29">
        <v>42.9</v>
      </c>
      <c r="H1115" s="71" t="s">
        <v>793</v>
      </c>
      <c r="I1115" s="37" t="str">
        <f>"https://www.eletrotrafo.com.br/eletrocalha-galv-curva-vert--ext--perf--90g-100x50-13370012/p?skuId=18451; https://www.marmota.com.br/curva-vertical-externa-90-para-eletrocalha-200x50mm-perfilex-p50810?pp=/182.1443/"</f>
        <v>https://www.eletrotrafo.com.br/eletrocalha-galv-curva-vert--ext--perf--90g-100x50-13370012/p?skuId=18451; https://www.marmota.com.br/curva-vertical-externa-90-para-eletrocalha-200x50mm-perfilex-p50810?pp=/182.1443/</v>
      </c>
    </row>
    <row r="1116" spans="1:9" x14ac:dyDescent="0.25">
      <c r="A1116" s="29" t="s">
        <v>12</v>
      </c>
      <c r="B1116" s="29" t="s">
        <v>115</v>
      </c>
      <c r="C1116" s="29" t="s">
        <v>34</v>
      </c>
      <c r="D1116" s="37" t="s">
        <v>1227</v>
      </c>
      <c r="E1116" s="29" t="s">
        <v>796</v>
      </c>
      <c r="F1116" s="29" t="s">
        <v>36</v>
      </c>
      <c r="G1116" s="29">
        <v>91.94</v>
      </c>
      <c r="H1116" s="71" t="s">
        <v>793</v>
      </c>
      <c r="I1116" s="37" t="str">
        <f>"https://www.eletrotrafo.com.br/eletrocalha-galv-curva-vert--ext--perf--90g-100x50-13370012/p?skuId=18451; https://www.marmota.com.br/curva-vertical-externa-90-para-eletrocalha-300x100mm-perfilex-p52924?pp=/182.1443/"</f>
        <v>https://www.eletrotrafo.com.br/eletrocalha-galv-curva-vert--ext--perf--90g-100x50-13370012/p?skuId=18451; https://www.marmota.com.br/curva-vertical-externa-90-para-eletrocalha-300x100mm-perfilex-p52924?pp=/182.1443/</v>
      </c>
    </row>
    <row r="1117" spans="1:9" x14ac:dyDescent="0.25">
      <c r="A1117" s="29" t="s">
        <v>12</v>
      </c>
      <c r="B1117" s="29" t="s">
        <v>115</v>
      </c>
      <c r="C1117" s="29" t="s">
        <v>34</v>
      </c>
      <c r="D1117" s="37" t="s">
        <v>1228</v>
      </c>
      <c r="E1117" s="29" t="s">
        <v>796</v>
      </c>
      <c r="F1117" s="29" t="s">
        <v>36</v>
      </c>
      <c r="G1117" s="29">
        <v>16.46</v>
      </c>
      <c r="H1117" s="71" t="s">
        <v>793</v>
      </c>
      <c r="I1117" s="37" t="str">
        <f>"https://www.eletrotrafo.com.br/eletrocalha-galv-curva-vert--ext--perf--90g-100x50-13370012/p?skuId=18451; https://www.marmota.com.br/curva-vertical-externa-90-para-eletrocalha-50x50mm-perfilex-p50509?pp=/182.1443/"</f>
        <v>https://www.eletrotrafo.com.br/eletrocalha-galv-curva-vert--ext--perf--90g-100x50-13370012/p?skuId=18451; https://www.marmota.com.br/curva-vertical-externa-90-para-eletrocalha-50x50mm-perfilex-p50509?pp=/182.1443/</v>
      </c>
    </row>
    <row r="1118" spans="1:9" x14ac:dyDescent="0.25">
      <c r="A1118" s="29" t="s">
        <v>12</v>
      </c>
      <c r="B1118" s="29" t="s">
        <v>115</v>
      </c>
      <c r="C1118" s="29" t="s">
        <v>34</v>
      </c>
      <c r="D1118" s="37" t="s">
        <v>1229</v>
      </c>
      <c r="E1118" s="29" t="s">
        <v>788</v>
      </c>
      <c r="F1118" s="29" t="s">
        <v>36</v>
      </c>
      <c r="G1118" s="29">
        <v>27</v>
      </c>
      <c r="H1118" s="71" t="s">
        <v>740</v>
      </c>
      <c r="I1118" s="37" t="str">
        <f>"https://www.eletrotrafo.com.br/eletrocalha-galv-curva-vert--int--lisa-90g-50x50-1412-13370085/p?skuId=18658"</f>
        <v>https://www.eletrotrafo.com.br/eletrocalha-galv-curva-vert--int--lisa-90g-50x50-1412-13370085/p?skuId=18658</v>
      </c>
    </row>
    <row r="1119" spans="1:9" x14ac:dyDescent="0.25">
      <c r="A1119" s="29" t="s">
        <v>12</v>
      </c>
      <c r="B1119" s="29" t="s">
        <v>115</v>
      </c>
      <c r="C1119" s="29" t="s">
        <v>34</v>
      </c>
      <c r="D1119" s="37" t="s">
        <v>1230</v>
      </c>
      <c r="E1119" s="29" t="s">
        <v>788</v>
      </c>
      <c r="F1119" s="29" t="s">
        <v>36</v>
      </c>
      <c r="G1119" s="29">
        <v>13.25</v>
      </c>
      <c r="H1119" s="71" t="s">
        <v>740</v>
      </c>
      <c r="I1119" s="37" t="str">
        <f>"https://www.eletrotrafo.com.br/eletrocalha-galv-curva-vert--int--lisa-90g-50x50-1412-13370085/p?skuId=18658"</f>
        <v>https://www.eletrotrafo.com.br/eletrocalha-galv-curva-vert--int--lisa-90g-50x50-1412-13370085/p?skuId=18658</v>
      </c>
    </row>
    <row r="1120" spans="1:9" x14ac:dyDescent="0.25">
      <c r="A1120" s="29" t="s">
        <v>12</v>
      </c>
      <c r="B1120" s="29" t="s">
        <v>115</v>
      </c>
      <c r="C1120" s="29" t="s">
        <v>34</v>
      </c>
      <c r="D1120" s="37" t="s">
        <v>1231</v>
      </c>
      <c r="E1120" s="29" t="s">
        <v>796</v>
      </c>
      <c r="F1120" s="29" t="s">
        <v>36</v>
      </c>
      <c r="G1120" s="29">
        <v>39.44</v>
      </c>
      <c r="H1120" s="71" t="s">
        <v>793</v>
      </c>
      <c r="I1120" s="37" t="str">
        <f>"https://www.eletrotrafo.com.br/eletrocalha-galv-curva-vert--int--perf--90g-100x50-13370013/p?skuId=18461; https://www.marmota.com.br/curva-vertical-interna-90-para-eletrocalha-100x100mm-perfilex-p49798?pp=/182.1443/"</f>
        <v>https://www.eletrotrafo.com.br/eletrocalha-galv-curva-vert--int--perf--90g-100x50-13370013/p?skuId=18461; https://www.marmota.com.br/curva-vertical-interna-90-para-eletrocalha-100x100mm-perfilex-p49798?pp=/182.1443/</v>
      </c>
    </row>
    <row r="1121" spans="1:9" x14ac:dyDescent="0.25">
      <c r="A1121" s="29" t="s">
        <v>12</v>
      </c>
      <c r="B1121" s="29" t="s">
        <v>115</v>
      </c>
      <c r="C1121" s="29" t="s">
        <v>34</v>
      </c>
      <c r="D1121" s="37" t="s">
        <v>1232</v>
      </c>
      <c r="E1121" s="29" t="s">
        <v>796</v>
      </c>
      <c r="F1121" s="29" t="s">
        <v>36</v>
      </c>
      <c r="G1121" s="29">
        <v>20.12</v>
      </c>
      <c r="H1121" s="71" t="s">
        <v>793</v>
      </c>
      <c r="I1121" s="37" t="str">
        <f>"https://www.eletrotrafo.com.br/eletrocalha-galv-curva-vert--int--perf--90g-100x50-13370013/p?skuId=18461; https://www.marmota.com.br/curva-vertical-interna-90-para-eletrocalha-100x50mm-perfilex-p50203?pp=/182.1443/"</f>
        <v>https://www.eletrotrafo.com.br/eletrocalha-galv-curva-vert--int--perf--90g-100x50-13370013/p?skuId=18461; https://www.marmota.com.br/curva-vertical-interna-90-para-eletrocalha-100x50mm-perfilex-p50203?pp=/182.1443/</v>
      </c>
    </row>
    <row r="1122" spans="1:9" x14ac:dyDescent="0.25">
      <c r="A1122" s="29" t="s">
        <v>12</v>
      </c>
      <c r="B1122" s="29" t="s">
        <v>115</v>
      </c>
      <c r="C1122" s="29" t="s">
        <v>34</v>
      </c>
      <c r="D1122" s="37" t="s">
        <v>1233</v>
      </c>
      <c r="E1122" s="29" t="s">
        <v>796</v>
      </c>
      <c r="F1122" s="29" t="s">
        <v>36</v>
      </c>
      <c r="G1122" s="29">
        <v>36.909999999999997</v>
      </c>
      <c r="H1122" s="71" t="s">
        <v>793</v>
      </c>
      <c r="I1122" s="37" t="str">
        <f>"https://www.eletrotrafo.com.br/eletrocalha-galv-curva-vert--int--perf--90g-100x50-13370013/p?skuId=18461; https://www.marmota.com.br/curva-vertical-interna-90-para-eletrocalha-150x100mm-perfilaco-p52381?pp=/182.1443/"</f>
        <v>https://www.eletrotrafo.com.br/eletrocalha-galv-curva-vert--int--perf--90g-100x50-13370013/p?skuId=18461; https://www.marmota.com.br/curva-vertical-interna-90-para-eletrocalha-150x100mm-perfilaco-p52381?pp=/182.1443/</v>
      </c>
    </row>
    <row r="1123" spans="1:9" x14ac:dyDescent="0.25">
      <c r="A1123" s="29" t="s">
        <v>12</v>
      </c>
      <c r="B1123" s="29" t="s">
        <v>115</v>
      </c>
      <c r="C1123" s="29" t="s">
        <v>34</v>
      </c>
      <c r="D1123" s="37" t="s">
        <v>1234</v>
      </c>
      <c r="E1123" s="29" t="s">
        <v>788</v>
      </c>
      <c r="F1123" s="29" t="s">
        <v>36</v>
      </c>
      <c r="G1123" s="29">
        <v>18.09</v>
      </c>
      <c r="H1123" s="71" t="s">
        <v>740</v>
      </c>
      <c r="I1123" s="37" t="str">
        <f>"https://www.eletrotrafo.com.br/eletrocalha-galv-curva-vert--int--perf--90g-100x50-13370013/p?skuId=18461"</f>
        <v>https://www.eletrotrafo.com.br/eletrocalha-galv-curva-vert--int--perf--90g-100x50-13370013/p?skuId=18461</v>
      </c>
    </row>
    <row r="1124" spans="1:9" x14ac:dyDescent="0.25">
      <c r="A1124" s="29" t="s">
        <v>12</v>
      </c>
      <c r="B1124" s="29" t="s">
        <v>115</v>
      </c>
      <c r="C1124" s="29" t="s">
        <v>34</v>
      </c>
      <c r="D1124" s="37" t="s">
        <v>1235</v>
      </c>
      <c r="E1124" s="29" t="s">
        <v>796</v>
      </c>
      <c r="F1124" s="29" t="s">
        <v>36</v>
      </c>
      <c r="G1124" s="29">
        <v>47.1</v>
      </c>
      <c r="H1124" s="71" t="s">
        <v>793</v>
      </c>
      <c r="I1124" s="37" t="str">
        <f>"https://www.eletrotrafo.com.br/eletrocalha-galv-curva-vert--int--perf--90g-100x50-13370013/p?skuId=18461; https://www.marmota.com.br/curva-vertical-interna-90-para-eletrocalha-200x100mm-perfilaco-p49366?pp=/182.1443/"</f>
        <v>https://www.eletrotrafo.com.br/eletrocalha-galv-curva-vert--int--perf--90g-100x50-13370013/p?skuId=18461; https://www.marmota.com.br/curva-vertical-interna-90-para-eletrocalha-200x100mm-perfilaco-p49366?pp=/182.1443/</v>
      </c>
    </row>
    <row r="1125" spans="1:9" x14ac:dyDescent="0.25">
      <c r="A1125" s="29" t="s">
        <v>12</v>
      </c>
      <c r="B1125" s="29" t="s">
        <v>115</v>
      </c>
      <c r="C1125" s="29" t="s">
        <v>34</v>
      </c>
      <c r="D1125" s="37" t="s">
        <v>1236</v>
      </c>
      <c r="E1125" s="29" t="s">
        <v>788</v>
      </c>
      <c r="F1125" s="29" t="s">
        <v>36</v>
      </c>
      <c r="G1125" s="29">
        <v>29.13</v>
      </c>
      <c r="H1125" s="71" t="s">
        <v>740</v>
      </c>
      <c r="I1125" s="37" t="str">
        <f>"https://www.eletrotrafo.com.br/eletrocalha-galv-curva-vert--int--perf--90g-100x50-13370013/p?skuId=18461"</f>
        <v>https://www.eletrotrafo.com.br/eletrocalha-galv-curva-vert--int--perf--90g-100x50-13370013/p?skuId=18461</v>
      </c>
    </row>
    <row r="1126" spans="1:9" x14ac:dyDescent="0.25">
      <c r="A1126" s="29" t="s">
        <v>12</v>
      </c>
      <c r="B1126" s="29" t="s">
        <v>115</v>
      </c>
      <c r="C1126" s="29" t="s">
        <v>34</v>
      </c>
      <c r="D1126" s="37" t="s">
        <v>1237</v>
      </c>
      <c r="E1126" s="29" t="s">
        <v>796</v>
      </c>
      <c r="F1126" s="29" t="s">
        <v>36</v>
      </c>
      <c r="G1126" s="29">
        <v>85.89</v>
      </c>
      <c r="H1126" s="71" t="s">
        <v>793</v>
      </c>
      <c r="I1126" s="37" t="str">
        <f>"https://www.eletrotrafo.com.br/eletrocalha-galv-curva-vert--int--perf--90g-100x50-13370013/p?skuId=18461; https://www.marmota.com.br/curva-vertical-interna-90-para-eletrocalha-300x100mm-perfilex-p52937?pp=/182.1443/"</f>
        <v>https://www.eletrotrafo.com.br/eletrocalha-galv-curva-vert--int--perf--90g-100x50-13370013/p?skuId=18461; https://www.marmota.com.br/curva-vertical-interna-90-para-eletrocalha-300x100mm-perfilex-p52937?pp=/182.1443/</v>
      </c>
    </row>
    <row r="1127" spans="1:9" x14ac:dyDescent="0.25">
      <c r="A1127" s="29" t="s">
        <v>12</v>
      </c>
      <c r="B1127" s="29" t="s">
        <v>115</v>
      </c>
      <c r="C1127" s="29" t="s">
        <v>34</v>
      </c>
      <c r="D1127" s="37" t="s">
        <v>1238</v>
      </c>
      <c r="E1127" s="29" t="s">
        <v>796</v>
      </c>
      <c r="F1127" s="29" t="s">
        <v>36</v>
      </c>
      <c r="G1127" s="29">
        <v>19.079999999999998</v>
      </c>
      <c r="H1127" s="71" t="s">
        <v>793</v>
      </c>
      <c r="I1127" s="37" t="str">
        <f>"https://www.eletrotrafo.com.br/eletrocalha-galv-curva-vert--int--perf--90g-100x50-13370013/p?skuId=18461; https://www.marmota.com.br/curva-vertical-interna-90-para-eletrocalha-50x50mm-perfilaco-p52339?pp=/182.1443/"</f>
        <v>https://www.eletrotrafo.com.br/eletrocalha-galv-curva-vert--int--perf--90g-100x50-13370013/p?skuId=18461; https://www.marmota.com.br/curva-vertical-interna-90-para-eletrocalha-50x50mm-perfilaco-p52339?pp=/182.1443/</v>
      </c>
    </row>
    <row r="1128" spans="1:9" x14ac:dyDescent="0.25">
      <c r="A1128" s="29" t="s">
        <v>12</v>
      </c>
      <c r="B1128" s="29" t="s">
        <v>115</v>
      </c>
      <c r="C1128" s="29" t="s">
        <v>34</v>
      </c>
      <c r="D1128" s="37" t="s">
        <v>2108</v>
      </c>
      <c r="E1128" s="29" t="s">
        <v>798</v>
      </c>
      <c r="F1128" s="29" t="s">
        <v>36</v>
      </c>
      <c r="G1128" s="29">
        <v>18</v>
      </c>
      <c r="H1128" s="71" t="s">
        <v>793</v>
      </c>
      <c r="I1128" s="37" t="str">
        <f t="shared" ref="I1128:I1171" si="10">"https://www.infraeletrocalhas.com.br/eletrocalhas.asp?produtos=Eletrocalha-Galvanizada"</f>
        <v>https://www.infraeletrocalhas.com.br/eletrocalhas.asp?produtos=Eletrocalha-Galvanizada</v>
      </c>
    </row>
    <row r="1129" spans="1:9" x14ac:dyDescent="0.25">
      <c r="A1129" s="29" t="s">
        <v>12</v>
      </c>
      <c r="B1129" s="29" t="s">
        <v>115</v>
      </c>
      <c r="C1129" s="29" t="s">
        <v>34</v>
      </c>
      <c r="D1129" s="37" t="s">
        <v>2109</v>
      </c>
      <c r="E1129" s="29" t="s">
        <v>798</v>
      </c>
      <c r="F1129" s="29" t="s">
        <v>36</v>
      </c>
      <c r="G1129" s="29">
        <v>12</v>
      </c>
      <c r="H1129" s="71" t="s">
        <v>793</v>
      </c>
      <c r="I1129" s="37" t="str">
        <f t="shared" si="10"/>
        <v>https://www.infraeletrocalhas.com.br/eletrocalhas.asp?produtos=Eletrocalha-Galvanizada</v>
      </c>
    </row>
    <row r="1130" spans="1:9" x14ac:dyDescent="0.25">
      <c r="A1130" s="29" t="s">
        <v>12</v>
      </c>
      <c r="B1130" s="29" t="s">
        <v>115</v>
      </c>
      <c r="C1130" s="29" t="s">
        <v>34</v>
      </c>
      <c r="D1130" s="37" t="s">
        <v>2110</v>
      </c>
      <c r="E1130" s="29" t="s">
        <v>798</v>
      </c>
      <c r="F1130" s="29" t="s">
        <v>36</v>
      </c>
      <c r="G1130" s="29">
        <v>22.5</v>
      </c>
      <c r="H1130" s="71" t="s">
        <v>793</v>
      </c>
      <c r="I1130" s="37" t="str">
        <f t="shared" si="10"/>
        <v>https://www.infraeletrocalhas.com.br/eletrocalhas.asp?produtos=Eletrocalha-Galvanizada</v>
      </c>
    </row>
    <row r="1131" spans="1:9" x14ac:dyDescent="0.25">
      <c r="A1131" s="29" t="s">
        <v>12</v>
      </c>
      <c r="B1131" s="29" t="s">
        <v>115</v>
      </c>
      <c r="C1131" s="29" t="s">
        <v>34</v>
      </c>
      <c r="D1131" s="37" t="s">
        <v>2111</v>
      </c>
      <c r="E1131" s="29" t="s">
        <v>798</v>
      </c>
      <c r="F1131" s="29" t="s">
        <v>36</v>
      </c>
      <c r="G1131" s="29">
        <v>18.5</v>
      </c>
      <c r="H1131" s="71" t="s">
        <v>793</v>
      </c>
      <c r="I1131" s="37" t="str">
        <f t="shared" si="10"/>
        <v>https://www.infraeletrocalhas.com.br/eletrocalhas.asp?produtos=Eletrocalha-Galvanizada</v>
      </c>
    </row>
    <row r="1132" spans="1:9" x14ac:dyDescent="0.25">
      <c r="A1132" s="29" t="s">
        <v>12</v>
      </c>
      <c r="B1132" s="29" t="s">
        <v>115</v>
      </c>
      <c r="C1132" s="29" t="s">
        <v>34</v>
      </c>
      <c r="D1132" s="37" t="s">
        <v>2112</v>
      </c>
      <c r="E1132" s="29" t="s">
        <v>798</v>
      </c>
      <c r="F1132" s="29" t="s">
        <v>36</v>
      </c>
      <c r="G1132" s="29">
        <v>27.5</v>
      </c>
      <c r="H1132" s="71" t="s">
        <v>793</v>
      </c>
      <c r="I1132" s="37" t="str">
        <f t="shared" si="10"/>
        <v>https://www.infraeletrocalhas.com.br/eletrocalhas.asp?produtos=Eletrocalha-Galvanizada</v>
      </c>
    </row>
    <row r="1133" spans="1:9" x14ac:dyDescent="0.25">
      <c r="A1133" s="29" t="s">
        <v>12</v>
      </c>
      <c r="B1133" s="29" t="s">
        <v>115</v>
      </c>
      <c r="C1133" s="29" t="s">
        <v>34</v>
      </c>
      <c r="D1133" s="37" t="s">
        <v>2113</v>
      </c>
      <c r="E1133" s="29" t="s">
        <v>798</v>
      </c>
      <c r="F1133" s="29" t="s">
        <v>36</v>
      </c>
      <c r="G1133" s="29">
        <v>21</v>
      </c>
      <c r="H1133" s="71" t="s">
        <v>793</v>
      </c>
      <c r="I1133" s="37" t="str">
        <f t="shared" si="10"/>
        <v>https://www.infraeletrocalhas.com.br/eletrocalhas.asp?produtos=Eletrocalha-Galvanizada</v>
      </c>
    </row>
    <row r="1134" spans="1:9" x14ac:dyDescent="0.25">
      <c r="A1134" s="29" t="s">
        <v>12</v>
      </c>
      <c r="B1134" s="29" t="s">
        <v>115</v>
      </c>
      <c r="C1134" s="29" t="s">
        <v>34</v>
      </c>
      <c r="D1134" s="37" t="s">
        <v>2114</v>
      </c>
      <c r="E1134" s="29" t="s">
        <v>798</v>
      </c>
      <c r="F1134" s="29" t="s">
        <v>36</v>
      </c>
      <c r="G1134" s="29">
        <v>35.5</v>
      </c>
      <c r="H1134" s="71" t="s">
        <v>793</v>
      </c>
      <c r="I1134" s="37" t="str">
        <f t="shared" si="10"/>
        <v>https://www.infraeletrocalhas.com.br/eletrocalhas.asp?produtos=Eletrocalha-Galvanizada</v>
      </c>
    </row>
    <row r="1135" spans="1:9" x14ac:dyDescent="0.25">
      <c r="A1135" s="29" t="s">
        <v>12</v>
      </c>
      <c r="B1135" s="29" t="s">
        <v>115</v>
      </c>
      <c r="C1135" s="29" t="s">
        <v>34</v>
      </c>
      <c r="D1135" s="37" t="s">
        <v>2115</v>
      </c>
      <c r="E1135" s="29" t="s">
        <v>798</v>
      </c>
      <c r="F1135" s="29" t="s">
        <v>36</v>
      </c>
      <c r="G1135" s="29">
        <v>27.5</v>
      </c>
      <c r="H1135" s="71" t="s">
        <v>793</v>
      </c>
      <c r="I1135" s="37" t="str">
        <f t="shared" si="10"/>
        <v>https://www.infraeletrocalhas.com.br/eletrocalhas.asp?produtos=Eletrocalha-Galvanizada</v>
      </c>
    </row>
    <row r="1136" spans="1:9" x14ac:dyDescent="0.25">
      <c r="A1136" s="29" t="s">
        <v>12</v>
      </c>
      <c r="B1136" s="29" t="s">
        <v>115</v>
      </c>
      <c r="C1136" s="29" t="s">
        <v>34</v>
      </c>
      <c r="D1136" s="37" t="s">
        <v>2116</v>
      </c>
      <c r="E1136" s="29" t="s">
        <v>798</v>
      </c>
      <c r="F1136" s="29" t="s">
        <v>36</v>
      </c>
      <c r="G1136" s="29">
        <v>39</v>
      </c>
      <c r="H1136" s="71" t="s">
        <v>793</v>
      </c>
      <c r="I1136" s="37" t="str">
        <f t="shared" si="10"/>
        <v>https://www.infraeletrocalhas.com.br/eletrocalhas.asp?produtos=Eletrocalha-Galvanizada</v>
      </c>
    </row>
    <row r="1137" spans="1:9" x14ac:dyDescent="0.25">
      <c r="A1137" s="29" t="s">
        <v>12</v>
      </c>
      <c r="B1137" s="29" t="s">
        <v>115</v>
      </c>
      <c r="C1137" s="29" t="s">
        <v>34</v>
      </c>
      <c r="D1137" s="37" t="s">
        <v>2117</v>
      </c>
      <c r="E1137" s="29" t="s">
        <v>798</v>
      </c>
      <c r="F1137" s="29" t="s">
        <v>36</v>
      </c>
      <c r="G1137" s="29">
        <v>35</v>
      </c>
      <c r="H1137" s="71" t="s">
        <v>793</v>
      </c>
      <c r="I1137" s="37" t="str">
        <f t="shared" si="10"/>
        <v>https://www.infraeletrocalhas.com.br/eletrocalhas.asp?produtos=Eletrocalha-Galvanizada</v>
      </c>
    </row>
    <row r="1138" spans="1:9" x14ac:dyDescent="0.25">
      <c r="A1138" s="29" t="s">
        <v>12</v>
      </c>
      <c r="B1138" s="29" t="s">
        <v>115</v>
      </c>
      <c r="C1138" s="29" t="s">
        <v>34</v>
      </c>
      <c r="D1138" s="37" t="s">
        <v>2118</v>
      </c>
      <c r="E1138" s="29" t="s">
        <v>798</v>
      </c>
      <c r="F1138" s="29" t="s">
        <v>36</v>
      </c>
      <c r="G1138" s="29">
        <v>10.95</v>
      </c>
      <c r="H1138" s="71" t="s">
        <v>793</v>
      </c>
      <c r="I1138" s="37" t="str">
        <f t="shared" si="10"/>
        <v>https://www.infraeletrocalhas.com.br/eletrocalhas.asp?produtos=Eletrocalha-Galvanizada</v>
      </c>
    </row>
    <row r="1139" spans="1:9" x14ac:dyDescent="0.25">
      <c r="A1139" s="29" t="s">
        <v>12</v>
      </c>
      <c r="B1139" s="29" t="s">
        <v>115</v>
      </c>
      <c r="C1139" s="29" t="s">
        <v>34</v>
      </c>
      <c r="D1139" s="37" t="s">
        <v>2119</v>
      </c>
      <c r="E1139" s="29" t="s">
        <v>798</v>
      </c>
      <c r="F1139" s="29" t="s">
        <v>36</v>
      </c>
      <c r="G1139" s="29">
        <v>35</v>
      </c>
      <c r="H1139" s="71" t="s">
        <v>793</v>
      </c>
      <c r="I1139" s="37" t="str">
        <f t="shared" si="10"/>
        <v>https://www.infraeletrocalhas.com.br/eletrocalhas.asp?produtos=Eletrocalha-Galvanizada</v>
      </c>
    </row>
    <row r="1140" spans="1:9" x14ac:dyDescent="0.25">
      <c r="A1140" s="29" t="s">
        <v>12</v>
      </c>
      <c r="B1140" s="29" t="s">
        <v>115</v>
      </c>
      <c r="C1140" s="29" t="s">
        <v>34</v>
      </c>
      <c r="D1140" s="37" t="s">
        <v>2120</v>
      </c>
      <c r="E1140" s="29" t="s">
        <v>798</v>
      </c>
      <c r="F1140" s="29" t="s">
        <v>36</v>
      </c>
      <c r="G1140" s="29">
        <v>19.95</v>
      </c>
      <c r="H1140" s="71" t="s">
        <v>793</v>
      </c>
      <c r="I1140" s="37" t="str">
        <f t="shared" si="10"/>
        <v>https://www.infraeletrocalhas.com.br/eletrocalhas.asp?produtos=Eletrocalha-Galvanizada</v>
      </c>
    </row>
    <row r="1141" spans="1:9" x14ac:dyDescent="0.25">
      <c r="A1141" s="29" t="s">
        <v>12</v>
      </c>
      <c r="B1141" s="29" t="s">
        <v>115</v>
      </c>
      <c r="C1141" s="29" t="s">
        <v>34</v>
      </c>
      <c r="D1141" s="37" t="s">
        <v>2121</v>
      </c>
      <c r="E1141" s="29" t="s">
        <v>798</v>
      </c>
      <c r="F1141" s="29" t="s">
        <v>36</v>
      </c>
      <c r="G1141" s="29">
        <v>37.9</v>
      </c>
      <c r="H1141" s="71" t="s">
        <v>793</v>
      </c>
      <c r="I1141" s="37" t="str">
        <f t="shared" si="10"/>
        <v>https://www.infraeletrocalhas.com.br/eletrocalhas.asp?produtos=Eletrocalha-Galvanizada</v>
      </c>
    </row>
    <row r="1142" spans="1:9" x14ac:dyDescent="0.25">
      <c r="A1142" s="29" t="s">
        <v>12</v>
      </c>
      <c r="B1142" s="29" t="s">
        <v>115</v>
      </c>
      <c r="C1142" s="29" t="s">
        <v>34</v>
      </c>
      <c r="D1142" s="37" t="s">
        <v>2122</v>
      </c>
      <c r="E1142" s="29" t="s">
        <v>798</v>
      </c>
      <c r="F1142" s="29" t="s">
        <v>36</v>
      </c>
      <c r="G1142" s="29">
        <v>30.7</v>
      </c>
      <c r="H1142" s="71" t="s">
        <v>793</v>
      </c>
      <c r="I1142" s="37" t="str">
        <f t="shared" si="10"/>
        <v>https://www.infraeletrocalhas.com.br/eletrocalhas.asp?produtos=Eletrocalha-Galvanizada</v>
      </c>
    </row>
    <row r="1143" spans="1:9" x14ac:dyDescent="0.25">
      <c r="A1143" s="29" t="s">
        <v>12</v>
      </c>
      <c r="B1143" s="29" t="s">
        <v>115</v>
      </c>
      <c r="C1143" s="29" t="s">
        <v>34</v>
      </c>
      <c r="D1143" s="37" t="s">
        <v>2123</v>
      </c>
      <c r="E1143" s="29" t="s">
        <v>798</v>
      </c>
      <c r="F1143" s="29" t="s">
        <v>36</v>
      </c>
      <c r="G1143" s="29">
        <v>59.95</v>
      </c>
      <c r="H1143" s="71" t="s">
        <v>793</v>
      </c>
      <c r="I1143" s="37" t="str">
        <f t="shared" si="10"/>
        <v>https://www.infraeletrocalhas.com.br/eletrocalhas.asp?produtos=Eletrocalha-Galvanizada</v>
      </c>
    </row>
    <row r="1144" spans="1:9" x14ac:dyDescent="0.25">
      <c r="A1144" s="29" t="s">
        <v>12</v>
      </c>
      <c r="B1144" s="29" t="s">
        <v>115</v>
      </c>
      <c r="C1144" s="29" t="s">
        <v>34</v>
      </c>
      <c r="D1144" s="37" t="s">
        <v>2124</v>
      </c>
      <c r="E1144" s="29" t="s">
        <v>798</v>
      </c>
      <c r="F1144" s="29" t="s">
        <v>36</v>
      </c>
      <c r="G1144" s="29">
        <v>37.9</v>
      </c>
      <c r="H1144" s="71" t="s">
        <v>793</v>
      </c>
      <c r="I1144" s="37" t="str">
        <f t="shared" si="10"/>
        <v>https://www.infraeletrocalhas.com.br/eletrocalhas.asp?produtos=Eletrocalha-Galvanizada</v>
      </c>
    </row>
    <row r="1145" spans="1:9" x14ac:dyDescent="0.25">
      <c r="A1145" s="29" t="s">
        <v>12</v>
      </c>
      <c r="B1145" s="29" t="s">
        <v>115</v>
      </c>
      <c r="C1145" s="29" t="s">
        <v>34</v>
      </c>
      <c r="D1145" s="37" t="s">
        <v>2125</v>
      </c>
      <c r="E1145" s="29" t="s">
        <v>798</v>
      </c>
      <c r="F1145" s="29" t="s">
        <v>36</v>
      </c>
      <c r="G1145" s="29">
        <v>64.5</v>
      </c>
      <c r="H1145" s="71" t="s">
        <v>793</v>
      </c>
      <c r="I1145" s="37" t="str">
        <f t="shared" si="10"/>
        <v>https://www.infraeletrocalhas.com.br/eletrocalhas.asp?produtos=Eletrocalha-Galvanizada</v>
      </c>
    </row>
    <row r="1146" spans="1:9" x14ac:dyDescent="0.25">
      <c r="A1146" s="29" t="s">
        <v>12</v>
      </c>
      <c r="B1146" s="29" t="s">
        <v>115</v>
      </c>
      <c r="C1146" s="29" t="s">
        <v>34</v>
      </c>
      <c r="D1146" s="37" t="s">
        <v>2126</v>
      </c>
      <c r="E1146" s="29" t="s">
        <v>798</v>
      </c>
      <c r="F1146" s="29" t="s">
        <v>36</v>
      </c>
      <c r="G1146" s="29">
        <v>54.5</v>
      </c>
      <c r="H1146" s="71" t="s">
        <v>793</v>
      </c>
      <c r="I1146" s="37" t="str">
        <f t="shared" si="10"/>
        <v>https://www.infraeletrocalhas.com.br/eletrocalhas.asp?produtos=Eletrocalha-Galvanizada</v>
      </c>
    </row>
    <row r="1147" spans="1:9" x14ac:dyDescent="0.25">
      <c r="A1147" s="29" t="s">
        <v>12</v>
      </c>
      <c r="B1147" s="29" t="s">
        <v>115</v>
      </c>
      <c r="C1147" s="29" t="s">
        <v>34</v>
      </c>
      <c r="D1147" s="37" t="s">
        <v>2127</v>
      </c>
      <c r="E1147" s="29" t="s">
        <v>798</v>
      </c>
      <c r="F1147" s="29" t="s">
        <v>36</v>
      </c>
      <c r="G1147" s="29">
        <v>73.5</v>
      </c>
      <c r="H1147" s="71" t="s">
        <v>793</v>
      </c>
      <c r="I1147" s="37" t="str">
        <f t="shared" si="10"/>
        <v>https://www.infraeletrocalhas.com.br/eletrocalhas.asp?produtos=Eletrocalha-Galvanizada</v>
      </c>
    </row>
    <row r="1148" spans="1:9" x14ac:dyDescent="0.25">
      <c r="A1148" s="29" t="s">
        <v>12</v>
      </c>
      <c r="B1148" s="29" t="s">
        <v>115</v>
      </c>
      <c r="C1148" s="29" t="s">
        <v>34</v>
      </c>
      <c r="D1148" s="37" t="s">
        <v>2128</v>
      </c>
      <c r="E1148" s="29" t="s">
        <v>798</v>
      </c>
      <c r="F1148" s="29" t="s">
        <v>36</v>
      </c>
      <c r="G1148" s="29">
        <v>66.5</v>
      </c>
      <c r="H1148" s="71" t="s">
        <v>793</v>
      </c>
      <c r="I1148" s="37" t="str">
        <f t="shared" si="10"/>
        <v>https://www.infraeletrocalhas.com.br/eletrocalhas.asp?produtos=Eletrocalha-Galvanizada</v>
      </c>
    </row>
    <row r="1149" spans="1:9" x14ac:dyDescent="0.25">
      <c r="A1149" s="29" t="s">
        <v>12</v>
      </c>
      <c r="B1149" s="29" t="s">
        <v>115</v>
      </c>
      <c r="C1149" s="29" t="s">
        <v>34</v>
      </c>
      <c r="D1149" s="37" t="s">
        <v>2129</v>
      </c>
      <c r="E1149" s="29" t="s">
        <v>798</v>
      </c>
      <c r="F1149" s="29" t="s">
        <v>36</v>
      </c>
      <c r="G1149" s="29">
        <v>17.95</v>
      </c>
      <c r="H1149" s="71" t="s">
        <v>793</v>
      </c>
      <c r="I1149" s="37" t="str">
        <f t="shared" si="10"/>
        <v>https://www.infraeletrocalhas.com.br/eletrocalhas.asp?produtos=Eletrocalha-Galvanizada</v>
      </c>
    </row>
    <row r="1150" spans="1:9" x14ac:dyDescent="0.25">
      <c r="A1150" s="29" t="s">
        <v>12</v>
      </c>
      <c r="B1150" s="29" t="s">
        <v>115</v>
      </c>
      <c r="C1150" s="29" t="s">
        <v>34</v>
      </c>
      <c r="D1150" s="37" t="s">
        <v>2272</v>
      </c>
      <c r="E1150" s="29" t="s">
        <v>798</v>
      </c>
      <c r="F1150" s="29" t="s">
        <v>36</v>
      </c>
      <c r="G1150" s="29">
        <v>36.9</v>
      </c>
      <c r="H1150" s="71" t="s">
        <v>793</v>
      </c>
      <c r="I1150" s="37" t="str">
        <f t="shared" si="10"/>
        <v>https://www.infraeletrocalhas.com.br/eletrocalhas.asp?produtos=Eletrocalha-Galvanizada</v>
      </c>
    </row>
    <row r="1151" spans="1:9" x14ac:dyDescent="0.25">
      <c r="A1151" s="29" t="s">
        <v>12</v>
      </c>
      <c r="B1151" s="29" t="s">
        <v>115</v>
      </c>
      <c r="C1151" s="29" t="s">
        <v>34</v>
      </c>
      <c r="D1151" s="37" t="s">
        <v>2273</v>
      </c>
      <c r="E1151" s="29" t="s">
        <v>798</v>
      </c>
      <c r="F1151" s="29" t="s">
        <v>36</v>
      </c>
      <c r="G1151" s="29">
        <v>29.95</v>
      </c>
      <c r="H1151" s="71" t="s">
        <v>793</v>
      </c>
      <c r="I1151" s="37" t="str">
        <f t="shared" si="10"/>
        <v>https://www.infraeletrocalhas.com.br/eletrocalhas.asp?produtos=Eletrocalha-Galvanizada</v>
      </c>
    </row>
    <row r="1152" spans="1:9" x14ac:dyDescent="0.25">
      <c r="A1152" s="29" t="s">
        <v>12</v>
      </c>
      <c r="B1152" s="29" t="s">
        <v>115</v>
      </c>
      <c r="C1152" s="29" t="s">
        <v>34</v>
      </c>
      <c r="D1152" s="37" t="s">
        <v>2274</v>
      </c>
      <c r="E1152" s="29" t="s">
        <v>798</v>
      </c>
      <c r="F1152" s="29" t="s">
        <v>36</v>
      </c>
      <c r="G1152" s="29">
        <v>44</v>
      </c>
      <c r="H1152" s="71" t="s">
        <v>793</v>
      </c>
      <c r="I1152" s="37" t="str">
        <f t="shared" si="10"/>
        <v>https://www.infraeletrocalhas.com.br/eletrocalhas.asp?produtos=Eletrocalha-Galvanizada</v>
      </c>
    </row>
    <row r="1153" spans="1:9" x14ac:dyDescent="0.25">
      <c r="A1153" s="29" t="s">
        <v>12</v>
      </c>
      <c r="B1153" s="29" t="s">
        <v>115</v>
      </c>
      <c r="C1153" s="29" t="s">
        <v>34</v>
      </c>
      <c r="D1153" s="37" t="s">
        <v>2275</v>
      </c>
      <c r="E1153" s="29" t="s">
        <v>798</v>
      </c>
      <c r="F1153" s="29" t="s">
        <v>36</v>
      </c>
      <c r="G1153" s="29">
        <v>35.5</v>
      </c>
      <c r="H1153" s="71" t="s">
        <v>793</v>
      </c>
      <c r="I1153" s="37" t="str">
        <f t="shared" si="10"/>
        <v>https://www.infraeletrocalhas.com.br/eletrocalhas.asp?produtos=Eletrocalha-Galvanizada</v>
      </c>
    </row>
    <row r="1154" spans="1:9" x14ac:dyDescent="0.25">
      <c r="A1154" s="29" t="s">
        <v>12</v>
      </c>
      <c r="B1154" s="29" t="s">
        <v>115</v>
      </c>
      <c r="C1154" s="29" t="s">
        <v>34</v>
      </c>
      <c r="D1154" s="37" t="s">
        <v>2276</v>
      </c>
      <c r="E1154" s="29" t="s">
        <v>798</v>
      </c>
      <c r="F1154" s="29" t="s">
        <v>36</v>
      </c>
      <c r="G1154" s="29">
        <v>49.9</v>
      </c>
      <c r="H1154" s="71" t="s">
        <v>793</v>
      </c>
      <c r="I1154" s="37" t="str">
        <f t="shared" si="10"/>
        <v>https://www.infraeletrocalhas.com.br/eletrocalhas.asp?produtos=Eletrocalha-Galvanizada</v>
      </c>
    </row>
    <row r="1155" spans="1:9" x14ac:dyDescent="0.25">
      <c r="A1155" s="29" t="s">
        <v>12</v>
      </c>
      <c r="B1155" s="29" t="s">
        <v>115</v>
      </c>
      <c r="C1155" s="29" t="s">
        <v>34</v>
      </c>
      <c r="D1155" s="37" t="s">
        <v>2277</v>
      </c>
      <c r="E1155" s="29" t="s">
        <v>798</v>
      </c>
      <c r="F1155" s="29" t="s">
        <v>36</v>
      </c>
      <c r="G1155" s="29">
        <v>44</v>
      </c>
      <c r="H1155" s="71" t="s">
        <v>793</v>
      </c>
      <c r="I1155" s="37" t="str">
        <f t="shared" si="10"/>
        <v>https://www.infraeletrocalhas.com.br/eletrocalhas.asp?produtos=Eletrocalha-Galvanizada</v>
      </c>
    </row>
    <row r="1156" spans="1:9" x14ac:dyDescent="0.25">
      <c r="A1156" s="29" t="s">
        <v>12</v>
      </c>
      <c r="B1156" s="29" t="s">
        <v>115</v>
      </c>
      <c r="C1156" s="29" t="s">
        <v>34</v>
      </c>
      <c r="D1156" s="37" t="s">
        <v>2278</v>
      </c>
      <c r="E1156" s="29" t="s">
        <v>798</v>
      </c>
      <c r="F1156" s="29" t="s">
        <v>36</v>
      </c>
      <c r="G1156" s="29">
        <v>79.95</v>
      </c>
      <c r="H1156" s="71" t="s">
        <v>793</v>
      </c>
      <c r="I1156" s="37" t="str">
        <f t="shared" si="10"/>
        <v>https://www.infraeletrocalhas.com.br/eletrocalhas.asp?produtos=Eletrocalha-Galvanizada</v>
      </c>
    </row>
    <row r="1157" spans="1:9" x14ac:dyDescent="0.25">
      <c r="A1157" s="29" t="s">
        <v>12</v>
      </c>
      <c r="B1157" s="29" t="s">
        <v>115</v>
      </c>
      <c r="C1157" s="29" t="s">
        <v>34</v>
      </c>
      <c r="D1157" s="37" t="s">
        <v>2279</v>
      </c>
      <c r="E1157" s="29" t="s">
        <v>798</v>
      </c>
      <c r="F1157" s="29" t="s">
        <v>36</v>
      </c>
      <c r="G1157" s="29">
        <v>55.95</v>
      </c>
      <c r="H1157" s="71" t="s">
        <v>793</v>
      </c>
      <c r="I1157" s="37" t="str">
        <f t="shared" si="10"/>
        <v>https://www.infraeletrocalhas.com.br/eletrocalhas.asp?produtos=Eletrocalha-Galvanizada</v>
      </c>
    </row>
    <row r="1158" spans="1:9" x14ac:dyDescent="0.25">
      <c r="A1158" s="29" t="s">
        <v>12</v>
      </c>
      <c r="B1158" s="29" t="s">
        <v>115</v>
      </c>
      <c r="C1158" s="29" t="s">
        <v>34</v>
      </c>
      <c r="D1158" s="37" t="s">
        <v>2280</v>
      </c>
      <c r="E1158" s="29" t="s">
        <v>798</v>
      </c>
      <c r="F1158" s="29" t="s">
        <v>36</v>
      </c>
      <c r="G1158" s="29">
        <v>99</v>
      </c>
      <c r="H1158" s="71" t="s">
        <v>793</v>
      </c>
      <c r="I1158" s="37" t="str">
        <f t="shared" si="10"/>
        <v>https://www.infraeletrocalhas.com.br/eletrocalhas.asp?produtos=Eletrocalha-Galvanizada</v>
      </c>
    </row>
    <row r="1159" spans="1:9" x14ac:dyDescent="0.25">
      <c r="A1159" s="29" t="s">
        <v>12</v>
      </c>
      <c r="B1159" s="29" t="s">
        <v>115</v>
      </c>
      <c r="C1159" s="29" t="s">
        <v>34</v>
      </c>
      <c r="D1159" s="37" t="s">
        <v>2281</v>
      </c>
      <c r="E1159" s="29" t="s">
        <v>798</v>
      </c>
      <c r="F1159" s="29" t="s">
        <v>36</v>
      </c>
      <c r="G1159" s="29">
        <v>79.95</v>
      </c>
      <c r="H1159" s="71" t="s">
        <v>793</v>
      </c>
      <c r="I1159" s="37" t="str">
        <f t="shared" si="10"/>
        <v>https://www.infraeletrocalhas.com.br/eletrocalhas.asp?produtos=Eletrocalha-Galvanizada</v>
      </c>
    </row>
    <row r="1160" spans="1:9" x14ac:dyDescent="0.25">
      <c r="A1160" s="29" t="s">
        <v>12</v>
      </c>
      <c r="B1160" s="29" t="s">
        <v>115</v>
      </c>
      <c r="C1160" s="29" t="s">
        <v>34</v>
      </c>
      <c r="D1160" s="37" t="s">
        <v>2282</v>
      </c>
      <c r="E1160" s="29" t="s">
        <v>798</v>
      </c>
      <c r="F1160" s="29" t="s">
        <v>36</v>
      </c>
      <c r="G1160" s="29">
        <v>21.5</v>
      </c>
      <c r="H1160" s="71" t="s">
        <v>793</v>
      </c>
      <c r="I1160" s="37" t="str">
        <f t="shared" si="10"/>
        <v>https://www.infraeletrocalhas.com.br/eletrocalhas.asp?produtos=Eletrocalha-Galvanizada</v>
      </c>
    </row>
    <row r="1161" spans="1:9" x14ac:dyDescent="0.25">
      <c r="A1161" s="29" t="s">
        <v>12</v>
      </c>
      <c r="B1161" s="29" t="s">
        <v>115</v>
      </c>
      <c r="C1161" s="29" t="s">
        <v>34</v>
      </c>
      <c r="D1161" s="37" t="s">
        <v>1801</v>
      </c>
      <c r="E1161" s="29" t="s">
        <v>798</v>
      </c>
      <c r="F1161" s="29" t="s">
        <v>36</v>
      </c>
      <c r="G1161" s="29">
        <v>72</v>
      </c>
      <c r="H1161" s="71" t="s">
        <v>793</v>
      </c>
      <c r="I1161" s="37" t="str">
        <f t="shared" si="10"/>
        <v>https://www.infraeletrocalhas.com.br/eletrocalhas.asp?produtos=Eletrocalha-Galvanizada</v>
      </c>
    </row>
    <row r="1162" spans="1:9" x14ac:dyDescent="0.25">
      <c r="A1162" s="29" t="s">
        <v>12</v>
      </c>
      <c r="B1162" s="29" t="s">
        <v>115</v>
      </c>
      <c r="C1162" s="29" t="s">
        <v>34</v>
      </c>
      <c r="D1162" s="37" t="s">
        <v>1802</v>
      </c>
      <c r="E1162" s="29" t="s">
        <v>798</v>
      </c>
      <c r="F1162" s="29" t="s">
        <v>36</v>
      </c>
      <c r="G1162" s="29">
        <v>43.95</v>
      </c>
      <c r="H1162" s="71" t="s">
        <v>793</v>
      </c>
      <c r="I1162" s="37" t="str">
        <f t="shared" si="10"/>
        <v>https://www.infraeletrocalhas.com.br/eletrocalhas.asp?produtos=Eletrocalha-Galvanizada</v>
      </c>
    </row>
    <row r="1163" spans="1:9" x14ac:dyDescent="0.25">
      <c r="A1163" s="29" t="s">
        <v>12</v>
      </c>
      <c r="B1163" s="29" t="s">
        <v>115</v>
      </c>
      <c r="C1163" s="29" t="s">
        <v>34</v>
      </c>
      <c r="D1163" s="37" t="s">
        <v>1803</v>
      </c>
      <c r="E1163" s="29" t="s">
        <v>798</v>
      </c>
      <c r="F1163" s="29" t="s">
        <v>36</v>
      </c>
      <c r="G1163" s="29">
        <v>81.95</v>
      </c>
      <c r="H1163" s="71" t="s">
        <v>793</v>
      </c>
      <c r="I1163" s="37" t="str">
        <f t="shared" si="10"/>
        <v>https://www.infraeletrocalhas.com.br/eletrocalhas.asp?produtos=Eletrocalha-Galvanizada</v>
      </c>
    </row>
    <row r="1164" spans="1:9" x14ac:dyDescent="0.25">
      <c r="A1164" s="29" t="s">
        <v>12</v>
      </c>
      <c r="B1164" s="29" t="s">
        <v>115</v>
      </c>
      <c r="C1164" s="29" t="s">
        <v>34</v>
      </c>
      <c r="D1164" s="37" t="s">
        <v>1804</v>
      </c>
      <c r="E1164" s="29" t="s">
        <v>798</v>
      </c>
      <c r="F1164" s="29" t="s">
        <v>36</v>
      </c>
      <c r="G1164" s="29">
        <v>59.95</v>
      </c>
      <c r="H1164" s="71" t="s">
        <v>793</v>
      </c>
      <c r="I1164" s="37" t="str">
        <f t="shared" si="10"/>
        <v>https://www.infraeletrocalhas.com.br/eletrocalhas.asp?produtos=Eletrocalha-Galvanizada</v>
      </c>
    </row>
    <row r="1165" spans="1:9" x14ac:dyDescent="0.25">
      <c r="A1165" s="29" t="s">
        <v>12</v>
      </c>
      <c r="B1165" s="29" t="s">
        <v>115</v>
      </c>
      <c r="C1165" s="29" t="s">
        <v>34</v>
      </c>
      <c r="D1165" s="37" t="s">
        <v>1805</v>
      </c>
      <c r="E1165" s="29" t="s">
        <v>798</v>
      </c>
      <c r="F1165" s="29" t="s">
        <v>36</v>
      </c>
      <c r="G1165" s="29">
        <v>94.95</v>
      </c>
      <c r="H1165" s="71" t="s">
        <v>793</v>
      </c>
      <c r="I1165" s="37" t="str">
        <f t="shared" si="10"/>
        <v>https://www.infraeletrocalhas.com.br/eletrocalhas.asp?produtos=Eletrocalha-Galvanizada</v>
      </c>
    </row>
    <row r="1166" spans="1:9" x14ac:dyDescent="0.25">
      <c r="A1166" s="29" t="s">
        <v>12</v>
      </c>
      <c r="B1166" s="29" t="s">
        <v>115</v>
      </c>
      <c r="C1166" s="29" t="s">
        <v>34</v>
      </c>
      <c r="D1166" s="37" t="s">
        <v>1806</v>
      </c>
      <c r="E1166" s="29" t="s">
        <v>798</v>
      </c>
      <c r="F1166" s="29" t="s">
        <v>36</v>
      </c>
      <c r="G1166" s="29">
        <v>71.900000000000006</v>
      </c>
      <c r="H1166" s="71" t="s">
        <v>793</v>
      </c>
      <c r="I1166" s="37" t="str">
        <f t="shared" si="10"/>
        <v>https://www.infraeletrocalhas.com.br/eletrocalhas.asp?produtos=Eletrocalha-Galvanizada</v>
      </c>
    </row>
    <row r="1167" spans="1:9" x14ac:dyDescent="0.25">
      <c r="A1167" s="29" t="s">
        <v>12</v>
      </c>
      <c r="B1167" s="29" t="s">
        <v>115</v>
      </c>
      <c r="C1167" s="29" t="s">
        <v>34</v>
      </c>
      <c r="D1167" s="37" t="s">
        <v>1807</v>
      </c>
      <c r="E1167" s="29" t="s">
        <v>798</v>
      </c>
      <c r="F1167" s="29" t="s">
        <v>36</v>
      </c>
      <c r="G1167" s="29">
        <v>129.94999999999999</v>
      </c>
      <c r="H1167" s="71" t="s">
        <v>793</v>
      </c>
      <c r="I1167" s="37" t="str">
        <f t="shared" si="10"/>
        <v>https://www.infraeletrocalhas.com.br/eletrocalhas.asp?produtos=Eletrocalha-Galvanizada</v>
      </c>
    </row>
    <row r="1168" spans="1:9" x14ac:dyDescent="0.25">
      <c r="A1168" s="29" t="s">
        <v>12</v>
      </c>
      <c r="B1168" s="29" t="s">
        <v>115</v>
      </c>
      <c r="C1168" s="29" t="s">
        <v>34</v>
      </c>
      <c r="D1168" s="37" t="s">
        <v>1808</v>
      </c>
      <c r="E1168" s="29" t="s">
        <v>798</v>
      </c>
      <c r="F1168" s="29" t="s">
        <v>36</v>
      </c>
      <c r="G1168" s="29">
        <v>99.95</v>
      </c>
      <c r="H1168" s="71" t="s">
        <v>793</v>
      </c>
      <c r="I1168" s="37" t="str">
        <f t="shared" si="10"/>
        <v>https://www.infraeletrocalhas.com.br/eletrocalhas.asp?produtos=Eletrocalha-Galvanizada</v>
      </c>
    </row>
    <row r="1169" spans="1:9" x14ac:dyDescent="0.25">
      <c r="A1169" s="29" t="s">
        <v>12</v>
      </c>
      <c r="B1169" s="29" t="s">
        <v>115</v>
      </c>
      <c r="C1169" s="29" t="s">
        <v>34</v>
      </c>
      <c r="D1169" s="37" t="s">
        <v>1809</v>
      </c>
      <c r="E1169" s="29" t="s">
        <v>798</v>
      </c>
      <c r="F1169" s="29" t="s">
        <v>36</v>
      </c>
      <c r="G1169" s="29">
        <v>249</v>
      </c>
      <c r="H1169" s="71" t="s">
        <v>793</v>
      </c>
      <c r="I1169" s="37" t="str">
        <f t="shared" si="10"/>
        <v>https://www.infraeletrocalhas.com.br/eletrocalhas.asp?produtos=Eletrocalha-Galvanizada</v>
      </c>
    </row>
    <row r="1170" spans="1:9" x14ac:dyDescent="0.25">
      <c r="A1170" s="29" t="s">
        <v>12</v>
      </c>
      <c r="B1170" s="29" t="s">
        <v>115</v>
      </c>
      <c r="C1170" s="29" t="s">
        <v>34</v>
      </c>
      <c r="D1170" s="37" t="s">
        <v>1810</v>
      </c>
      <c r="E1170" s="29" t="s">
        <v>798</v>
      </c>
      <c r="F1170" s="29" t="s">
        <v>36</v>
      </c>
      <c r="G1170" s="29">
        <v>238.95</v>
      </c>
      <c r="H1170" s="71" t="s">
        <v>793</v>
      </c>
      <c r="I1170" s="37" t="str">
        <f t="shared" si="10"/>
        <v>https://www.infraeletrocalhas.com.br/eletrocalhas.asp?produtos=Eletrocalha-Galvanizada</v>
      </c>
    </row>
    <row r="1171" spans="1:9" x14ac:dyDescent="0.25">
      <c r="A1171" s="29" t="s">
        <v>12</v>
      </c>
      <c r="B1171" s="29" t="s">
        <v>115</v>
      </c>
      <c r="C1171" s="29" t="s">
        <v>34</v>
      </c>
      <c r="D1171" s="37" t="s">
        <v>1811</v>
      </c>
      <c r="E1171" s="29" t="s">
        <v>798</v>
      </c>
      <c r="F1171" s="29" t="s">
        <v>36</v>
      </c>
      <c r="G1171" s="29">
        <v>33.950000000000003</v>
      </c>
      <c r="H1171" s="71" t="s">
        <v>793</v>
      </c>
      <c r="I1171" s="37" t="str">
        <f t="shared" si="10"/>
        <v>https://www.infraeletrocalhas.com.br/eletrocalhas.asp?produtos=Eletrocalha-Galvanizada</v>
      </c>
    </row>
    <row r="1172" spans="1:9" x14ac:dyDescent="0.25">
      <c r="A1172" s="29" t="s">
        <v>12</v>
      </c>
      <c r="B1172" s="29" t="s">
        <v>115</v>
      </c>
      <c r="C1172" s="29" t="s">
        <v>34</v>
      </c>
      <c r="D1172" s="37" t="s">
        <v>1239</v>
      </c>
      <c r="E1172" s="29" t="s">
        <v>792</v>
      </c>
      <c r="F1172" s="29" t="s">
        <v>36</v>
      </c>
      <c r="G1172" s="29">
        <v>75.510000000000005</v>
      </c>
      <c r="H1172" s="71" t="s">
        <v>793</v>
      </c>
      <c r="I1172" s="37" t="str">
        <f>"https://www.marmota.com.br/eletrocalha-perfurada-100x100mm-chapa-22-com-3-metros-perfilex-p51217?pp=/182.1443/"</f>
        <v>https://www.marmota.com.br/eletrocalha-perfurada-100x100mm-chapa-22-com-3-metros-perfilex-p51217?pp=/182.1443/</v>
      </c>
    </row>
    <row r="1173" spans="1:9" x14ac:dyDescent="0.25">
      <c r="A1173" s="29" t="s">
        <v>12</v>
      </c>
      <c r="B1173" s="29" t="s">
        <v>115</v>
      </c>
      <c r="C1173" s="29" t="s">
        <v>34</v>
      </c>
      <c r="D1173" s="37" t="s">
        <v>1240</v>
      </c>
      <c r="E1173" s="29" t="s">
        <v>792</v>
      </c>
      <c r="F1173" s="29" t="s">
        <v>36</v>
      </c>
      <c r="G1173" s="29">
        <v>51.41</v>
      </c>
      <c r="H1173" s="71" t="s">
        <v>793</v>
      </c>
      <c r="I1173" s="37" t="str">
        <f>"https://www.marmota.com.br/eletrocalha-perfurada-100x50mm-chapa-22-com-3-metros-perfilex-p49649?pp=/182.1443/"</f>
        <v>https://www.marmota.com.br/eletrocalha-perfurada-100x50mm-chapa-22-com-3-metros-perfilex-p49649?pp=/182.1443/</v>
      </c>
    </row>
    <row r="1174" spans="1:9" x14ac:dyDescent="0.25">
      <c r="A1174" s="29" t="s">
        <v>12</v>
      </c>
      <c r="B1174" s="29" t="s">
        <v>115</v>
      </c>
      <c r="C1174" s="29" t="s">
        <v>34</v>
      </c>
      <c r="D1174" s="37" t="s">
        <v>1241</v>
      </c>
      <c r="E1174" s="29" t="s">
        <v>792</v>
      </c>
      <c r="F1174" s="29" t="s">
        <v>36</v>
      </c>
      <c r="G1174" s="29">
        <v>102.92</v>
      </c>
      <c r="H1174" s="71" t="s">
        <v>793</v>
      </c>
      <c r="I1174" s="37" t="str">
        <f>"https://www.marmota.com.br/eletrocalha-perfurada-150x100mm-chapa-22-com-3-metros-perfilex-p49495?pp=/182.1443/"</f>
        <v>https://www.marmota.com.br/eletrocalha-perfurada-150x100mm-chapa-22-com-3-metros-perfilex-p49495?pp=/182.1443/</v>
      </c>
    </row>
    <row r="1175" spans="1:9" x14ac:dyDescent="0.25">
      <c r="A1175" s="29" t="s">
        <v>12</v>
      </c>
      <c r="B1175" s="29" t="s">
        <v>115</v>
      </c>
      <c r="C1175" s="29" t="s">
        <v>34</v>
      </c>
      <c r="D1175" s="37" t="s">
        <v>1242</v>
      </c>
      <c r="E1175" s="29" t="s">
        <v>792</v>
      </c>
      <c r="F1175" s="29" t="s">
        <v>36</v>
      </c>
      <c r="G1175" s="29">
        <v>73.48</v>
      </c>
      <c r="H1175" s="71" t="s">
        <v>793</v>
      </c>
      <c r="I1175" s="37" t="str">
        <f>"https://www.marmota.com.br/eletrocalha-perfurada-150x50mm-chapa-22-com-3-metros-perfilex-p49197?pp=/182.1443/"</f>
        <v>https://www.marmota.com.br/eletrocalha-perfurada-150x50mm-chapa-22-com-3-metros-perfilex-p49197?pp=/182.1443/</v>
      </c>
    </row>
    <row r="1176" spans="1:9" x14ac:dyDescent="0.25">
      <c r="A1176" s="29" t="s">
        <v>12</v>
      </c>
      <c r="B1176" s="29" t="s">
        <v>115</v>
      </c>
      <c r="C1176" s="29" t="s">
        <v>34</v>
      </c>
      <c r="D1176" s="37" t="s">
        <v>1243</v>
      </c>
      <c r="E1176" s="29" t="s">
        <v>792</v>
      </c>
      <c r="F1176" s="29" t="s">
        <v>36</v>
      </c>
      <c r="G1176" s="29">
        <v>117.53</v>
      </c>
      <c r="H1176" s="71" t="s">
        <v>740</v>
      </c>
      <c r="I1176" s="37" t="str">
        <f>"https://www.marmota.com.br/eletrocalha-perfurada-200x100mm-chapa-22-com-3-metros-perfilex-p49688"</f>
        <v>https://www.marmota.com.br/eletrocalha-perfurada-200x100mm-chapa-22-com-3-metros-perfilex-p49688</v>
      </c>
    </row>
    <row r="1177" spans="1:9" x14ac:dyDescent="0.25">
      <c r="A1177" s="29" t="s">
        <v>12</v>
      </c>
      <c r="B1177" s="29" t="s">
        <v>115</v>
      </c>
      <c r="C1177" s="29" t="s">
        <v>34</v>
      </c>
      <c r="D1177" s="37" t="s">
        <v>1244</v>
      </c>
      <c r="E1177" s="29" t="s">
        <v>792</v>
      </c>
      <c r="F1177" s="29" t="s">
        <v>36</v>
      </c>
      <c r="G1177" s="29">
        <v>85.04</v>
      </c>
      <c r="H1177" s="71" t="s">
        <v>793</v>
      </c>
      <c r="I1177" s="37" t="str">
        <f>"https://www.marmota.com.br/eletrocalha-perfurada-200x50mm-chapa-22-com-3-metros-perfilex-p50850?pp=/182.1443/"</f>
        <v>https://www.marmota.com.br/eletrocalha-perfurada-200x50mm-chapa-22-com-3-metros-perfilex-p50850?pp=/182.1443/</v>
      </c>
    </row>
    <row r="1178" spans="1:9" x14ac:dyDescent="0.25">
      <c r="A1178" s="29" t="s">
        <v>12</v>
      </c>
      <c r="B1178" s="29" t="s">
        <v>115</v>
      </c>
      <c r="C1178" s="29" t="s">
        <v>34</v>
      </c>
      <c r="D1178" s="37" t="s">
        <v>1245</v>
      </c>
      <c r="E1178" s="29" t="s">
        <v>792</v>
      </c>
      <c r="F1178" s="29" t="s">
        <v>36</v>
      </c>
      <c r="G1178" s="29">
        <v>110.86</v>
      </c>
      <c r="H1178" s="71" t="s">
        <v>793</v>
      </c>
      <c r="I1178" s="37" t="str">
        <f>"https://www.marmota.com.br/eletrocalha-perfurada-250x50mm-chapa-22-com-3-metros-perfilex-p52417?pp=/182.1443/"</f>
        <v>https://www.marmota.com.br/eletrocalha-perfurada-250x50mm-chapa-22-com-3-metros-perfilex-p52417?pp=/182.1443/</v>
      </c>
    </row>
    <row r="1179" spans="1:9" x14ac:dyDescent="0.25">
      <c r="A1179" s="29" t="s">
        <v>12</v>
      </c>
      <c r="B1179" s="29" t="s">
        <v>115</v>
      </c>
      <c r="C1179" s="29" t="s">
        <v>34</v>
      </c>
      <c r="D1179" s="37" t="s">
        <v>1246</v>
      </c>
      <c r="E1179" s="29" t="s">
        <v>792</v>
      </c>
      <c r="F1179" s="29" t="s">
        <v>36</v>
      </c>
      <c r="G1179" s="29">
        <v>180.32</v>
      </c>
      <c r="H1179" s="71" t="s">
        <v>740</v>
      </c>
      <c r="I1179" s="37" t="str">
        <f>"https://www.marmota.com.br/eletrocalha-perfurada-300x100mm-chapa-22-com-3-metros-perfilex-p52001?pp=/182.1443/"</f>
        <v>https://www.marmota.com.br/eletrocalha-perfurada-300x100mm-chapa-22-com-3-metros-perfilex-p52001?pp=/182.1443/</v>
      </c>
    </row>
    <row r="1180" spans="1:9" x14ac:dyDescent="0.25">
      <c r="A1180" s="29" t="s">
        <v>12</v>
      </c>
      <c r="B1180" s="29" t="s">
        <v>115</v>
      </c>
      <c r="C1180" s="29" t="s">
        <v>34</v>
      </c>
      <c r="D1180" s="37" t="s">
        <v>1247</v>
      </c>
      <c r="E1180" s="29" t="s">
        <v>792</v>
      </c>
      <c r="F1180" s="29" t="s">
        <v>36</v>
      </c>
      <c r="G1180" s="29">
        <v>37.840000000000003</v>
      </c>
      <c r="H1180" s="71" t="s">
        <v>793</v>
      </c>
      <c r="I1180" s="37" t="str">
        <f>"https://www.marmota.com.br/eletrocalha-perfurada-50x50mm-chapa-22-com-3-metros-perfilex-p49999?pp=/182.1443/"</f>
        <v>https://www.marmota.com.br/eletrocalha-perfurada-50x50mm-chapa-22-com-3-metros-perfilex-p49999?pp=/182.1443/</v>
      </c>
    </row>
    <row r="1181" spans="1:9" x14ac:dyDescent="0.25">
      <c r="A1181" s="29" t="s">
        <v>12</v>
      </c>
      <c r="B1181" s="29" t="s">
        <v>115</v>
      </c>
      <c r="C1181" s="29" t="s">
        <v>34</v>
      </c>
      <c r="D1181" s="37" t="s">
        <v>1248</v>
      </c>
      <c r="E1181" s="29" t="s">
        <v>789</v>
      </c>
      <c r="F1181" s="29" t="s">
        <v>36</v>
      </c>
      <c r="G1181" s="29">
        <v>33.1</v>
      </c>
      <c r="H1181" s="71" t="s">
        <v>740</v>
      </c>
      <c r="I1181" s="37" t="str">
        <f>"https://www.eletrotrafo.com.br/eletrocalha-galv-emenda-x-100x50-lisa-19820048/p?skuId=18422"</f>
        <v>https://www.eletrotrafo.com.br/eletrocalha-galv-emenda-x-100x50-lisa-19820048/p?skuId=18422</v>
      </c>
    </row>
    <row r="1182" spans="1:9" x14ac:dyDescent="0.25">
      <c r="A1182" s="29" t="s">
        <v>12</v>
      </c>
      <c r="B1182" s="29" t="s">
        <v>115</v>
      </c>
      <c r="C1182" s="29" t="s">
        <v>34</v>
      </c>
      <c r="D1182" s="37" t="s">
        <v>1249</v>
      </c>
      <c r="E1182" s="29" t="s">
        <v>796</v>
      </c>
      <c r="F1182" s="29" t="s">
        <v>36</v>
      </c>
      <c r="G1182" s="29">
        <v>7.25</v>
      </c>
      <c r="H1182" s="71" t="s">
        <v>793</v>
      </c>
      <c r="I1182" s="37" t="str">
        <f>"https://www.eletrotrafo.com.br/eletrocalha-galv-emenda-interna-u-200x50-70000024/p?skuId=18438; https://www.marmota.com.br/emenda-perfurada-para-eletrocalha-interna-u-100x100mm-perfilex-p49702?pp=/182.1443/"</f>
        <v>https://www.eletrotrafo.com.br/eletrocalha-galv-emenda-interna-u-200x50-70000024/p?skuId=18438; https://www.marmota.com.br/emenda-perfurada-para-eletrocalha-interna-u-100x100mm-perfilex-p49702?pp=/182.1443/</v>
      </c>
    </row>
    <row r="1183" spans="1:9" x14ac:dyDescent="0.25">
      <c r="A1183" s="29" t="s">
        <v>12</v>
      </c>
      <c r="B1183" s="29" t="s">
        <v>115</v>
      </c>
      <c r="C1183" s="29" t="s">
        <v>34</v>
      </c>
      <c r="D1183" s="37" t="s">
        <v>1250</v>
      </c>
      <c r="E1183" s="29" t="s">
        <v>796</v>
      </c>
      <c r="F1183" s="29" t="s">
        <v>36</v>
      </c>
      <c r="G1183" s="29">
        <v>4.4000000000000004</v>
      </c>
      <c r="H1183" s="71" t="s">
        <v>793</v>
      </c>
      <c r="I1183" s="37" t="str">
        <f>"https://www.eletrotrafo.com.br/eletrocalha-galv-emenda-interna-u-200x50-70000024/p?skuId=18438; https://www.marmota.com.br/emenda-para-eletrocalha-interna-u-100x50mm-perfilex-p52061?pp=/182.1443/"</f>
        <v>https://www.eletrotrafo.com.br/eletrocalha-galv-emenda-interna-u-200x50-70000024/p?skuId=18438; https://www.marmota.com.br/emenda-para-eletrocalha-interna-u-100x50mm-perfilex-p52061?pp=/182.1443/</v>
      </c>
    </row>
    <row r="1184" spans="1:9" x14ac:dyDescent="0.25">
      <c r="A1184" s="29" t="s">
        <v>12</v>
      </c>
      <c r="B1184" s="29" t="s">
        <v>115</v>
      </c>
      <c r="C1184" s="29" t="s">
        <v>34</v>
      </c>
      <c r="D1184" s="37" t="s">
        <v>1251</v>
      </c>
      <c r="E1184" s="29" t="s">
        <v>796</v>
      </c>
      <c r="F1184" s="29" t="s">
        <v>36</v>
      </c>
      <c r="G1184" s="29">
        <v>8.84</v>
      </c>
      <c r="H1184" s="71" t="s">
        <v>793</v>
      </c>
      <c r="I1184" s="37" t="str">
        <f>"https://www.eletrotrafo.com.br/eletrocalha-galv-emenda-interna-u-200x50-70000024/p?skuId=18438; https://www.marmota.com.br/emenda-para-eletrocalha-interna-u-150x100mm-perfilex-p49740?pp=/182.1443/"</f>
        <v>https://www.eletrotrafo.com.br/eletrocalha-galv-emenda-interna-u-200x50-70000024/p?skuId=18438; https://www.marmota.com.br/emenda-para-eletrocalha-interna-u-150x100mm-perfilex-p49740?pp=/182.1443/</v>
      </c>
    </row>
    <row r="1185" spans="1:9" x14ac:dyDescent="0.25">
      <c r="A1185" s="29" t="s">
        <v>12</v>
      </c>
      <c r="B1185" s="29" t="s">
        <v>115</v>
      </c>
      <c r="C1185" s="29" t="s">
        <v>34</v>
      </c>
      <c r="D1185" s="37" t="s">
        <v>1252</v>
      </c>
      <c r="E1185" s="29" t="s">
        <v>796</v>
      </c>
      <c r="F1185" s="29" t="s">
        <v>36</v>
      </c>
      <c r="G1185" s="29">
        <v>6.03</v>
      </c>
      <c r="H1185" s="71" t="s">
        <v>793</v>
      </c>
      <c r="I1185" s="37" t="str">
        <f>"https://www.eletrotrafo.com.br/eletrocalha-galv-emenda-interna-u-200x50-70000024/p?skuId=18438; https://www.marmota.com.br/emenda-para-eletrocalha-interna-u-150x50mm-perfilex-p50984?pp=/182.1443/"</f>
        <v>https://www.eletrotrafo.com.br/eletrocalha-galv-emenda-interna-u-200x50-70000024/p?skuId=18438; https://www.marmota.com.br/emenda-para-eletrocalha-interna-u-150x50mm-perfilex-p50984?pp=/182.1443/</v>
      </c>
    </row>
    <row r="1186" spans="1:9" x14ac:dyDescent="0.25">
      <c r="A1186" s="29" t="s">
        <v>12</v>
      </c>
      <c r="B1186" s="29" t="s">
        <v>115</v>
      </c>
      <c r="C1186" s="29" t="s">
        <v>34</v>
      </c>
      <c r="D1186" s="37" t="s">
        <v>1253</v>
      </c>
      <c r="E1186" s="29" t="s">
        <v>796</v>
      </c>
      <c r="F1186" s="29" t="s">
        <v>36</v>
      </c>
      <c r="G1186" s="29">
        <v>9.0500000000000007</v>
      </c>
      <c r="H1186" s="71" t="s">
        <v>793</v>
      </c>
      <c r="I1186" s="37" t="str">
        <f>"https://www.eletrotrafo.com.br/eletrocalha-galv-emenda-interna-u-200x50-70000024/p?skuId=18438; https://www.marmota.com.br/emenda-para-eletrocalha-interna-u-200x100mm-perfilex-p50513?pp=/182.1443/"</f>
        <v>https://www.eletrotrafo.com.br/eletrocalha-galv-emenda-interna-u-200x50-70000024/p?skuId=18438; https://www.marmota.com.br/emenda-para-eletrocalha-interna-u-200x100mm-perfilex-p50513?pp=/182.1443/</v>
      </c>
    </row>
    <row r="1187" spans="1:9" x14ac:dyDescent="0.25">
      <c r="A1187" s="29" t="s">
        <v>12</v>
      </c>
      <c r="B1187" s="29" t="s">
        <v>115</v>
      </c>
      <c r="C1187" s="29" t="s">
        <v>34</v>
      </c>
      <c r="D1187" s="37" t="s">
        <v>1254</v>
      </c>
      <c r="E1187" s="29" t="s">
        <v>788</v>
      </c>
      <c r="F1187" s="29" t="s">
        <v>36</v>
      </c>
      <c r="G1187" s="29">
        <v>12.19</v>
      </c>
      <c r="H1187" s="71" t="s">
        <v>740</v>
      </c>
      <c r="I1187" s="37" t="str">
        <f>"https://www.eletrotrafo.com.br/eletrocalha-galv-emenda-interna-u-200x50-70000024/p?skuId=18438"</f>
        <v>https://www.eletrotrafo.com.br/eletrocalha-galv-emenda-interna-u-200x50-70000024/p?skuId=18438</v>
      </c>
    </row>
    <row r="1188" spans="1:9" x14ac:dyDescent="0.25">
      <c r="A1188" s="29" t="s">
        <v>12</v>
      </c>
      <c r="B1188" s="29" t="s">
        <v>115</v>
      </c>
      <c r="C1188" s="29" t="s">
        <v>34</v>
      </c>
      <c r="D1188" s="37" t="s">
        <v>1255</v>
      </c>
      <c r="E1188" s="29" t="s">
        <v>796</v>
      </c>
      <c r="F1188" s="29" t="s">
        <v>36</v>
      </c>
      <c r="G1188" s="29">
        <v>13.46</v>
      </c>
      <c r="H1188" s="71" t="s">
        <v>793</v>
      </c>
      <c r="I1188" s="37" t="str">
        <f>"https://www.eletrotrafo.com.br/eletrocalha-galv-emenda-interna-u-200x50-70000024/p?skuId=18438; https://www.marmota.com.br/emenda-para-eletrocalha-interna-u-300x100mm-perfilex-p50304?pp=/182.1443/"</f>
        <v>https://www.eletrotrafo.com.br/eletrocalha-galv-emenda-interna-u-200x50-70000024/p?skuId=18438; https://www.marmota.com.br/emenda-para-eletrocalha-interna-u-300x100mm-perfilex-p50304?pp=/182.1443/</v>
      </c>
    </row>
    <row r="1189" spans="1:9" x14ac:dyDescent="0.25">
      <c r="A1189" s="29" t="s">
        <v>12</v>
      </c>
      <c r="B1189" s="29" t="s">
        <v>115</v>
      </c>
      <c r="C1189" s="29" t="s">
        <v>34</v>
      </c>
      <c r="D1189" s="37" t="s">
        <v>1256</v>
      </c>
      <c r="E1189" s="29" t="s">
        <v>796</v>
      </c>
      <c r="F1189" s="29" t="s">
        <v>36</v>
      </c>
      <c r="G1189" s="29">
        <v>3.04</v>
      </c>
      <c r="H1189" s="71" t="s">
        <v>793</v>
      </c>
      <c r="I1189" s="37" t="str">
        <f>"https://www.eletrotrafo.com.br/eletrocalha-galv-emenda-interna-u-200x50-70000024/p?skuId=18438; https://www.marmota.com.br/emenda-para-eletrocalha-interna-u-50x50mm-perfilex-p51867?pp=/182.1443/"</f>
        <v>https://www.eletrotrafo.com.br/eletrocalha-galv-emenda-interna-u-200x50-70000024/p?skuId=18438; https://www.marmota.com.br/emenda-para-eletrocalha-interna-u-50x50mm-perfilex-p51867?pp=/182.1443/</v>
      </c>
    </row>
    <row r="1190" spans="1:9" x14ac:dyDescent="0.25">
      <c r="A1190" s="29" t="s">
        <v>12</v>
      </c>
      <c r="B1190" s="29" t="s">
        <v>115</v>
      </c>
      <c r="C1190" s="29" t="s">
        <v>34</v>
      </c>
      <c r="D1190" s="37" t="s">
        <v>1257</v>
      </c>
      <c r="E1190" s="29" t="s">
        <v>798</v>
      </c>
      <c r="F1190" s="29" t="s">
        <v>36</v>
      </c>
      <c r="G1190" s="29">
        <v>6.95</v>
      </c>
      <c r="H1190" s="71" t="s">
        <v>793</v>
      </c>
      <c r="I1190" s="37" t="str">
        <f t="shared" ref="I1190:I1200" si="11">"https://www.infraeletrocalhas.com.br/eletrocalhas.asp?produtos=Eletrocalha-Galvanizada"</f>
        <v>https://www.infraeletrocalhas.com.br/eletrocalhas.asp?produtos=Eletrocalha-Galvanizada</v>
      </c>
    </row>
    <row r="1191" spans="1:9" x14ac:dyDescent="0.25">
      <c r="A1191" s="29" t="s">
        <v>12</v>
      </c>
      <c r="B1191" s="29" t="s">
        <v>115</v>
      </c>
      <c r="C1191" s="29" t="s">
        <v>34</v>
      </c>
      <c r="D1191" s="37" t="s">
        <v>1258</v>
      </c>
      <c r="E1191" s="29" t="s">
        <v>798</v>
      </c>
      <c r="F1191" s="29" t="s">
        <v>36</v>
      </c>
      <c r="G1191" s="29">
        <v>3.95</v>
      </c>
      <c r="H1191" s="71" t="s">
        <v>793</v>
      </c>
      <c r="I1191" s="37" t="str">
        <f t="shared" si="11"/>
        <v>https://www.infraeletrocalhas.com.br/eletrocalhas.asp?produtos=Eletrocalha-Galvanizada</v>
      </c>
    </row>
    <row r="1192" spans="1:9" x14ac:dyDescent="0.25">
      <c r="A1192" s="29" t="s">
        <v>12</v>
      </c>
      <c r="B1192" s="29" t="s">
        <v>115</v>
      </c>
      <c r="C1192" s="29" t="s">
        <v>34</v>
      </c>
      <c r="D1192" s="37" t="s">
        <v>1259</v>
      </c>
      <c r="E1192" s="29" t="s">
        <v>798</v>
      </c>
      <c r="F1192" s="29" t="s">
        <v>36</v>
      </c>
      <c r="G1192" s="29">
        <v>7.5</v>
      </c>
      <c r="H1192" s="71" t="s">
        <v>793</v>
      </c>
      <c r="I1192" s="37" t="str">
        <f t="shared" si="11"/>
        <v>https://www.infraeletrocalhas.com.br/eletrocalhas.asp?produtos=Eletrocalha-Galvanizada</v>
      </c>
    </row>
    <row r="1193" spans="1:9" x14ac:dyDescent="0.25">
      <c r="A1193" s="29" t="s">
        <v>12</v>
      </c>
      <c r="B1193" s="29" t="s">
        <v>115</v>
      </c>
      <c r="C1193" s="29" t="s">
        <v>34</v>
      </c>
      <c r="D1193" s="37" t="s">
        <v>1260</v>
      </c>
      <c r="E1193" s="29" t="s">
        <v>798</v>
      </c>
      <c r="F1193" s="29" t="s">
        <v>36</v>
      </c>
      <c r="G1193" s="29">
        <v>6.3</v>
      </c>
      <c r="H1193" s="71" t="s">
        <v>793</v>
      </c>
      <c r="I1193" s="37" t="str">
        <f t="shared" si="11"/>
        <v>https://www.infraeletrocalhas.com.br/eletrocalhas.asp?produtos=Eletrocalha-Galvanizada</v>
      </c>
    </row>
    <row r="1194" spans="1:9" x14ac:dyDescent="0.25">
      <c r="A1194" s="29" t="s">
        <v>12</v>
      </c>
      <c r="B1194" s="29" t="s">
        <v>115</v>
      </c>
      <c r="C1194" s="29" t="s">
        <v>34</v>
      </c>
      <c r="D1194" s="37" t="s">
        <v>1261</v>
      </c>
      <c r="E1194" s="29" t="s">
        <v>798</v>
      </c>
      <c r="F1194" s="29" t="s">
        <v>36</v>
      </c>
      <c r="G1194" s="29">
        <v>8.9499999999999993</v>
      </c>
      <c r="H1194" s="71" t="s">
        <v>793</v>
      </c>
      <c r="I1194" s="37" t="str">
        <f t="shared" si="11"/>
        <v>https://www.infraeletrocalhas.com.br/eletrocalhas.asp?produtos=Eletrocalha-Galvanizada</v>
      </c>
    </row>
    <row r="1195" spans="1:9" x14ac:dyDescent="0.25">
      <c r="A1195" s="29" t="s">
        <v>12</v>
      </c>
      <c r="B1195" s="29" t="s">
        <v>115</v>
      </c>
      <c r="C1195" s="29" t="s">
        <v>34</v>
      </c>
      <c r="D1195" s="37" t="s">
        <v>1262</v>
      </c>
      <c r="E1195" s="29" t="s">
        <v>798</v>
      </c>
      <c r="F1195" s="29" t="s">
        <v>36</v>
      </c>
      <c r="G1195" s="29">
        <v>7.5</v>
      </c>
      <c r="H1195" s="71" t="s">
        <v>793</v>
      </c>
      <c r="I1195" s="37" t="str">
        <f t="shared" si="11"/>
        <v>https://www.infraeletrocalhas.com.br/eletrocalhas.asp?produtos=Eletrocalha-Galvanizada</v>
      </c>
    </row>
    <row r="1196" spans="1:9" x14ac:dyDescent="0.25">
      <c r="A1196" s="29" t="s">
        <v>12</v>
      </c>
      <c r="B1196" s="29" t="s">
        <v>115</v>
      </c>
      <c r="C1196" s="29" t="s">
        <v>34</v>
      </c>
      <c r="D1196" s="37" t="s">
        <v>1263</v>
      </c>
      <c r="E1196" s="29" t="s">
        <v>798</v>
      </c>
      <c r="F1196" s="29" t="s">
        <v>36</v>
      </c>
      <c r="G1196" s="29">
        <v>10.95</v>
      </c>
      <c r="H1196" s="71" t="s">
        <v>793</v>
      </c>
      <c r="I1196" s="37" t="str">
        <f t="shared" si="11"/>
        <v>https://www.infraeletrocalhas.com.br/eletrocalhas.asp?produtos=Eletrocalha-Galvanizada</v>
      </c>
    </row>
    <row r="1197" spans="1:9" x14ac:dyDescent="0.25">
      <c r="A1197" s="29" t="s">
        <v>12</v>
      </c>
      <c r="B1197" s="29" t="s">
        <v>115</v>
      </c>
      <c r="C1197" s="29" t="s">
        <v>34</v>
      </c>
      <c r="D1197" s="37" t="s">
        <v>1264</v>
      </c>
      <c r="E1197" s="29" t="s">
        <v>798</v>
      </c>
      <c r="F1197" s="29" t="s">
        <v>36</v>
      </c>
      <c r="G1197" s="29">
        <v>9.9499999999999993</v>
      </c>
      <c r="H1197" s="71" t="s">
        <v>793</v>
      </c>
      <c r="I1197" s="37" t="str">
        <f t="shared" si="11"/>
        <v>https://www.infraeletrocalhas.com.br/eletrocalhas.asp?produtos=Eletrocalha-Galvanizada</v>
      </c>
    </row>
    <row r="1198" spans="1:9" x14ac:dyDescent="0.25">
      <c r="A1198" s="29" t="s">
        <v>12</v>
      </c>
      <c r="B1198" s="29" t="s">
        <v>115</v>
      </c>
      <c r="C1198" s="29" t="s">
        <v>34</v>
      </c>
      <c r="D1198" s="37" t="s">
        <v>1265</v>
      </c>
      <c r="E1198" s="29" t="s">
        <v>798</v>
      </c>
      <c r="F1198" s="29" t="s">
        <v>36</v>
      </c>
      <c r="G1198" s="29">
        <v>13.95</v>
      </c>
      <c r="H1198" s="71" t="s">
        <v>793</v>
      </c>
      <c r="I1198" s="37" t="str">
        <f t="shared" si="11"/>
        <v>https://www.infraeletrocalhas.com.br/eletrocalhas.asp?produtos=Eletrocalha-Galvanizada</v>
      </c>
    </row>
    <row r="1199" spans="1:9" x14ac:dyDescent="0.25">
      <c r="A1199" s="29" t="s">
        <v>12</v>
      </c>
      <c r="B1199" s="29" t="s">
        <v>115</v>
      </c>
      <c r="C1199" s="29" t="s">
        <v>34</v>
      </c>
      <c r="D1199" s="37" t="s">
        <v>1266</v>
      </c>
      <c r="E1199" s="29" t="s">
        <v>798</v>
      </c>
      <c r="F1199" s="29" t="s">
        <v>36</v>
      </c>
      <c r="G1199" s="29">
        <v>11.5</v>
      </c>
      <c r="H1199" s="71" t="s">
        <v>793</v>
      </c>
      <c r="I1199" s="37" t="str">
        <f t="shared" si="11"/>
        <v>https://www.infraeletrocalhas.com.br/eletrocalhas.asp?produtos=Eletrocalha-Galvanizada</v>
      </c>
    </row>
    <row r="1200" spans="1:9" x14ac:dyDescent="0.25">
      <c r="A1200" s="29" t="s">
        <v>12</v>
      </c>
      <c r="B1200" s="29" t="s">
        <v>115</v>
      </c>
      <c r="C1200" s="29" t="s">
        <v>34</v>
      </c>
      <c r="D1200" s="37" t="s">
        <v>1267</v>
      </c>
      <c r="E1200" s="29" t="s">
        <v>798</v>
      </c>
      <c r="F1200" s="29" t="s">
        <v>36</v>
      </c>
      <c r="G1200" s="29">
        <v>3.2</v>
      </c>
      <c r="H1200" s="71" t="s">
        <v>793</v>
      </c>
      <c r="I1200" s="37" t="str">
        <f t="shared" si="11"/>
        <v>https://www.infraeletrocalhas.com.br/eletrocalhas.asp?produtos=Eletrocalha-Galvanizada</v>
      </c>
    </row>
    <row r="1201" spans="1:9" x14ac:dyDescent="0.25">
      <c r="A1201" s="29" t="s">
        <v>12</v>
      </c>
      <c r="B1201" s="29" t="s">
        <v>115</v>
      </c>
      <c r="C1201" s="29" t="s">
        <v>34</v>
      </c>
      <c r="D1201" s="37" t="s">
        <v>2283</v>
      </c>
      <c r="E1201" s="29" t="s">
        <v>788</v>
      </c>
      <c r="F1201" s="29" t="s">
        <v>36</v>
      </c>
      <c r="G1201" s="29">
        <v>7.8</v>
      </c>
      <c r="H1201" s="71" t="s">
        <v>740</v>
      </c>
      <c r="I1201" s="37" t="str">
        <f>"https://www.eletrotrafo.com.br/eletrocalha-galv-emenda-interna-u-200x100-a-fogo-c-virola-ch16-f-l--70010689/p?skuId=9436"</f>
        <v>https://www.eletrotrafo.com.br/eletrocalha-galv-emenda-interna-u-200x100-a-fogo-c-virola-ch16-f-l--70010689/p?skuId=9436</v>
      </c>
    </row>
    <row r="1202" spans="1:9" x14ac:dyDescent="0.25">
      <c r="A1202" s="29" t="s">
        <v>12</v>
      </c>
      <c r="B1202" s="29" t="s">
        <v>115</v>
      </c>
      <c r="C1202" s="29" t="s">
        <v>34</v>
      </c>
      <c r="D1202" s="37" t="s">
        <v>2284</v>
      </c>
      <c r="E1202" s="29" t="s">
        <v>788</v>
      </c>
      <c r="F1202" s="29" t="s">
        <v>36</v>
      </c>
      <c r="G1202" s="29">
        <v>9.77</v>
      </c>
      <c r="H1202" s="71" t="s">
        <v>740</v>
      </c>
      <c r="I1202" s="37" t="str">
        <f>"https://www.eletrotrafo.com.br/eletrocalha-galv-emenda-interna-u-200x100-a-fogo-c-virola-ch16-f-l--70010689/p?skuId=9436"</f>
        <v>https://www.eletrotrafo.com.br/eletrocalha-galv-emenda-interna-u-200x100-a-fogo-c-virola-ch16-f-l--70010689/p?skuId=9436</v>
      </c>
    </row>
    <row r="1203" spans="1:9" x14ac:dyDescent="0.25">
      <c r="A1203" s="29" t="s">
        <v>12</v>
      </c>
      <c r="B1203" s="29" t="s">
        <v>115</v>
      </c>
      <c r="C1203" s="29" t="s">
        <v>34</v>
      </c>
      <c r="D1203" s="37" t="s">
        <v>1268</v>
      </c>
      <c r="E1203" s="29" t="s">
        <v>788</v>
      </c>
      <c r="F1203" s="29" t="s">
        <v>36</v>
      </c>
      <c r="G1203" s="29">
        <v>16.829999999999998</v>
      </c>
      <c r="H1203" s="71" t="s">
        <v>740</v>
      </c>
      <c r="I1203" s="37" t="str">
        <f>"https://www.eletrotrafo.com.br/eletrocalha-galv-emenda-reducao-200x100-p-100x100-perf--15760005/p?skuId=17373"</f>
        <v>https://www.eletrotrafo.com.br/eletrocalha-galv-emenda-reducao-200x100-p-100x100-perf--15760005/p?skuId=17373</v>
      </c>
    </row>
    <row r="1204" spans="1:9" x14ac:dyDescent="0.25">
      <c r="A1204" s="29" t="s">
        <v>12</v>
      </c>
      <c r="B1204" s="29" t="s">
        <v>115</v>
      </c>
      <c r="C1204" s="29" t="s">
        <v>34</v>
      </c>
      <c r="D1204" s="37" t="s">
        <v>1269</v>
      </c>
      <c r="E1204" s="29" t="s">
        <v>788</v>
      </c>
      <c r="F1204" s="29" t="s">
        <v>36</v>
      </c>
      <c r="G1204" s="29">
        <v>27.09</v>
      </c>
      <c r="H1204" s="71" t="s">
        <v>740</v>
      </c>
      <c r="I1204" s="37" t="str">
        <f>"https://www.eletrotrafo.com.br/eletrocalha-galv-emenda-reducao-200x100-p-100x100-perf--15760005/p?skuId=17373"</f>
        <v>https://www.eletrotrafo.com.br/eletrocalha-galv-emenda-reducao-200x100-p-100x100-perf--15760005/p?skuId=17373</v>
      </c>
    </row>
    <row r="1205" spans="1:9" x14ac:dyDescent="0.25">
      <c r="A1205" s="29" t="s">
        <v>12</v>
      </c>
      <c r="B1205" s="29" t="s">
        <v>115</v>
      </c>
      <c r="C1205" s="29" t="s">
        <v>34</v>
      </c>
      <c r="D1205" s="37" t="s">
        <v>1270</v>
      </c>
      <c r="E1205" s="29" t="s">
        <v>788</v>
      </c>
      <c r="F1205" s="29" t="s">
        <v>36</v>
      </c>
      <c r="G1205" s="29">
        <v>35.520000000000003</v>
      </c>
      <c r="H1205" s="71" t="s">
        <v>740</v>
      </c>
      <c r="I1205" s="37" t="str">
        <f>"https://www.eletrotrafo.com.br/eletrocalha-galv-emenda-reducao-200x100-p-100x100-perf--15760005/p?skuId=17373"</f>
        <v>https://www.eletrotrafo.com.br/eletrocalha-galv-emenda-reducao-200x100-p-100x100-perf--15760005/p?skuId=17373</v>
      </c>
    </row>
    <row r="1206" spans="1:9" x14ac:dyDescent="0.25">
      <c r="A1206" s="29" t="s">
        <v>12</v>
      </c>
      <c r="B1206" s="29" t="s">
        <v>115</v>
      </c>
      <c r="C1206" s="29" t="s">
        <v>34</v>
      </c>
      <c r="D1206" s="37" t="s">
        <v>1271</v>
      </c>
      <c r="E1206" s="29" t="s">
        <v>788</v>
      </c>
      <c r="F1206" s="29" t="s">
        <v>36</v>
      </c>
      <c r="G1206" s="29">
        <v>29.22</v>
      </c>
      <c r="H1206" s="71" t="s">
        <v>740</v>
      </c>
      <c r="I1206" s="37" t="str">
        <f>"https://www.eletrotrafo.com.br/eletrocalha-galv-emenda-reducao-200x100-p-100x100-perf--15760005/p?skuId=17373"</f>
        <v>https://www.eletrotrafo.com.br/eletrocalha-galv-emenda-reducao-200x100-p-100x100-perf--15760005/p?skuId=17373</v>
      </c>
    </row>
    <row r="1207" spans="1:9" x14ac:dyDescent="0.25">
      <c r="A1207" s="29" t="s">
        <v>12</v>
      </c>
      <c r="B1207" s="29" t="s">
        <v>115</v>
      </c>
      <c r="C1207" s="29" t="s">
        <v>34</v>
      </c>
      <c r="D1207" s="37" t="s">
        <v>1563</v>
      </c>
      <c r="E1207" s="29" t="s">
        <v>797</v>
      </c>
      <c r="F1207" s="29" t="s">
        <v>36</v>
      </c>
      <c r="G1207" s="29">
        <v>17.48</v>
      </c>
      <c r="H1207" s="71" t="s">
        <v>793</v>
      </c>
      <c r="I1207" s="37" t="str">
        <f>"https://www.marmota.com.br/fita-de-aco-perfurada-19mmx10m-aiedem-p50223?pp=/182.1443/"</f>
        <v>https://www.marmota.com.br/fita-de-aco-perfurada-19mmx10m-aiedem-p50223?pp=/182.1443/</v>
      </c>
    </row>
    <row r="1208" spans="1:9" x14ac:dyDescent="0.25">
      <c r="A1208" s="29" t="s">
        <v>12</v>
      </c>
      <c r="B1208" s="29" t="s">
        <v>115</v>
      </c>
      <c r="C1208" s="29" t="s">
        <v>34</v>
      </c>
      <c r="D1208" s="37" t="s">
        <v>1564</v>
      </c>
      <c r="E1208" s="29" t="s">
        <v>797</v>
      </c>
      <c r="F1208" s="29" t="s">
        <v>36</v>
      </c>
      <c r="G1208" s="29">
        <v>44.16</v>
      </c>
      <c r="H1208" s="71" t="s">
        <v>793</v>
      </c>
      <c r="I1208" s="37" t="str">
        <f>"https://www.marmota.com.br/fita-de-aco-perfurada-19mmx25m-aiedem-p50448?pp=/182.1443/"</f>
        <v>https://www.marmota.com.br/fita-de-aco-perfurada-19mmx25m-aiedem-p50448?pp=/182.1443/</v>
      </c>
    </row>
    <row r="1209" spans="1:9" x14ac:dyDescent="0.25">
      <c r="A1209" s="29" t="s">
        <v>12</v>
      </c>
      <c r="B1209" s="29" t="s">
        <v>115</v>
      </c>
      <c r="C1209" s="29" t="s">
        <v>34</v>
      </c>
      <c r="D1209" s="37" t="s">
        <v>1565</v>
      </c>
      <c r="E1209" s="29" t="s">
        <v>795</v>
      </c>
      <c r="F1209" s="29" t="s">
        <v>36</v>
      </c>
      <c r="G1209" s="29">
        <v>48.2</v>
      </c>
      <c r="H1209" s="71" t="s">
        <v>793</v>
      </c>
      <c r="I1209" s="37" t="str">
        <f>"https://www.eletrotrafo.com.br/eletrocalha-galv-fita-perfurada-19mm-c-30mts-10610002/p?skuId=18426; https://www.marmota.com.br/fita-de-aco-perfurada-19mmx30m-aiedem-p51601?pp=/182.1443/"</f>
        <v>https://www.eletrotrafo.com.br/eletrocalha-galv-fita-perfurada-19mm-c-30mts-10610002/p?skuId=18426; https://www.marmota.com.br/fita-de-aco-perfurada-19mmx30m-aiedem-p51601?pp=/182.1443/</v>
      </c>
    </row>
    <row r="1210" spans="1:9" x14ac:dyDescent="0.25">
      <c r="A1210" s="29" t="s">
        <v>12</v>
      </c>
      <c r="B1210" s="29" t="s">
        <v>115</v>
      </c>
      <c r="C1210" s="29" t="s">
        <v>34</v>
      </c>
      <c r="D1210" s="37" t="s">
        <v>1272</v>
      </c>
      <c r="E1210" s="29" t="s">
        <v>788</v>
      </c>
      <c r="F1210" s="29" t="s">
        <v>36</v>
      </c>
      <c r="G1210" s="29">
        <v>6.69</v>
      </c>
      <c r="H1210" s="71" t="s">
        <v>740</v>
      </c>
      <c r="I1210" s="37" t="str">
        <f>"https://www.eletrotrafo.com.br/eletrocalha-galv-flange-100x100-ref-1840-13370116/p?skuId=19008"</f>
        <v>https://www.eletrotrafo.com.br/eletrocalha-galv-flange-100x100-ref-1840-13370116/p?skuId=19008</v>
      </c>
    </row>
    <row r="1211" spans="1:9" x14ac:dyDescent="0.25">
      <c r="A1211" s="29" t="s">
        <v>12</v>
      </c>
      <c r="B1211" s="29" t="s">
        <v>115</v>
      </c>
      <c r="C1211" s="29" t="s">
        <v>34</v>
      </c>
      <c r="D1211" s="37" t="s">
        <v>1273</v>
      </c>
      <c r="E1211" s="29" t="s">
        <v>788</v>
      </c>
      <c r="F1211" s="29" t="s">
        <v>36</v>
      </c>
      <c r="G1211" s="29">
        <v>4.3600000000000003</v>
      </c>
      <c r="H1211" s="71" t="s">
        <v>740</v>
      </c>
      <c r="I1211" s="37" t="str">
        <f>"https://www.eletrotrafo.com.br/eletrocalha-galv-flange-100x100-ref-1840-13370116/p?skuId=19008"</f>
        <v>https://www.eletrotrafo.com.br/eletrocalha-galv-flange-100x100-ref-1840-13370116/p?skuId=19008</v>
      </c>
    </row>
    <row r="1212" spans="1:9" x14ac:dyDescent="0.25">
      <c r="A1212" s="29" t="s">
        <v>12</v>
      </c>
      <c r="B1212" s="29" t="s">
        <v>115</v>
      </c>
      <c r="C1212" s="29" t="s">
        <v>34</v>
      </c>
      <c r="D1212" s="37" t="s">
        <v>1274</v>
      </c>
      <c r="E1212" s="29" t="s">
        <v>788</v>
      </c>
      <c r="F1212" s="29" t="s">
        <v>36</v>
      </c>
      <c r="G1212" s="29">
        <v>5.43</v>
      </c>
      <c r="H1212" s="71" t="s">
        <v>740</v>
      </c>
      <c r="I1212" s="37" t="str">
        <f>"https://www.eletrotrafo.com.br/eletrocalha-galv-flange-100x100-ref-1840-13370116/p?skuId=19008"</f>
        <v>https://www.eletrotrafo.com.br/eletrocalha-galv-flange-100x100-ref-1840-13370116/p?skuId=19008</v>
      </c>
    </row>
    <row r="1213" spans="1:9" x14ac:dyDescent="0.25">
      <c r="A1213" s="29" t="s">
        <v>12</v>
      </c>
      <c r="B1213" s="29" t="s">
        <v>115</v>
      </c>
      <c r="C1213" s="29" t="s">
        <v>34</v>
      </c>
      <c r="D1213" s="37" t="s">
        <v>1275</v>
      </c>
      <c r="E1213" s="29" t="s">
        <v>788</v>
      </c>
      <c r="F1213" s="29" t="s">
        <v>36</v>
      </c>
      <c r="G1213" s="29">
        <v>5.69</v>
      </c>
      <c r="H1213" s="71" t="s">
        <v>740</v>
      </c>
      <c r="I1213" s="37" t="str">
        <f>"https://www.eletrotrafo.com.br/eletrocalha-galv-flange-100x100-ref-1840-13370116/p?skuId=19008"</f>
        <v>https://www.eletrotrafo.com.br/eletrocalha-galv-flange-100x100-ref-1840-13370116/p?skuId=19008</v>
      </c>
    </row>
    <row r="1214" spans="1:9" x14ac:dyDescent="0.25">
      <c r="A1214" s="29" t="s">
        <v>12</v>
      </c>
      <c r="B1214" s="29" t="s">
        <v>115</v>
      </c>
      <c r="C1214" s="29" t="s">
        <v>34</v>
      </c>
      <c r="D1214" s="37" t="s">
        <v>1276</v>
      </c>
      <c r="E1214" s="29" t="s">
        <v>37</v>
      </c>
      <c r="F1214" s="29" t="s">
        <v>36</v>
      </c>
      <c r="I1214" s="37" t="s">
        <v>37</v>
      </c>
    </row>
    <row r="1215" spans="1:9" x14ac:dyDescent="0.25">
      <c r="A1215" s="29" t="s">
        <v>12</v>
      </c>
      <c r="B1215" s="29" t="s">
        <v>115</v>
      </c>
      <c r="C1215" s="29" t="s">
        <v>34</v>
      </c>
      <c r="D1215" s="37" t="s">
        <v>1277</v>
      </c>
      <c r="E1215" s="29" t="s">
        <v>788</v>
      </c>
      <c r="F1215" s="29" t="s">
        <v>36</v>
      </c>
      <c r="G1215" s="29">
        <v>3</v>
      </c>
      <c r="H1215" s="71" t="s">
        <v>740</v>
      </c>
      <c r="I1215" s="37" t="str">
        <f>"https://www.eletrotrafo.com.br/eletrocalha-galv-flange-100x100-ref-1840-13370116/p?skuId=19008"</f>
        <v>https://www.eletrotrafo.com.br/eletrocalha-galv-flange-100x100-ref-1840-13370116/p?skuId=19008</v>
      </c>
    </row>
    <row r="1216" spans="1:9" x14ac:dyDescent="0.25">
      <c r="A1216" s="29" t="s">
        <v>12</v>
      </c>
      <c r="B1216" s="29" t="s">
        <v>115</v>
      </c>
      <c r="C1216" s="29" t="s">
        <v>34</v>
      </c>
      <c r="D1216" s="37" t="s">
        <v>1922</v>
      </c>
      <c r="E1216" s="29" t="s">
        <v>792</v>
      </c>
      <c r="F1216" s="29" t="s">
        <v>36</v>
      </c>
      <c r="G1216" s="29">
        <v>14.67</v>
      </c>
      <c r="H1216" s="71" t="s">
        <v>793</v>
      </c>
      <c r="I1216" s="37" t="str">
        <f>"https://www.marmota.com.br/flange-para-ligacao-em-painel-para-eletrocalha-150x100mm-perfilex-p50894?pp=/182.1443/"</f>
        <v>https://www.marmota.com.br/flange-para-ligacao-em-painel-para-eletrocalha-150x100mm-perfilex-p50894?pp=/182.1443/</v>
      </c>
    </row>
    <row r="1217" spans="1:9" x14ac:dyDescent="0.25">
      <c r="A1217" s="29" t="s">
        <v>12</v>
      </c>
      <c r="B1217" s="29" t="s">
        <v>115</v>
      </c>
      <c r="C1217" s="29" t="s">
        <v>34</v>
      </c>
      <c r="D1217" s="37" t="s">
        <v>1923</v>
      </c>
      <c r="E1217" s="29" t="s">
        <v>792</v>
      </c>
      <c r="F1217" s="29" t="s">
        <v>36</v>
      </c>
      <c r="G1217" s="29">
        <v>17.14</v>
      </c>
      <c r="H1217" s="71" t="s">
        <v>740</v>
      </c>
      <c r="I1217" s="37" t="str">
        <f>"https://www.marmota.com.br/flange-para-ligacao-em-painel-para-eletrocalha-200x100mm-perfilex-p52920"</f>
        <v>https://www.marmota.com.br/flange-para-ligacao-em-painel-para-eletrocalha-200x100mm-perfilex-p52920</v>
      </c>
    </row>
    <row r="1218" spans="1:9" x14ac:dyDescent="0.25">
      <c r="A1218" s="29" t="s">
        <v>12</v>
      </c>
      <c r="B1218" s="29" t="s">
        <v>115</v>
      </c>
      <c r="C1218" s="29" t="s">
        <v>34</v>
      </c>
      <c r="D1218" s="37" t="s">
        <v>1924</v>
      </c>
      <c r="E1218" s="29" t="s">
        <v>792</v>
      </c>
      <c r="F1218" s="29" t="s">
        <v>36</v>
      </c>
      <c r="G1218" s="29">
        <v>6.29</v>
      </c>
      <c r="H1218" s="71" t="s">
        <v>793</v>
      </c>
      <c r="I1218" s="37" t="str">
        <f>"https://www.marmota.com.br/flange-para-ligacao-em-painel-para-eletrocalha-50x50mm-perfilex-p50695?pp=/182.1443/"</f>
        <v>https://www.marmota.com.br/flange-para-ligacao-em-painel-para-eletrocalha-50x50mm-perfilex-p50695?pp=/182.1443/</v>
      </c>
    </row>
    <row r="1219" spans="1:9" x14ac:dyDescent="0.25">
      <c r="A1219" s="29" t="s">
        <v>12</v>
      </c>
      <c r="B1219" s="29" t="s">
        <v>115</v>
      </c>
      <c r="C1219" s="29" t="s">
        <v>34</v>
      </c>
      <c r="D1219" s="37" t="s">
        <v>948</v>
      </c>
      <c r="E1219" s="29" t="s">
        <v>788</v>
      </c>
      <c r="F1219" s="29" t="s">
        <v>36</v>
      </c>
      <c r="G1219" s="29">
        <v>11.51</v>
      </c>
      <c r="H1219" s="71" t="s">
        <v>740</v>
      </c>
      <c r="I1219" s="37" t="str">
        <f>"https://www.eletrotrafo.com.br/eletrocalha-galv-38x38-grampo-c-balancim-completo-13370023/p?skuId=16482"</f>
        <v>https://www.eletrotrafo.com.br/eletrocalha-galv-38x38-grampo-c-balancim-completo-13370023/p?skuId=16482</v>
      </c>
    </row>
    <row r="1220" spans="1:9" x14ac:dyDescent="0.25">
      <c r="A1220" s="29" t="s">
        <v>12</v>
      </c>
      <c r="B1220" s="29" t="s">
        <v>115</v>
      </c>
      <c r="C1220" s="29" t="s">
        <v>34</v>
      </c>
      <c r="D1220" s="37" t="s">
        <v>1278</v>
      </c>
      <c r="E1220" s="29" t="s">
        <v>792</v>
      </c>
      <c r="F1220" s="29" t="s">
        <v>36</v>
      </c>
      <c r="G1220" s="29">
        <v>2.1</v>
      </c>
      <c r="H1220" s="71" t="s">
        <v>793</v>
      </c>
      <c r="I1220" s="37" t="str">
        <f>"https://www.marmota.com.br/juncao-reta-tala-para-eletrocalha-100mm-perfilex-p50535?pp=/182.1443/"</f>
        <v>https://www.marmota.com.br/juncao-reta-tala-para-eletrocalha-100mm-perfilex-p50535?pp=/182.1443/</v>
      </c>
    </row>
    <row r="1221" spans="1:9" x14ac:dyDescent="0.25">
      <c r="A1221" s="29" t="s">
        <v>12</v>
      </c>
      <c r="B1221" s="29" t="s">
        <v>115</v>
      </c>
      <c r="C1221" s="29" t="s">
        <v>34</v>
      </c>
      <c r="D1221" s="37" t="s">
        <v>1279</v>
      </c>
      <c r="E1221" s="29" t="s">
        <v>792</v>
      </c>
      <c r="F1221" s="29" t="s">
        <v>36</v>
      </c>
      <c r="G1221" s="29">
        <v>1.05</v>
      </c>
      <c r="H1221" s="71" t="s">
        <v>793</v>
      </c>
      <c r="I1221" s="37" t="str">
        <f>"https://www.marmota.com.br/juncao-reta-tala-para-eletrocalha-50mm-perfilex-p50715?pp=/182.1443/"</f>
        <v>https://www.marmota.com.br/juncao-reta-tala-para-eletrocalha-50mm-perfilex-p50715?pp=/182.1443/</v>
      </c>
    </row>
    <row r="1222" spans="1:9" x14ac:dyDescent="0.25">
      <c r="A1222" s="29" t="s">
        <v>12</v>
      </c>
      <c r="B1222" s="29" t="s">
        <v>115</v>
      </c>
      <c r="C1222" s="29" t="s">
        <v>34</v>
      </c>
      <c r="D1222" s="37" t="s">
        <v>1280</v>
      </c>
      <c r="E1222" s="29" t="s">
        <v>792</v>
      </c>
      <c r="F1222" s="29" t="s">
        <v>36</v>
      </c>
      <c r="G1222" s="29">
        <v>2.2999999999999998</v>
      </c>
      <c r="H1222" s="71" t="s">
        <v>793</v>
      </c>
      <c r="I1222" s="37" t="str">
        <f>"https://www.marmota.com.br/juncao-reta-tala-para-eletrocalha-75mm-perfilex-p52210?pp=/182.1443/"</f>
        <v>https://www.marmota.com.br/juncao-reta-tala-para-eletrocalha-75mm-perfilex-p52210?pp=/182.1443/</v>
      </c>
    </row>
    <row r="1223" spans="1:9" x14ac:dyDescent="0.25">
      <c r="A1223" s="29" t="s">
        <v>12</v>
      </c>
      <c r="B1223" s="29" t="s">
        <v>115</v>
      </c>
      <c r="C1223" s="29" t="s">
        <v>34</v>
      </c>
      <c r="D1223" s="37" t="s">
        <v>1566</v>
      </c>
      <c r="E1223" s="29" t="s">
        <v>791</v>
      </c>
      <c r="F1223" s="29" t="s">
        <v>36</v>
      </c>
      <c r="G1223" s="29">
        <v>1.61</v>
      </c>
      <c r="H1223" s="71" t="s">
        <v>740</v>
      </c>
      <c r="I1223" s="37" t="str">
        <f>"https://www.eletrotrafo.com.br/eletrocalha-galv-luva-emenda-p-vergalhao-1-4--07120036/p?skuId=16525"</f>
        <v>https://www.eletrotrafo.com.br/eletrocalha-galv-luva-emenda-p-vergalhao-1-4--07120036/p?skuId=16525</v>
      </c>
    </row>
    <row r="1224" spans="1:9" x14ac:dyDescent="0.25">
      <c r="A1224" s="29" t="s">
        <v>12</v>
      </c>
      <c r="B1224" s="29" t="s">
        <v>115</v>
      </c>
      <c r="C1224" s="29" t="s">
        <v>34</v>
      </c>
      <c r="D1224" s="37" t="s">
        <v>1567</v>
      </c>
      <c r="E1224" s="29" t="s">
        <v>791</v>
      </c>
      <c r="F1224" s="29" t="s">
        <v>36</v>
      </c>
      <c r="G1224" s="29">
        <v>1.86</v>
      </c>
      <c r="H1224" s="71" t="s">
        <v>740</v>
      </c>
      <c r="I1224" s="37" t="str">
        <f>"https://www.eletrotrafo.com.br/eletrocalha-galv-luva-emenda-p-vergalhao-1-4--07120036/p?skuId=16525"</f>
        <v>https://www.eletrotrafo.com.br/eletrocalha-galv-luva-emenda-p-vergalhao-1-4--07120036/p?skuId=16525</v>
      </c>
    </row>
    <row r="1225" spans="1:9" x14ac:dyDescent="0.25">
      <c r="A1225" s="29" t="s">
        <v>12</v>
      </c>
      <c r="B1225" s="29" t="s">
        <v>115</v>
      </c>
      <c r="C1225" s="29" t="s">
        <v>34</v>
      </c>
      <c r="D1225" s="37" t="s">
        <v>2285</v>
      </c>
      <c r="E1225" s="29" t="s">
        <v>798</v>
      </c>
      <c r="F1225" s="29" t="s">
        <v>36</v>
      </c>
      <c r="G1225" s="29">
        <v>26.5</v>
      </c>
      <c r="H1225" s="71" t="s">
        <v>793</v>
      </c>
      <c r="I1225" s="37" t="str">
        <f t="shared" ref="I1225:I1240" si="12">"https://www.infraeletrocalhas.com.br/eletrocalhas.asp?produtos=Eletrocalha-Galvanizada"</f>
        <v>https://www.infraeletrocalhas.com.br/eletrocalhas.asp?produtos=Eletrocalha-Galvanizada</v>
      </c>
    </row>
    <row r="1226" spans="1:9" x14ac:dyDescent="0.25">
      <c r="A1226" s="29" t="s">
        <v>12</v>
      </c>
      <c r="B1226" s="29" t="s">
        <v>115</v>
      </c>
      <c r="C1226" s="29" t="s">
        <v>34</v>
      </c>
      <c r="D1226" s="37" t="s">
        <v>2286</v>
      </c>
      <c r="E1226" s="29" t="s">
        <v>798</v>
      </c>
      <c r="F1226" s="29" t="s">
        <v>36</v>
      </c>
      <c r="G1226" s="29">
        <v>32.9</v>
      </c>
      <c r="H1226" s="71" t="s">
        <v>793</v>
      </c>
      <c r="I1226" s="37" t="str">
        <f t="shared" si="12"/>
        <v>https://www.infraeletrocalhas.com.br/eletrocalhas.asp?produtos=Eletrocalha-Galvanizada</v>
      </c>
    </row>
    <row r="1227" spans="1:9" x14ac:dyDescent="0.25">
      <c r="A1227" s="29" t="s">
        <v>12</v>
      </c>
      <c r="B1227" s="29" t="s">
        <v>115</v>
      </c>
      <c r="C1227" s="29" t="s">
        <v>34</v>
      </c>
      <c r="D1227" s="37" t="s">
        <v>2287</v>
      </c>
      <c r="E1227" s="29" t="s">
        <v>798</v>
      </c>
      <c r="F1227" s="29" t="s">
        <v>36</v>
      </c>
      <c r="G1227" s="29">
        <v>22.95</v>
      </c>
      <c r="H1227" s="71" t="s">
        <v>793</v>
      </c>
      <c r="I1227" s="37" t="str">
        <f t="shared" si="12"/>
        <v>https://www.infraeletrocalhas.com.br/eletrocalhas.asp?produtos=Eletrocalha-Galvanizada</v>
      </c>
    </row>
    <row r="1228" spans="1:9" x14ac:dyDescent="0.25">
      <c r="A1228" s="29" t="s">
        <v>12</v>
      </c>
      <c r="B1228" s="29" t="s">
        <v>115</v>
      </c>
      <c r="C1228" s="29" t="s">
        <v>34</v>
      </c>
      <c r="D1228" s="37" t="s">
        <v>2288</v>
      </c>
      <c r="E1228" s="29" t="s">
        <v>798</v>
      </c>
      <c r="F1228" s="29" t="s">
        <v>36</v>
      </c>
      <c r="G1228" s="29">
        <v>39.5</v>
      </c>
      <c r="H1228" s="71" t="s">
        <v>793</v>
      </c>
      <c r="I1228" s="37" t="str">
        <f t="shared" si="12"/>
        <v>https://www.infraeletrocalhas.com.br/eletrocalhas.asp?produtos=Eletrocalha-Galvanizada</v>
      </c>
    </row>
    <row r="1229" spans="1:9" x14ac:dyDescent="0.25">
      <c r="A1229" s="29" t="s">
        <v>12</v>
      </c>
      <c r="B1229" s="29" t="s">
        <v>115</v>
      </c>
      <c r="C1229" s="29" t="s">
        <v>34</v>
      </c>
      <c r="D1229" s="37" t="s">
        <v>2289</v>
      </c>
      <c r="E1229" s="29" t="s">
        <v>798</v>
      </c>
      <c r="F1229" s="29" t="s">
        <v>36</v>
      </c>
      <c r="G1229" s="29">
        <v>42.5</v>
      </c>
      <c r="H1229" s="71" t="s">
        <v>793</v>
      </c>
      <c r="I1229" s="37" t="str">
        <f t="shared" si="12"/>
        <v>https://www.infraeletrocalhas.com.br/eletrocalhas.asp?produtos=Eletrocalha-Galvanizada</v>
      </c>
    </row>
    <row r="1230" spans="1:9" x14ac:dyDescent="0.25">
      <c r="A1230" s="29" t="s">
        <v>12</v>
      </c>
      <c r="B1230" s="29" t="s">
        <v>115</v>
      </c>
      <c r="C1230" s="29" t="s">
        <v>34</v>
      </c>
      <c r="D1230" s="37" t="s">
        <v>2290</v>
      </c>
      <c r="E1230" s="29" t="s">
        <v>798</v>
      </c>
      <c r="F1230" s="29" t="s">
        <v>36</v>
      </c>
      <c r="G1230" s="29">
        <v>39.5</v>
      </c>
      <c r="H1230" s="71" t="s">
        <v>793</v>
      </c>
      <c r="I1230" s="37" t="str">
        <f t="shared" si="12"/>
        <v>https://www.infraeletrocalhas.com.br/eletrocalhas.asp?produtos=Eletrocalha-Galvanizada</v>
      </c>
    </row>
    <row r="1231" spans="1:9" x14ac:dyDescent="0.25">
      <c r="A1231" s="29" t="s">
        <v>12</v>
      </c>
      <c r="B1231" s="29" t="s">
        <v>115</v>
      </c>
      <c r="C1231" s="29" t="s">
        <v>34</v>
      </c>
      <c r="D1231" s="37" t="s">
        <v>2291</v>
      </c>
      <c r="E1231" s="29" t="s">
        <v>798</v>
      </c>
      <c r="F1231" s="29" t="s">
        <v>36</v>
      </c>
      <c r="G1231" s="29">
        <v>59.95</v>
      </c>
      <c r="H1231" s="71" t="s">
        <v>793</v>
      </c>
      <c r="I1231" s="37" t="str">
        <f t="shared" si="12"/>
        <v>https://www.infraeletrocalhas.com.br/eletrocalhas.asp?produtos=Eletrocalha-Galvanizada</v>
      </c>
    </row>
    <row r="1232" spans="1:9" x14ac:dyDescent="0.25">
      <c r="A1232" s="29" t="s">
        <v>12</v>
      </c>
      <c r="B1232" s="29" t="s">
        <v>115</v>
      </c>
      <c r="C1232" s="29" t="s">
        <v>34</v>
      </c>
      <c r="D1232" s="37" t="s">
        <v>2292</v>
      </c>
      <c r="E1232" s="29" t="s">
        <v>798</v>
      </c>
      <c r="F1232" s="29" t="s">
        <v>36</v>
      </c>
      <c r="G1232" s="29">
        <v>49.95</v>
      </c>
      <c r="H1232" s="71" t="s">
        <v>793</v>
      </c>
      <c r="I1232" s="37" t="str">
        <f t="shared" si="12"/>
        <v>https://www.infraeletrocalhas.com.br/eletrocalhas.asp?produtos=Eletrocalha-Galvanizada</v>
      </c>
    </row>
    <row r="1233" spans="1:9" x14ac:dyDescent="0.25">
      <c r="A1233" s="29" t="s">
        <v>12</v>
      </c>
      <c r="B1233" s="29" t="s">
        <v>115</v>
      </c>
      <c r="C1233" s="29" t="s">
        <v>34</v>
      </c>
      <c r="D1233" s="37" t="s">
        <v>2293</v>
      </c>
      <c r="E1233" s="29" t="s">
        <v>798</v>
      </c>
      <c r="F1233" s="29" t="s">
        <v>36</v>
      </c>
      <c r="G1233" s="29">
        <v>99.95</v>
      </c>
      <c r="H1233" s="71" t="s">
        <v>793</v>
      </c>
      <c r="I1233" s="37" t="str">
        <f t="shared" si="12"/>
        <v>https://www.infraeletrocalhas.com.br/eletrocalhas.asp?produtos=Eletrocalha-Galvanizada</v>
      </c>
    </row>
    <row r="1234" spans="1:9" x14ac:dyDescent="0.25">
      <c r="A1234" s="29" t="s">
        <v>12</v>
      </c>
      <c r="B1234" s="29" t="s">
        <v>115</v>
      </c>
      <c r="C1234" s="29" t="s">
        <v>34</v>
      </c>
      <c r="D1234" s="37" t="s">
        <v>2294</v>
      </c>
      <c r="E1234" s="29" t="s">
        <v>798</v>
      </c>
      <c r="F1234" s="29" t="s">
        <v>36</v>
      </c>
      <c r="G1234" s="29">
        <v>69.95</v>
      </c>
      <c r="H1234" s="71" t="s">
        <v>793</v>
      </c>
      <c r="I1234" s="37" t="str">
        <f t="shared" si="12"/>
        <v>https://www.infraeletrocalhas.com.br/eletrocalhas.asp?produtos=Eletrocalha-Galvanizada</v>
      </c>
    </row>
    <row r="1235" spans="1:9" x14ac:dyDescent="0.25">
      <c r="A1235" s="29" t="s">
        <v>12</v>
      </c>
      <c r="B1235" s="29" t="s">
        <v>115</v>
      </c>
      <c r="C1235" s="29" t="s">
        <v>34</v>
      </c>
      <c r="D1235" s="37" t="s">
        <v>949</v>
      </c>
      <c r="E1235" s="29" t="s">
        <v>798</v>
      </c>
      <c r="F1235" s="29" t="s">
        <v>36</v>
      </c>
      <c r="G1235" s="29">
        <v>2.25</v>
      </c>
      <c r="H1235" s="71" t="s">
        <v>793</v>
      </c>
      <c r="I1235" s="37" t="str">
        <f t="shared" si="12"/>
        <v>https://www.infraeletrocalhas.com.br/eletrocalhas.asp?produtos=Eletrocalha-Galvanizada</v>
      </c>
    </row>
    <row r="1236" spans="1:9" x14ac:dyDescent="0.25">
      <c r="A1236" s="29" t="s">
        <v>12</v>
      </c>
      <c r="B1236" s="29" t="s">
        <v>115</v>
      </c>
      <c r="C1236" s="29" t="s">
        <v>34</v>
      </c>
      <c r="D1236" s="37" t="s">
        <v>950</v>
      </c>
      <c r="E1236" s="29" t="s">
        <v>798</v>
      </c>
      <c r="F1236" s="29" t="s">
        <v>36</v>
      </c>
      <c r="G1236" s="29">
        <v>3.95</v>
      </c>
      <c r="H1236" s="71" t="s">
        <v>793</v>
      </c>
      <c r="I1236" s="37" t="str">
        <f t="shared" si="12"/>
        <v>https://www.infraeletrocalhas.com.br/eletrocalhas.asp?produtos=Eletrocalha-Galvanizada</v>
      </c>
    </row>
    <row r="1237" spans="1:9" x14ac:dyDescent="0.25">
      <c r="A1237" s="29" t="s">
        <v>12</v>
      </c>
      <c r="B1237" s="29" t="s">
        <v>115</v>
      </c>
      <c r="C1237" s="29" t="s">
        <v>34</v>
      </c>
      <c r="D1237" s="37" t="s">
        <v>951</v>
      </c>
      <c r="E1237" s="29" t="s">
        <v>798</v>
      </c>
      <c r="F1237" s="29" t="s">
        <v>36</v>
      </c>
      <c r="G1237" s="29">
        <v>3.95</v>
      </c>
      <c r="H1237" s="71" t="s">
        <v>793</v>
      </c>
      <c r="I1237" s="37" t="str">
        <f t="shared" si="12"/>
        <v>https://www.infraeletrocalhas.com.br/eletrocalhas.asp?produtos=Eletrocalha-Galvanizada</v>
      </c>
    </row>
    <row r="1238" spans="1:9" x14ac:dyDescent="0.25">
      <c r="A1238" s="29" t="s">
        <v>12</v>
      </c>
      <c r="B1238" s="29" t="s">
        <v>115</v>
      </c>
      <c r="C1238" s="29" t="s">
        <v>34</v>
      </c>
      <c r="D1238" s="37" t="s">
        <v>952</v>
      </c>
      <c r="E1238" s="29" t="s">
        <v>798</v>
      </c>
      <c r="F1238" s="29" t="s">
        <v>36</v>
      </c>
      <c r="G1238" s="29">
        <v>2.25</v>
      </c>
      <c r="H1238" s="71" t="s">
        <v>793</v>
      </c>
      <c r="I1238" s="37" t="str">
        <f t="shared" si="12"/>
        <v>https://www.infraeletrocalhas.com.br/eletrocalhas.asp?produtos=Eletrocalha-Galvanizada</v>
      </c>
    </row>
    <row r="1239" spans="1:9" x14ac:dyDescent="0.25">
      <c r="A1239" s="29" t="s">
        <v>12</v>
      </c>
      <c r="B1239" s="29" t="s">
        <v>115</v>
      </c>
      <c r="C1239" s="29" t="s">
        <v>34</v>
      </c>
      <c r="D1239" s="37" t="s">
        <v>953</v>
      </c>
      <c r="E1239" s="29" t="s">
        <v>798</v>
      </c>
      <c r="F1239" s="29" t="s">
        <v>36</v>
      </c>
      <c r="G1239" s="29">
        <v>3.95</v>
      </c>
      <c r="H1239" s="71" t="s">
        <v>793</v>
      </c>
      <c r="I1239" s="37" t="str">
        <f t="shared" si="12"/>
        <v>https://www.infraeletrocalhas.com.br/eletrocalhas.asp?produtos=Eletrocalha-Galvanizada</v>
      </c>
    </row>
    <row r="1240" spans="1:9" x14ac:dyDescent="0.25">
      <c r="A1240" s="29" t="s">
        <v>12</v>
      </c>
      <c r="B1240" s="29" t="s">
        <v>115</v>
      </c>
      <c r="C1240" s="29" t="s">
        <v>34</v>
      </c>
      <c r="D1240" s="37" t="s">
        <v>954</v>
      </c>
      <c r="E1240" s="29" t="s">
        <v>798</v>
      </c>
      <c r="F1240" s="29" t="s">
        <v>36</v>
      </c>
      <c r="G1240" s="29">
        <v>2.25</v>
      </c>
      <c r="H1240" s="71" t="s">
        <v>793</v>
      </c>
      <c r="I1240" s="37" t="str">
        <f t="shared" si="12"/>
        <v>https://www.infraeletrocalhas.com.br/eletrocalhas.asp?produtos=Eletrocalha-Galvanizada</v>
      </c>
    </row>
    <row r="1241" spans="1:9" x14ac:dyDescent="0.25">
      <c r="A1241" s="29" t="s">
        <v>12</v>
      </c>
      <c r="B1241" s="29" t="s">
        <v>115</v>
      </c>
      <c r="C1241" s="29" t="s">
        <v>34</v>
      </c>
      <c r="D1241" s="37" t="s">
        <v>1568</v>
      </c>
      <c r="E1241" s="29" t="s">
        <v>792</v>
      </c>
      <c r="F1241" s="29" t="s">
        <v>36</v>
      </c>
      <c r="G1241" s="29">
        <v>2.2400000000000002</v>
      </c>
      <c r="H1241" s="71" t="s">
        <v>793</v>
      </c>
      <c r="I1241" s="37" t="str">
        <f>"https://www.marmota.com.br/saida-horizontal-de-eletrocalha-para-eletroduto-1-perfilex-p49504"</f>
        <v>https://www.marmota.com.br/saida-horizontal-de-eletrocalha-para-eletroduto-1-perfilex-p49504</v>
      </c>
    </row>
    <row r="1242" spans="1:9" x14ac:dyDescent="0.25">
      <c r="A1242" s="29" t="s">
        <v>12</v>
      </c>
      <c r="B1242" s="29" t="s">
        <v>115</v>
      </c>
      <c r="C1242" s="29" t="s">
        <v>34</v>
      </c>
      <c r="D1242" s="37" t="s">
        <v>1569</v>
      </c>
      <c r="E1242" s="29" t="s">
        <v>792</v>
      </c>
      <c r="F1242" s="29" t="s">
        <v>36</v>
      </c>
      <c r="G1242" s="29">
        <v>2.7</v>
      </c>
      <c r="H1242" s="71" t="s">
        <v>793</v>
      </c>
      <c r="I1242" s="37" t="str">
        <f>"https://www.marmota.com.br/saida-horizontal-de-eletrocalha-para-eletroduto-1-1-2-perfilex-p50916?pp=/182.1443/"</f>
        <v>https://www.marmota.com.br/saida-horizontal-de-eletrocalha-para-eletroduto-1-1-2-perfilex-p50916?pp=/182.1443/</v>
      </c>
    </row>
    <row r="1243" spans="1:9" x14ac:dyDescent="0.25">
      <c r="A1243" s="29" t="s">
        <v>12</v>
      </c>
      <c r="B1243" s="29" t="s">
        <v>115</v>
      </c>
      <c r="C1243" s="29" t="s">
        <v>34</v>
      </c>
      <c r="D1243" s="37" t="s">
        <v>1570</v>
      </c>
      <c r="E1243" s="29" t="s">
        <v>792</v>
      </c>
      <c r="F1243" s="29" t="s">
        <v>36</v>
      </c>
      <c r="G1243" s="29">
        <v>2.7</v>
      </c>
      <c r="H1243" s="71" t="s">
        <v>793</v>
      </c>
      <c r="I1243" s="37" t="str">
        <f>"https://www.marmota.com.br/saida-horizontal-de-eletrocalha-para-eletroduto-1-1-4-perfilex-p51519?pp=/182.1443/"</f>
        <v>https://www.marmota.com.br/saida-horizontal-de-eletrocalha-para-eletroduto-1-1-4-perfilex-p51519?pp=/182.1443/</v>
      </c>
    </row>
    <row r="1244" spans="1:9" x14ac:dyDescent="0.25">
      <c r="A1244" s="29" t="s">
        <v>12</v>
      </c>
      <c r="B1244" s="29" t="s">
        <v>115</v>
      </c>
      <c r="C1244" s="29" t="s">
        <v>34</v>
      </c>
      <c r="D1244" s="37" t="s">
        <v>1571</v>
      </c>
      <c r="E1244" s="29" t="s">
        <v>792</v>
      </c>
      <c r="F1244" s="29" t="s">
        <v>36</v>
      </c>
      <c r="G1244" s="29">
        <v>2.7</v>
      </c>
      <c r="H1244" s="71" t="s">
        <v>793</v>
      </c>
      <c r="I1244" s="37" t="str">
        <f>"https://www.marmota.com.br/saida-horizontal-de-eletrocalha-para-eletroduto-2-perfilex-p52252?pp=/182.1443/"</f>
        <v>https://www.marmota.com.br/saida-horizontal-de-eletrocalha-para-eletroduto-2-perfilex-p52252?pp=/182.1443/</v>
      </c>
    </row>
    <row r="1245" spans="1:9" x14ac:dyDescent="0.25">
      <c r="A1245" s="29" t="s">
        <v>12</v>
      </c>
      <c r="B1245" s="29" t="s">
        <v>115</v>
      </c>
      <c r="C1245" s="29" t="s">
        <v>34</v>
      </c>
      <c r="D1245" s="37" t="s">
        <v>1572</v>
      </c>
      <c r="E1245" s="29" t="s">
        <v>792</v>
      </c>
      <c r="F1245" s="29" t="s">
        <v>36</v>
      </c>
      <c r="G1245" s="29">
        <v>2.2400000000000002</v>
      </c>
      <c r="H1245" s="71" t="s">
        <v>793</v>
      </c>
      <c r="I1245" s="37" t="str">
        <f>"https://www.marmota.com.br/saida-horizontal-de-eletrocalha-para-eletroduto-3-4-perfilex-p51005?pp=/182.1443/"</f>
        <v>https://www.marmota.com.br/saida-horizontal-de-eletrocalha-para-eletroduto-3-4-perfilex-p51005?pp=/182.1443/</v>
      </c>
    </row>
    <row r="1246" spans="1:9" x14ac:dyDescent="0.25">
      <c r="A1246" s="29" t="s">
        <v>12</v>
      </c>
      <c r="B1246" s="29" t="s">
        <v>115</v>
      </c>
      <c r="C1246" s="29" t="s">
        <v>34</v>
      </c>
      <c r="D1246" s="37" t="s">
        <v>1281</v>
      </c>
      <c r="E1246" s="29" t="s">
        <v>798</v>
      </c>
      <c r="F1246" s="29" t="s">
        <v>36</v>
      </c>
      <c r="G1246" s="29">
        <v>39.950000000000003</v>
      </c>
      <c r="H1246" s="71" t="s">
        <v>793</v>
      </c>
      <c r="I1246" s="37" t="str">
        <f t="shared" ref="I1246:I1258" si="13">"https://www.infraeletrocalhas.com.br/eletrocalhas.asp?produtos=Eletrocalha-Galvanizada"</f>
        <v>https://www.infraeletrocalhas.com.br/eletrocalhas.asp?produtos=Eletrocalha-Galvanizada</v>
      </c>
    </row>
    <row r="1247" spans="1:9" x14ac:dyDescent="0.25">
      <c r="A1247" s="29" t="s">
        <v>12</v>
      </c>
      <c r="B1247" s="29" t="s">
        <v>115</v>
      </c>
      <c r="C1247" s="29" t="s">
        <v>34</v>
      </c>
      <c r="D1247" s="37" t="s">
        <v>1282</v>
      </c>
      <c r="E1247" s="29" t="s">
        <v>798</v>
      </c>
      <c r="F1247" s="29" t="s">
        <v>36</v>
      </c>
      <c r="G1247" s="29">
        <v>29.95</v>
      </c>
      <c r="H1247" s="71" t="s">
        <v>793</v>
      </c>
      <c r="I1247" s="37" t="str">
        <f t="shared" si="13"/>
        <v>https://www.infraeletrocalhas.com.br/eletrocalhas.asp?produtos=Eletrocalha-Galvanizada</v>
      </c>
    </row>
    <row r="1248" spans="1:9" x14ac:dyDescent="0.25">
      <c r="A1248" s="29" t="s">
        <v>12</v>
      </c>
      <c r="B1248" s="29" t="s">
        <v>115</v>
      </c>
      <c r="C1248" s="29" t="s">
        <v>34</v>
      </c>
      <c r="D1248" s="37" t="s">
        <v>3115</v>
      </c>
      <c r="E1248" s="29" t="s">
        <v>828</v>
      </c>
      <c r="F1248" s="29" t="s">
        <v>36</v>
      </c>
      <c r="G1248" s="29">
        <v>6.25</v>
      </c>
      <c r="H1248" s="71" t="s">
        <v>793</v>
      </c>
      <c r="I1248" s="37" t="str">
        <f t="shared" si="13"/>
        <v>https://www.infraeletrocalhas.com.br/eletrocalhas.asp?produtos=Eletrocalha-Galvanizada</v>
      </c>
    </row>
    <row r="1249" spans="1:9" x14ac:dyDescent="0.25">
      <c r="A1249" s="29" t="s">
        <v>12</v>
      </c>
      <c r="B1249" s="29" t="s">
        <v>115</v>
      </c>
      <c r="C1249" s="29" t="s">
        <v>34</v>
      </c>
      <c r="D1249" s="37" t="s">
        <v>3116</v>
      </c>
      <c r="E1249" s="29" t="s">
        <v>828</v>
      </c>
      <c r="F1249" s="29" t="s">
        <v>36</v>
      </c>
      <c r="G1249" s="29">
        <v>6</v>
      </c>
      <c r="H1249" s="71" t="s">
        <v>793</v>
      </c>
      <c r="I1249" s="37" t="str">
        <f t="shared" si="13"/>
        <v>https://www.infraeletrocalhas.com.br/eletrocalhas.asp?produtos=Eletrocalha-Galvanizada</v>
      </c>
    </row>
    <row r="1250" spans="1:9" x14ac:dyDescent="0.25">
      <c r="A1250" s="29" t="s">
        <v>12</v>
      </c>
      <c r="B1250" s="29" t="s">
        <v>115</v>
      </c>
      <c r="C1250" s="29" t="s">
        <v>34</v>
      </c>
      <c r="D1250" s="37" t="s">
        <v>3117</v>
      </c>
      <c r="E1250" s="29" t="s">
        <v>828</v>
      </c>
      <c r="F1250" s="29" t="s">
        <v>36</v>
      </c>
      <c r="G1250" s="29">
        <v>7.5</v>
      </c>
      <c r="H1250" s="71" t="s">
        <v>793</v>
      </c>
      <c r="I1250" s="37" t="str">
        <f t="shared" si="13"/>
        <v>https://www.infraeletrocalhas.com.br/eletrocalhas.asp?produtos=Eletrocalha-Galvanizada</v>
      </c>
    </row>
    <row r="1251" spans="1:9" x14ac:dyDescent="0.25">
      <c r="A1251" s="29" t="s">
        <v>12</v>
      </c>
      <c r="B1251" s="29" t="s">
        <v>115</v>
      </c>
      <c r="C1251" s="29" t="s">
        <v>34</v>
      </c>
      <c r="D1251" s="37" t="s">
        <v>3118</v>
      </c>
      <c r="E1251" s="29" t="s">
        <v>828</v>
      </c>
      <c r="F1251" s="29" t="s">
        <v>36</v>
      </c>
      <c r="G1251" s="29">
        <v>6.95</v>
      </c>
      <c r="H1251" s="71" t="s">
        <v>793</v>
      </c>
      <c r="I1251" s="37" t="str">
        <f t="shared" si="13"/>
        <v>https://www.infraeletrocalhas.com.br/eletrocalhas.asp?produtos=Eletrocalha-Galvanizada</v>
      </c>
    </row>
    <row r="1252" spans="1:9" x14ac:dyDescent="0.25">
      <c r="A1252" s="29" t="s">
        <v>12</v>
      </c>
      <c r="B1252" s="29" t="s">
        <v>115</v>
      </c>
      <c r="C1252" s="29" t="s">
        <v>34</v>
      </c>
      <c r="D1252" s="37" t="s">
        <v>3119</v>
      </c>
      <c r="E1252" s="29" t="s">
        <v>828</v>
      </c>
      <c r="F1252" s="29" t="s">
        <v>36</v>
      </c>
      <c r="G1252" s="29">
        <v>9</v>
      </c>
      <c r="H1252" s="71" t="s">
        <v>793</v>
      </c>
      <c r="I1252" s="37" t="str">
        <f t="shared" si="13"/>
        <v>https://www.infraeletrocalhas.com.br/eletrocalhas.asp?produtos=Eletrocalha-Galvanizada</v>
      </c>
    </row>
    <row r="1253" spans="1:9" x14ac:dyDescent="0.25">
      <c r="A1253" s="29" t="s">
        <v>12</v>
      </c>
      <c r="B1253" s="29" t="s">
        <v>115</v>
      </c>
      <c r="C1253" s="29" t="s">
        <v>34</v>
      </c>
      <c r="D1253" s="37" t="s">
        <v>3120</v>
      </c>
      <c r="E1253" s="29" t="s">
        <v>828</v>
      </c>
      <c r="F1253" s="29" t="s">
        <v>36</v>
      </c>
      <c r="G1253" s="29">
        <v>7.5</v>
      </c>
      <c r="H1253" s="71" t="s">
        <v>793</v>
      </c>
      <c r="I1253" s="37" t="str">
        <f t="shared" si="13"/>
        <v>https://www.infraeletrocalhas.com.br/eletrocalhas.asp?produtos=Eletrocalha-Galvanizada</v>
      </c>
    </row>
    <row r="1254" spans="1:9" x14ac:dyDescent="0.25">
      <c r="A1254" s="29" t="s">
        <v>12</v>
      </c>
      <c r="B1254" s="29" t="s">
        <v>115</v>
      </c>
      <c r="C1254" s="29" t="s">
        <v>34</v>
      </c>
      <c r="D1254" s="37" t="s">
        <v>3121</v>
      </c>
      <c r="E1254" s="29" t="s">
        <v>828</v>
      </c>
      <c r="F1254" s="29" t="s">
        <v>36</v>
      </c>
      <c r="G1254" s="29">
        <v>10.9</v>
      </c>
      <c r="H1254" s="71" t="s">
        <v>793</v>
      </c>
      <c r="I1254" s="37" t="str">
        <f t="shared" si="13"/>
        <v>https://www.infraeletrocalhas.com.br/eletrocalhas.asp?produtos=Eletrocalha-Galvanizada</v>
      </c>
    </row>
    <row r="1255" spans="1:9" x14ac:dyDescent="0.25">
      <c r="A1255" s="29" t="s">
        <v>12</v>
      </c>
      <c r="B1255" s="29" t="s">
        <v>115</v>
      </c>
      <c r="C1255" s="29" t="s">
        <v>34</v>
      </c>
      <c r="D1255" s="37" t="s">
        <v>3122</v>
      </c>
      <c r="E1255" s="29" t="s">
        <v>828</v>
      </c>
      <c r="F1255" s="29" t="s">
        <v>36</v>
      </c>
      <c r="G1255" s="29">
        <v>9</v>
      </c>
      <c r="H1255" s="71" t="s">
        <v>793</v>
      </c>
      <c r="I1255" s="37" t="str">
        <f t="shared" si="13"/>
        <v>https://www.infraeletrocalhas.com.br/eletrocalhas.asp?produtos=Eletrocalha-Galvanizada</v>
      </c>
    </row>
    <row r="1256" spans="1:9" x14ac:dyDescent="0.25">
      <c r="A1256" s="29" t="s">
        <v>12</v>
      </c>
      <c r="B1256" s="29" t="s">
        <v>115</v>
      </c>
      <c r="C1256" s="29" t="s">
        <v>34</v>
      </c>
      <c r="D1256" s="37" t="s">
        <v>3123</v>
      </c>
      <c r="E1256" s="29" t="s">
        <v>828</v>
      </c>
      <c r="F1256" s="29" t="s">
        <v>36</v>
      </c>
      <c r="G1256" s="29">
        <v>14.9</v>
      </c>
      <c r="H1256" s="71" t="s">
        <v>793</v>
      </c>
      <c r="I1256" s="37" t="str">
        <f t="shared" si="13"/>
        <v>https://www.infraeletrocalhas.com.br/eletrocalhas.asp?produtos=Eletrocalha-Galvanizada</v>
      </c>
    </row>
    <row r="1257" spans="1:9" x14ac:dyDescent="0.25">
      <c r="A1257" s="29" t="s">
        <v>12</v>
      </c>
      <c r="B1257" s="29" t="s">
        <v>115</v>
      </c>
      <c r="C1257" s="29" t="s">
        <v>34</v>
      </c>
      <c r="D1257" s="37" t="s">
        <v>3124</v>
      </c>
      <c r="E1257" s="29" t="s">
        <v>828</v>
      </c>
      <c r="F1257" s="29" t="s">
        <v>36</v>
      </c>
      <c r="G1257" s="29">
        <v>10.9</v>
      </c>
      <c r="H1257" s="71" t="s">
        <v>793</v>
      </c>
      <c r="I1257" s="37" t="str">
        <f t="shared" si="13"/>
        <v>https://www.infraeletrocalhas.com.br/eletrocalhas.asp?produtos=Eletrocalha-Galvanizada</v>
      </c>
    </row>
    <row r="1258" spans="1:9" x14ac:dyDescent="0.25">
      <c r="A1258" s="29" t="s">
        <v>12</v>
      </c>
      <c r="B1258" s="29" t="s">
        <v>115</v>
      </c>
      <c r="C1258" s="29" t="s">
        <v>34</v>
      </c>
      <c r="D1258" s="37" t="s">
        <v>3125</v>
      </c>
      <c r="E1258" s="29" t="s">
        <v>828</v>
      </c>
      <c r="F1258" s="29" t="s">
        <v>36</v>
      </c>
      <c r="G1258" s="29">
        <v>4.5</v>
      </c>
      <c r="H1258" s="71" t="s">
        <v>793</v>
      </c>
      <c r="I1258" s="37" t="str">
        <f t="shared" si="13"/>
        <v>https://www.infraeletrocalhas.com.br/eletrocalhas.asp?produtos=Eletrocalha-Galvanizada</v>
      </c>
    </row>
    <row r="1259" spans="1:9" x14ac:dyDescent="0.25">
      <c r="A1259" s="29" t="s">
        <v>12</v>
      </c>
      <c r="B1259" s="29" t="s">
        <v>115</v>
      </c>
      <c r="C1259" s="29" t="s">
        <v>34</v>
      </c>
      <c r="D1259" s="37" t="s">
        <v>1283</v>
      </c>
      <c r="E1259" s="29" t="s">
        <v>792</v>
      </c>
      <c r="F1259" s="29" t="s">
        <v>36</v>
      </c>
      <c r="G1259" s="29">
        <v>4.63</v>
      </c>
      <c r="H1259" s="71" t="s">
        <v>793</v>
      </c>
      <c r="I1259" s="37" t="str">
        <f>"https://www.marmota.com.br/gancho-suspenso-horizontal-para-eletrocalha-100x50mm-perfilex-p51118?pp=/182.1443/"</f>
        <v>https://www.marmota.com.br/gancho-suspenso-horizontal-para-eletrocalha-100x50mm-perfilex-p51118?pp=/182.1443/</v>
      </c>
    </row>
    <row r="1260" spans="1:9" x14ac:dyDescent="0.25">
      <c r="A1260" s="29" t="s">
        <v>12</v>
      </c>
      <c r="B1260" s="29" t="s">
        <v>115</v>
      </c>
      <c r="C1260" s="29" t="s">
        <v>34</v>
      </c>
      <c r="D1260" s="37" t="s">
        <v>1284</v>
      </c>
      <c r="E1260" s="29" t="s">
        <v>792</v>
      </c>
      <c r="F1260" s="29" t="s">
        <v>36</v>
      </c>
      <c r="G1260" s="29">
        <v>7.99</v>
      </c>
      <c r="H1260" s="71" t="s">
        <v>793</v>
      </c>
      <c r="I1260" s="37" t="str">
        <f>"https://www.marmota.com.br/gancho-suspenso-horizontal-para-eletrocalha-150x100mm-perfilex-p52382?pp=/182.1443/"</f>
        <v>https://www.marmota.com.br/gancho-suspenso-horizontal-para-eletrocalha-150x100mm-perfilex-p52382?pp=/182.1443/</v>
      </c>
    </row>
    <row r="1261" spans="1:9" x14ac:dyDescent="0.25">
      <c r="A1261" s="29" t="s">
        <v>12</v>
      </c>
      <c r="B1261" s="29" t="s">
        <v>115</v>
      </c>
      <c r="C1261" s="29" t="s">
        <v>34</v>
      </c>
      <c r="D1261" s="37" t="s">
        <v>1285</v>
      </c>
      <c r="E1261" s="29" t="s">
        <v>792</v>
      </c>
      <c r="F1261" s="29" t="s">
        <v>36</v>
      </c>
      <c r="G1261" s="29">
        <v>6.89</v>
      </c>
      <c r="H1261" s="71" t="s">
        <v>793</v>
      </c>
      <c r="I1261" s="37" t="str">
        <f>"https://www.marmota.com.br/gancho-suspenso-horizontal-para-eletrocalha-150x50mm-perfilex-p49351?pp=/182.1443/"</f>
        <v>https://www.marmota.com.br/gancho-suspenso-horizontal-para-eletrocalha-150x50mm-perfilex-p49351?pp=/182.1443/</v>
      </c>
    </row>
    <row r="1262" spans="1:9" x14ac:dyDescent="0.25">
      <c r="A1262" s="29" t="s">
        <v>12</v>
      </c>
      <c r="B1262" s="29" t="s">
        <v>115</v>
      </c>
      <c r="C1262" s="29" t="s">
        <v>34</v>
      </c>
      <c r="D1262" s="37" t="s">
        <v>1286</v>
      </c>
      <c r="E1262" s="29" t="s">
        <v>792</v>
      </c>
      <c r="F1262" s="29" t="s">
        <v>36</v>
      </c>
      <c r="G1262" s="29">
        <v>9.18</v>
      </c>
      <c r="H1262" s="71" t="s">
        <v>793</v>
      </c>
      <c r="I1262" s="37" t="str">
        <f>"https://www.marmota.com.br/gancho-suspenso-horizontal-para-eletrocalha-200x100mm-perfilex-p51628?pp=/182.1443/"</f>
        <v>https://www.marmota.com.br/gancho-suspenso-horizontal-para-eletrocalha-200x100mm-perfilex-p51628?pp=/182.1443/</v>
      </c>
    </row>
    <row r="1263" spans="1:9" x14ac:dyDescent="0.25">
      <c r="A1263" s="29" t="s">
        <v>12</v>
      </c>
      <c r="B1263" s="29" t="s">
        <v>115</v>
      </c>
      <c r="C1263" s="29" t="s">
        <v>34</v>
      </c>
      <c r="D1263" s="37" t="s">
        <v>1287</v>
      </c>
      <c r="E1263" s="29" t="s">
        <v>792</v>
      </c>
      <c r="F1263" s="29" t="s">
        <v>36</v>
      </c>
      <c r="G1263" s="29">
        <v>7.99</v>
      </c>
      <c r="H1263" s="71" t="s">
        <v>793</v>
      </c>
      <c r="I1263" s="37" t="str">
        <f>"https://www.marmota.com.br/gancho-suspenso-horizontal-para-eletrocalha-200x50mm-perfilex-p50308?pp=/182.1443/"</f>
        <v>https://www.marmota.com.br/gancho-suspenso-horizontal-para-eletrocalha-200x50mm-perfilex-p50308?pp=/182.1443/</v>
      </c>
    </row>
    <row r="1264" spans="1:9" x14ac:dyDescent="0.25">
      <c r="A1264" s="29" t="s">
        <v>12</v>
      </c>
      <c r="B1264" s="29" t="s">
        <v>115</v>
      </c>
      <c r="C1264" s="29" t="s">
        <v>34</v>
      </c>
      <c r="D1264" s="37" t="s">
        <v>1288</v>
      </c>
      <c r="E1264" s="29" t="s">
        <v>792</v>
      </c>
      <c r="F1264" s="29" t="s">
        <v>36</v>
      </c>
      <c r="G1264" s="29">
        <v>3.42</v>
      </c>
      <c r="H1264" s="71" t="s">
        <v>793</v>
      </c>
      <c r="I1264" s="37" t="str">
        <f>"https://www.marmota.com.br/gancho-suspenso-horizontal-para-eletrocalha-50x50mm-perfilex-p49697?pp=/182.1443/"</f>
        <v>https://www.marmota.com.br/gancho-suspenso-horizontal-para-eletrocalha-50x50mm-perfilex-p49697?pp=/182.1443/</v>
      </c>
    </row>
    <row r="1265" spans="1:9" x14ac:dyDescent="0.25">
      <c r="A1265" s="29" t="s">
        <v>12</v>
      </c>
      <c r="B1265" s="29" t="s">
        <v>115</v>
      </c>
      <c r="C1265" s="29" t="s">
        <v>34</v>
      </c>
      <c r="D1265" s="37" t="s">
        <v>1289</v>
      </c>
      <c r="E1265" s="29" t="s">
        <v>798</v>
      </c>
      <c r="F1265" s="29" t="s">
        <v>36</v>
      </c>
      <c r="G1265" s="29">
        <v>5.95</v>
      </c>
      <c r="H1265" s="71" t="s">
        <v>793</v>
      </c>
      <c r="I1265" s="37" t="str">
        <f t="shared" ref="I1265:I1275" si="14">"https://www.infraeletrocalhas.com.br/eletrocalhas.asp?produtos=Eletrocalha-Galvanizada"</f>
        <v>https://www.infraeletrocalhas.com.br/eletrocalhas.asp?produtos=Eletrocalha-Galvanizada</v>
      </c>
    </row>
    <row r="1266" spans="1:9" x14ac:dyDescent="0.25">
      <c r="A1266" s="29" t="s">
        <v>12</v>
      </c>
      <c r="B1266" s="29" t="s">
        <v>115</v>
      </c>
      <c r="C1266" s="29" t="s">
        <v>34</v>
      </c>
      <c r="D1266" s="37" t="s">
        <v>1290</v>
      </c>
      <c r="E1266" s="29" t="s">
        <v>798</v>
      </c>
      <c r="F1266" s="29" t="s">
        <v>36</v>
      </c>
      <c r="G1266" s="29">
        <v>3.9</v>
      </c>
      <c r="H1266" s="71" t="s">
        <v>793</v>
      </c>
      <c r="I1266" s="37" t="str">
        <f t="shared" si="14"/>
        <v>https://www.infraeletrocalhas.com.br/eletrocalhas.asp?produtos=Eletrocalha-Galvanizada</v>
      </c>
    </row>
    <row r="1267" spans="1:9" x14ac:dyDescent="0.25">
      <c r="A1267" s="29" t="s">
        <v>12</v>
      </c>
      <c r="B1267" s="29" t="s">
        <v>115</v>
      </c>
      <c r="C1267" s="29" t="s">
        <v>34</v>
      </c>
      <c r="D1267" s="37" t="s">
        <v>1291</v>
      </c>
      <c r="E1267" s="29" t="s">
        <v>798</v>
      </c>
      <c r="F1267" s="29" t="s">
        <v>36</v>
      </c>
      <c r="G1267" s="29">
        <v>6.9</v>
      </c>
      <c r="H1267" s="71" t="s">
        <v>793</v>
      </c>
      <c r="I1267" s="37" t="str">
        <f t="shared" si="14"/>
        <v>https://www.infraeletrocalhas.com.br/eletrocalhas.asp?produtos=Eletrocalha-Galvanizada</v>
      </c>
    </row>
    <row r="1268" spans="1:9" x14ac:dyDescent="0.25">
      <c r="A1268" s="29" t="s">
        <v>12</v>
      </c>
      <c r="B1268" s="29" t="s">
        <v>115</v>
      </c>
      <c r="C1268" s="29" t="s">
        <v>34</v>
      </c>
      <c r="D1268" s="37" t="s">
        <v>1292</v>
      </c>
      <c r="E1268" s="29" t="s">
        <v>798</v>
      </c>
      <c r="F1268" s="29" t="s">
        <v>36</v>
      </c>
      <c r="G1268" s="29">
        <v>5.95</v>
      </c>
      <c r="H1268" s="71" t="s">
        <v>793</v>
      </c>
      <c r="I1268" s="37" t="str">
        <f t="shared" si="14"/>
        <v>https://www.infraeletrocalhas.com.br/eletrocalhas.asp?produtos=Eletrocalha-Galvanizada</v>
      </c>
    </row>
    <row r="1269" spans="1:9" x14ac:dyDescent="0.25">
      <c r="A1269" s="29" t="s">
        <v>12</v>
      </c>
      <c r="B1269" s="29" t="s">
        <v>115</v>
      </c>
      <c r="C1269" s="29" t="s">
        <v>34</v>
      </c>
      <c r="D1269" s="37" t="s">
        <v>1293</v>
      </c>
      <c r="E1269" s="29" t="s">
        <v>798</v>
      </c>
      <c r="F1269" s="29" t="s">
        <v>36</v>
      </c>
      <c r="G1269" s="29">
        <v>8.8000000000000007</v>
      </c>
      <c r="H1269" s="71" t="s">
        <v>793</v>
      </c>
      <c r="I1269" s="37" t="str">
        <f t="shared" si="14"/>
        <v>https://www.infraeletrocalhas.com.br/eletrocalhas.asp?produtos=Eletrocalha-Galvanizada</v>
      </c>
    </row>
    <row r="1270" spans="1:9" x14ac:dyDescent="0.25">
      <c r="A1270" s="29" t="s">
        <v>12</v>
      </c>
      <c r="B1270" s="29" t="s">
        <v>115</v>
      </c>
      <c r="C1270" s="29" t="s">
        <v>34</v>
      </c>
      <c r="D1270" s="37" t="s">
        <v>1294</v>
      </c>
      <c r="E1270" s="29" t="s">
        <v>798</v>
      </c>
      <c r="F1270" s="29" t="s">
        <v>36</v>
      </c>
      <c r="G1270" s="29">
        <v>6.9</v>
      </c>
      <c r="H1270" s="71" t="s">
        <v>793</v>
      </c>
      <c r="I1270" s="37" t="str">
        <f t="shared" si="14"/>
        <v>https://www.infraeletrocalhas.com.br/eletrocalhas.asp?produtos=Eletrocalha-Galvanizada</v>
      </c>
    </row>
    <row r="1271" spans="1:9" x14ac:dyDescent="0.25">
      <c r="A1271" s="29" t="s">
        <v>12</v>
      </c>
      <c r="B1271" s="29" t="s">
        <v>115</v>
      </c>
      <c r="C1271" s="29" t="s">
        <v>34</v>
      </c>
      <c r="D1271" s="37" t="s">
        <v>1295</v>
      </c>
      <c r="E1271" s="29" t="s">
        <v>798</v>
      </c>
      <c r="F1271" s="29" t="s">
        <v>36</v>
      </c>
      <c r="G1271" s="29">
        <v>10.95</v>
      </c>
      <c r="H1271" s="71" t="s">
        <v>793</v>
      </c>
      <c r="I1271" s="37" t="str">
        <f t="shared" si="14"/>
        <v>https://www.infraeletrocalhas.com.br/eletrocalhas.asp?produtos=Eletrocalha-Galvanizada</v>
      </c>
    </row>
    <row r="1272" spans="1:9" x14ac:dyDescent="0.25">
      <c r="A1272" s="29" t="s">
        <v>12</v>
      </c>
      <c r="B1272" s="29" t="s">
        <v>115</v>
      </c>
      <c r="C1272" s="29" t="s">
        <v>34</v>
      </c>
      <c r="D1272" s="37" t="s">
        <v>1296</v>
      </c>
      <c r="E1272" s="29" t="s">
        <v>798</v>
      </c>
      <c r="F1272" s="29" t="s">
        <v>36</v>
      </c>
      <c r="G1272" s="29">
        <v>10.95</v>
      </c>
      <c r="H1272" s="71" t="s">
        <v>793</v>
      </c>
      <c r="I1272" s="37" t="str">
        <f t="shared" si="14"/>
        <v>https://www.infraeletrocalhas.com.br/eletrocalhas.asp?produtos=Eletrocalha-Galvanizada</v>
      </c>
    </row>
    <row r="1273" spans="1:9" x14ac:dyDescent="0.25">
      <c r="A1273" s="29" t="s">
        <v>12</v>
      </c>
      <c r="B1273" s="29" t="s">
        <v>115</v>
      </c>
      <c r="C1273" s="29" t="s">
        <v>34</v>
      </c>
      <c r="D1273" s="37" t="s">
        <v>1297</v>
      </c>
      <c r="E1273" s="29" t="s">
        <v>798</v>
      </c>
      <c r="F1273" s="29" t="s">
        <v>36</v>
      </c>
      <c r="G1273" s="29">
        <v>15</v>
      </c>
      <c r="H1273" s="71" t="s">
        <v>793</v>
      </c>
      <c r="I1273" s="37" t="str">
        <f t="shared" si="14"/>
        <v>https://www.infraeletrocalhas.com.br/eletrocalhas.asp?produtos=Eletrocalha-Galvanizada</v>
      </c>
    </row>
    <row r="1274" spans="1:9" x14ac:dyDescent="0.25">
      <c r="A1274" s="29" t="s">
        <v>12</v>
      </c>
      <c r="B1274" s="29" t="s">
        <v>115</v>
      </c>
      <c r="C1274" s="29" t="s">
        <v>34</v>
      </c>
      <c r="D1274" s="37" t="s">
        <v>1298</v>
      </c>
      <c r="E1274" s="29" t="s">
        <v>798</v>
      </c>
      <c r="F1274" s="29" t="s">
        <v>36</v>
      </c>
      <c r="G1274" s="29">
        <v>12.5</v>
      </c>
      <c r="H1274" s="71" t="s">
        <v>793</v>
      </c>
      <c r="I1274" s="37" t="str">
        <f t="shared" si="14"/>
        <v>https://www.infraeletrocalhas.com.br/eletrocalhas.asp?produtos=Eletrocalha-Galvanizada</v>
      </c>
    </row>
    <row r="1275" spans="1:9" x14ac:dyDescent="0.25">
      <c r="A1275" s="29" t="s">
        <v>12</v>
      </c>
      <c r="B1275" s="29" t="s">
        <v>115</v>
      </c>
      <c r="C1275" s="29" t="s">
        <v>34</v>
      </c>
      <c r="D1275" s="37" t="s">
        <v>1299</v>
      </c>
      <c r="E1275" s="29" t="s">
        <v>798</v>
      </c>
      <c r="F1275" s="29" t="s">
        <v>36</v>
      </c>
      <c r="G1275" s="29">
        <v>2.8</v>
      </c>
      <c r="H1275" s="71" t="s">
        <v>793</v>
      </c>
      <c r="I1275" s="37" t="str">
        <f t="shared" si="14"/>
        <v>https://www.infraeletrocalhas.com.br/eletrocalhas.asp?produtos=Eletrocalha-Galvanizada</v>
      </c>
    </row>
    <row r="1276" spans="1:9" x14ac:dyDescent="0.25">
      <c r="A1276" s="29" t="s">
        <v>12</v>
      </c>
      <c r="B1276" s="29" t="s">
        <v>115</v>
      </c>
      <c r="C1276" s="29" t="s">
        <v>34</v>
      </c>
      <c r="D1276" s="37" t="s">
        <v>1300</v>
      </c>
      <c r="E1276" s="29" t="s">
        <v>796</v>
      </c>
      <c r="F1276" s="29" t="s">
        <v>36</v>
      </c>
      <c r="G1276" s="29">
        <v>6.56</v>
      </c>
      <c r="H1276" s="71" t="s">
        <v>793</v>
      </c>
      <c r="I1276" s="37" t="str">
        <f>"https://www.eletrotrafo.com.br/eletrocalha-galv-suporte-vert--150x50-balanco-70014002/p?skuId=18350; https://www.marmota.com.br/gancho-suspenso-vertical-para-eletrocalha-100x100mm-perfilex-p51193?pp=/182.1443/"</f>
        <v>https://www.eletrotrafo.com.br/eletrocalha-galv-suporte-vert--150x50-balanco-70014002/p?skuId=18350; https://www.marmota.com.br/gancho-suspenso-vertical-para-eletrocalha-100x100mm-perfilex-p51193?pp=/182.1443/</v>
      </c>
    </row>
    <row r="1277" spans="1:9" x14ac:dyDescent="0.25">
      <c r="A1277" s="29" t="s">
        <v>12</v>
      </c>
      <c r="B1277" s="29" t="s">
        <v>115</v>
      </c>
      <c r="C1277" s="29" t="s">
        <v>34</v>
      </c>
      <c r="D1277" s="37" t="s">
        <v>1301</v>
      </c>
      <c r="E1277" s="29" t="s">
        <v>796</v>
      </c>
      <c r="F1277" s="29" t="s">
        <v>36</v>
      </c>
      <c r="G1277" s="29">
        <v>4.7300000000000004</v>
      </c>
      <c r="H1277" s="71" t="s">
        <v>793</v>
      </c>
      <c r="I1277" s="37" t="str">
        <f>"https://www.eletrotrafo.com.br/eletrocalha-galv-suporte-vert--150x50-balanco-70014002/p?skuId=18350; https://www.marmota.com.br/gancho-suspenso-vertical-para-eletrocalha-100x50mm-perfilex-p49419?pp=/182.1443/"</f>
        <v>https://www.eletrotrafo.com.br/eletrocalha-galv-suporte-vert--150x50-balanco-70014002/p?skuId=18350; https://www.marmota.com.br/gancho-suspenso-vertical-para-eletrocalha-100x50mm-perfilex-p49419?pp=/182.1443/</v>
      </c>
    </row>
    <row r="1278" spans="1:9" x14ac:dyDescent="0.25">
      <c r="A1278" s="29" t="s">
        <v>12</v>
      </c>
      <c r="B1278" s="29" t="s">
        <v>115</v>
      </c>
      <c r="C1278" s="29" t="s">
        <v>34</v>
      </c>
      <c r="D1278" s="37" t="s">
        <v>1302</v>
      </c>
      <c r="E1278" s="29" t="s">
        <v>796</v>
      </c>
      <c r="F1278" s="29" t="s">
        <v>36</v>
      </c>
      <c r="G1278" s="29">
        <v>7.72</v>
      </c>
      <c r="H1278" s="71" t="s">
        <v>793</v>
      </c>
      <c r="I1278" s="37" t="str">
        <f>"https://www.eletrotrafo.com.br/eletrocalha-galv-suporte-vert--150x50-balanco-70014002/p?skuId=18350; https://www.marmota.com.br/gancho-suspenso-vertical-para-eletrocalha-150x100mm-perfilex-p49824?pp=/182.1443/"</f>
        <v>https://www.eletrotrafo.com.br/eletrocalha-galv-suporte-vert--150x50-balanco-70014002/p?skuId=18350; https://www.marmota.com.br/gancho-suspenso-vertical-para-eletrocalha-150x100mm-perfilex-p49824?pp=/182.1443/</v>
      </c>
    </row>
    <row r="1279" spans="1:9" x14ac:dyDescent="0.25">
      <c r="A1279" s="29" t="s">
        <v>12</v>
      </c>
      <c r="B1279" s="29" t="s">
        <v>115</v>
      </c>
      <c r="C1279" s="29" t="s">
        <v>34</v>
      </c>
      <c r="D1279" s="37" t="s">
        <v>1303</v>
      </c>
      <c r="E1279" s="29" t="s">
        <v>796</v>
      </c>
      <c r="F1279" s="29" t="s">
        <v>36</v>
      </c>
      <c r="G1279" s="29">
        <v>8.33</v>
      </c>
      <c r="H1279" s="71" t="s">
        <v>793</v>
      </c>
      <c r="I1279" s="37" t="str">
        <f>"https://www.eletrotrafo.com.br/eletrocalha-galv-suporte-vert--150x50-balanco-70014002/p?skuId=18350; https://www.marmota.com.br/gancho-suspenso-vertical-para-eletrocalha-150x50mm-perfilex-p50498?pp=/182.1443/"</f>
        <v>https://www.eletrotrafo.com.br/eletrocalha-galv-suporte-vert--150x50-balanco-70014002/p?skuId=18350; https://www.marmota.com.br/gancho-suspenso-vertical-para-eletrocalha-150x50mm-perfilex-p50498?pp=/182.1443/</v>
      </c>
    </row>
    <row r="1280" spans="1:9" x14ac:dyDescent="0.25">
      <c r="A1280" s="29" t="s">
        <v>12</v>
      </c>
      <c r="B1280" s="29" t="s">
        <v>115</v>
      </c>
      <c r="C1280" s="29" t="s">
        <v>34</v>
      </c>
      <c r="D1280" s="37" t="s">
        <v>1304</v>
      </c>
      <c r="E1280" s="29" t="s">
        <v>796</v>
      </c>
      <c r="F1280" s="29" t="s">
        <v>36</v>
      </c>
      <c r="G1280" s="29">
        <v>10.24</v>
      </c>
      <c r="H1280" s="71" t="s">
        <v>793</v>
      </c>
      <c r="I1280" s="37" t="str">
        <f>"https://www.eletrotrafo.com.br/eletrocalha-galv-suporte-vert--150x50-balanco-70014002/p?skuId=18350; https://www.marmota.com.br/gancho-suspenso-vertical-para-eletrocalha-200x100mm-perfilex-p49377?pp=/182.1443/"</f>
        <v>https://www.eletrotrafo.com.br/eletrocalha-galv-suporte-vert--150x50-balanco-70014002/p?skuId=18350; https://www.marmota.com.br/gancho-suspenso-vertical-para-eletrocalha-200x100mm-perfilex-p49377?pp=/182.1443/</v>
      </c>
    </row>
    <row r="1281" spans="1:9" x14ac:dyDescent="0.25">
      <c r="A1281" s="29" t="s">
        <v>12</v>
      </c>
      <c r="B1281" s="29" t="s">
        <v>115</v>
      </c>
      <c r="C1281" s="29" t="s">
        <v>34</v>
      </c>
      <c r="D1281" s="37" t="s">
        <v>1305</v>
      </c>
      <c r="E1281" s="29" t="s">
        <v>792</v>
      </c>
      <c r="F1281" s="29" t="s">
        <v>36</v>
      </c>
      <c r="G1281" s="29">
        <v>10.1</v>
      </c>
      <c r="H1281" s="71" t="s">
        <v>793</v>
      </c>
      <c r="I1281" s="37" t="str">
        <f>"https://www.marmota.com.br/gancho-suspenso-vertical-para-eletrocalha-200x50mm-perfilex-p51596?pp=/182.1443/"</f>
        <v>https://www.marmota.com.br/gancho-suspenso-vertical-para-eletrocalha-200x50mm-perfilex-p51596?pp=/182.1443/</v>
      </c>
    </row>
    <row r="1282" spans="1:9" x14ac:dyDescent="0.25">
      <c r="A1282" s="29" t="s">
        <v>12</v>
      </c>
      <c r="B1282" s="29" t="s">
        <v>115</v>
      </c>
      <c r="C1282" s="29" t="s">
        <v>34</v>
      </c>
      <c r="D1282" s="37" t="s">
        <v>1306</v>
      </c>
      <c r="E1282" s="29" t="s">
        <v>788</v>
      </c>
      <c r="F1282" s="29" t="s">
        <v>36</v>
      </c>
      <c r="G1282" s="29">
        <v>17.41</v>
      </c>
      <c r="H1282" s="71" t="s">
        <v>740</v>
      </c>
      <c r="I1282" s="37" t="str">
        <f>"https://www.eletrotrafo.com.br/eletrocalha-galv-suporte-vert--150x50-balanco-70014002/p?skuId=18350"</f>
        <v>https://www.eletrotrafo.com.br/eletrocalha-galv-suporte-vert--150x50-balanco-70014002/p?skuId=18350</v>
      </c>
    </row>
    <row r="1283" spans="1:9" x14ac:dyDescent="0.25">
      <c r="A1283" s="29" t="s">
        <v>12</v>
      </c>
      <c r="B1283" s="29" t="s">
        <v>115</v>
      </c>
      <c r="C1283" s="29" t="s">
        <v>34</v>
      </c>
      <c r="D1283" s="37" t="s">
        <v>1307</v>
      </c>
      <c r="E1283" s="29" t="s">
        <v>796</v>
      </c>
      <c r="F1283" s="29" t="s">
        <v>36</v>
      </c>
      <c r="G1283" s="29">
        <v>3.36</v>
      </c>
      <c r="H1283" s="71" t="s">
        <v>793</v>
      </c>
      <c r="I1283" s="37" t="str">
        <f>"https://www.eletrotrafo.com.br/eletrocalha-galv-suporte-vert--150x50-balanco-70014002/p?skuId=18350; https://www.marmota.com.br/gancho-suspenso-vertical-para-eletrocalha-50x50mm-perfilex-p50783?pp=/182.1443/"</f>
        <v>https://www.eletrotrafo.com.br/eletrocalha-galv-suporte-vert--150x50-balanco-70014002/p?skuId=18350; https://www.marmota.com.br/gancho-suspenso-vertical-para-eletrocalha-50x50mm-perfilex-p50783?pp=/182.1443/</v>
      </c>
    </row>
    <row r="1284" spans="1:9" x14ac:dyDescent="0.25">
      <c r="A1284" s="29" t="s">
        <v>12</v>
      </c>
      <c r="B1284" s="29" t="s">
        <v>115</v>
      </c>
      <c r="C1284" s="29" t="s">
        <v>34</v>
      </c>
      <c r="D1284" s="37" t="s">
        <v>1573</v>
      </c>
      <c r="E1284" s="29" t="s">
        <v>798</v>
      </c>
      <c r="F1284" s="29" t="s">
        <v>36</v>
      </c>
      <c r="G1284" s="29">
        <v>2.1</v>
      </c>
      <c r="H1284" s="71" t="s">
        <v>793</v>
      </c>
      <c r="I1284" s="37" t="str">
        <f>"https://www.infraeletrocalhas.com.br/eletrocalhas.asp?produtos=Eletrocalha-Galvanizada"</f>
        <v>https://www.infraeletrocalhas.com.br/eletrocalhas.asp?produtos=Eletrocalha-Galvanizada</v>
      </c>
    </row>
    <row r="1285" spans="1:9" x14ac:dyDescent="0.25">
      <c r="A1285" s="29" t="s">
        <v>12</v>
      </c>
      <c r="B1285" s="29" t="s">
        <v>115</v>
      </c>
      <c r="C1285" s="29" t="s">
        <v>34</v>
      </c>
      <c r="D1285" s="37" t="s">
        <v>1574</v>
      </c>
      <c r="E1285" s="29" t="s">
        <v>798</v>
      </c>
      <c r="F1285" s="29" t="s">
        <v>36</v>
      </c>
      <c r="G1285" s="29">
        <v>1.3</v>
      </c>
      <c r="H1285" s="71" t="s">
        <v>793</v>
      </c>
      <c r="I1285" s="37" t="str">
        <f>"https://www.infraeletrocalhas.com.br/eletrocalhas.asp?produtos=Eletrocalha-Galvanizada"</f>
        <v>https://www.infraeletrocalhas.com.br/eletrocalhas.asp?produtos=Eletrocalha-Galvanizada</v>
      </c>
    </row>
    <row r="1286" spans="1:9" x14ac:dyDescent="0.25">
      <c r="A1286" s="29" t="s">
        <v>12</v>
      </c>
      <c r="B1286" s="29" t="s">
        <v>115</v>
      </c>
      <c r="C1286" s="29" t="s">
        <v>34</v>
      </c>
      <c r="D1286" s="37" t="s">
        <v>1308</v>
      </c>
      <c r="E1286" s="29" t="s">
        <v>788</v>
      </c>
      <c r="F1286" s="29" t="s">
        <v>36</v>
      </c>
      <c r="G1286" s="29">
        <v>13.16</v>
      </c>
      <c r="H1286" s="71" t="s">
        <v>740</v>
      </c>
      <c r="I1286" s="37" t="str">
        <f>"https://www.eletrotrafo.com.br/eletrocalha-galv-tampa-curva-inv--100mm-13370036/p?skuId=18999"</f>
        <v>https://www.eletrotrafo.com.br/eletrocalha-galv-tampa-curva-inv--100mm-13370036/p?skuId=18999</v>
      </c>
    </row>
    <row r="1287" spans="1:9" x14ac:dyDescent="0.25">
      <c r="A1287" s="29" t="s">
        <v>12</v>
      </c>
      <c r="B1287" s="29" t="s">
        <v>115</v>
      </c>
      <c r="C1287" s="29" t="s">
        <v>34</v>
      </c>
      <c r="D1287" s="37" t="s">
        <v>1309</v>
      </c>
      <c r="E1287" s="29" t="s">
        <v>788</v>
      </c>
      <c r="F1287" s="29" t="s">
        <v>36</v>
      </c>
      <c r="G1287" s="29">
        <v>9.4499999999999993</v>
      </c>
      <c r="H1287" s="71" t="s">
        <v>740</v>
      </c>
      <c r="I1287" s="37" t="str">
        <f>"https://www.eletrotrafo.com.br/eletrocalha-galv-tampa-curva-vert-ext-90-200mm-13370024/p?skuId=19004"</f>
        <v>https://www.eletrotrafo.com.br/eletrocalha-galv-tampa-curva-vert-ext-90-200mm-13370024/p?skuId=19004</v>
      </c>
    </row>
    <row r="1288" spans="1:9" x14ac:dyDescent="0.25">
      <c r="A1288" s="29" t="s">
        <v>12</v>
      </c>
      <c r="B1288" s="29" t="s">
        <v>115</v>
      </c>
      <c r="C1288" s="29" t="s">
        <v>34</v>
      </c>
      <c r="D1288" s="37" t="s">
        <v>1310</v>
      </c>
      <c r="E1288" s="29" t="s">
        <v>788</v>
      </c>
      <c r="F1288" s="29" t="s">
        <v>36</v>
      </c>
      <c r="G1288" s="29">
        <v>15.48</v>
      </c>
      <c r="H1288" s="71" t="s">
        <v>740</v>
      </c>
      <c r="I1288" s="37" t="str">
        <f>"https://www.eletrotrafo.com.br/eletrocalha-galv-tampa-curva-vert-ext-90-200mm-13370024/p?skuId=19004"</f>
        <v>https://www.eletrotrafo.com.br/eletrocalha-galv-tampa-curva-vert-ext-90-200mm-13370024/p?skuId=19004</v>
      </c>
    </row>
    <row r="1289" spans="1:9" x14ac:dyDescent="0.25">
      <c r="A1289" s="29" t="s">
        <v>12</v>
      </c>
      <c r="B1289" s="29" t="s">
        <v>115</v>
      </c>
      <c r="C1289" s="29" t="s">
        <v>34</v>
      </c>
      <c r="D1289" s="37" t="s">
        <v>1311</v>
      </c>
      <c r="E1289" s="29" t="s">
        <v>788</v>
      </c>
      <c r="F1289" s="29" t="s">
        <v>36</v>
      </c>
      <c r="G1289" s="29">
        <v>20.61</v>
      </c>
      <c r="H1289" s="71" t="s">
        <v>740</v>
      </c>
      <c r="I1289" s="37" t="str">
        <f>"https://www.eletrotrafo.com.br/eletrocalha-galv-tampa-curva-vert-ext-90-200mm-13370024/p?skuId=19004"</f>
        <v>https://www.eletrotrafo.com.br/eletrocalha-galv-tampa-curva-vert-ext-90-200mm-13370024/p?skuId=19004</v>
      </c>
    </row>
    <row r="1290" spans="1:9" x14ac:dyDescent="0.25">
      <c r="A1290" s="29" t="s">
        <v>12</v>
      </c>
      <c r="B1290" s="29" t="s">
        <v>115</v>
      </c>
      <c r="C1290" s="29" t="s">
        <v>34</v>
      </c>
      <c r="D1290" s="37" t="s">
        <v>1312</v>
      </c>
      <c r="E1290" s="29" t="s">
        <v>788</v>
      </c>
      <c r="F1290" s="29" t="s">
        <v>36</v>
      </c>
      <c r="G1290" s="29">
        <v>4.46</v>
      </c>
      <c r="H1290" s="71" t="s">
        <v>740</v>
      </c>
      <c r="I1290" s="37" t="str">
        <f>"https://www.eletrotrafo.com.br/eletrocalha-galv-tampa-curva-vert-ext-90-200mm-13370024/p?skuId=19004"</f>
        <v>https://www.eletrotrafo.com.br/eletrocalha-galv-tampa-curva-vert-ext-90-200mm-13370024/p?skuId=19004</v>
      </c>
    </row>
    <row r="1291" spans="1:9" x14ac:dyDescent="0.25">
      <c r="A1291" s="29" t="s">
        <v>12</v>
      </c>
      <c r="B1291" s="29" t="s">
        <v>115</v>
      </c>
      <c r="C1291" s="29" t="s">
        <v>34</v>
      </c>
      <c r="D1291" s="37" t="s">
        <v>1313</v>
      </c>
      <c r="E1291" s="29" t="s">
        <v>788</v>
      </c>
      <c r="F1291" s="29" t="s">
        <v>36</v>
      </c>
      <c r="G1291" s="29">
        <v>5.15</v>
      </c>
      <c r="H1291" s="71" t="s">
        <v>740</v>
      </c>
      <c r="I1291" s="37" t="str">
        <f>"https://www.eletrotrafo.com.br/eletrocalha-galv-tampa-curva-vert-int-90-200mm-13370042/p?skuId=19000"</f>
        <v>https://www.eletrotrafo.com.br/eletrocalha-galv-tampa-curva-vert-int-90-200mm-13370042/p?skuId=19000</v>
      </c>
    </row>
    <row r="1292" spans="1:9" x14ac:dyDescent="0.25">
      <c r="A1292" s="29" t="s">
        <v>12</v>
      </c>
      <c r="B1292" s="29" t="s">
        <v>115</v>
      </c>
      <c r="C1292" s="29" t="s">
        <v>34</v>
      </c>
      <c r="D1292" s="37" t="s">
        <v>1314</v>
      </c>
      <c r="E1292" s="29" t="s">
        <v>788</v>
      </c>
      <c r="F1292" s="29" t="s">
        <v>36</v>
      </c>
      <c r="G1292" s="29">
        <v>15.67</v>
      </c>
      <c r="H1292" s="71" t="s">
        <v>740</v>
      </c>
      <c r="I1292" s="37" t="str">
        <f>"https://www.eletrotrafo.com.br/eletrocalha-galv-tampa-curva-vert-int-90-200mm-13370042/p?skuId=19000"</f>
        <v>https://www.eletrotrafo.com.br/eletrocalha-galv-tampa-curva-vert-int-90-200mm-13370042/p?skuId=19000</v>
      </c>
    </row>
    <row r="1293" spans="1:9" x14ac:dyDescent="0.25">
      <c r="A1293" s="29" t="s">
        <v>12</v>
      </c>
      <c r="B1293" s="29" t="s">
        <v>115</v>
      </c>
      <c r="C1293" s="29" t="s">
        <v>34</v>
      </c>
      <c r="D1293" s="37" t="s">
        <v>1315</v>
      </c>
      <c r="E1293" s="29" t="s">
        <v>788</v>
      </c>
      <c r="F1293" s="29" t="s">
        <v>36</v>
      </c>
      <c r="G1293" s="29">
        <v>17.61</v>
      </c>
      <c r="H1293" s="71" t="s">
        <v>740</v>
      </c>
      <c r="I1293" s="37" t="str">
        <f>"https://www.eletrotrafo.com.br/eletrocalha-galv-tampa-curva-vert-int-90-200mm-13370042/p?skuId=19000"</f>
        <v>https://www.eletrotrafo.com.br/eletrocalha-galv-tampa-curva-vert-int-90-200mm-13370042/p?skuId=19000</v>
      </c>
    </row>
    <row r="1294" spans="1:9" x14ac:dyDescent="0.25">
      <c r="A1294" s="29" t="s">
        <v>12</v>
      </c>
      <c r="B1294" s="29" t="s">
        <v>115</v>
      </c>
      <c r="C1294" s="29" t="s">
        <v>34</v>
      </c>
      <c r="D1294" s="37" t="s">
        <v>1316</v>
      </c>
      <c r="E1294" s="29" t="s">
        <v>788</v>
      </c>
      <c r="F1294" s="29" t="s">
        <v>36</v>
      </c>
      <c r="G1294" s="29">
        <v>3.25</v>
      </c>
      <c r="H1294" s="71" t="s">
        <v>740</v>
      </c>
      <c r="I1294" s="37" t="str">
        <f>"https://www.eletrotrafo.com.br/eletrocalha-galv-tampa-curva-vert-int-90-200mm-13370042/p?skuId=19000"</f>
        <v>https://www.eletrotrafo.com.br/eletrocalha-galv-tampa-curva-vert-int-90-200mm-13370042/p?skuId=19000</v>
      </c>
    </row>
    <row r="1295" spans="1:9" x14ac:dyDescent="0.25">
      <c r="A1295" s="29" t="s">
        <v>12</v>
      </c>
      <c r="B1295" s="29" t="s">
        <v>115</v>
      </c>
      <c r="C1295" s="29" t="s">
        <v>34</v>
      </c>
      <c r="D1295" s="37" t="s">
        <v>1575</v>
      </c>
      <c r="E1295" s="29" t="s">
        <v>792</v>
      </c>
      <c r="F1295" s="29" t="s">
        <v>36</v>
      </c>
      <c r="G1295" s="29">
        <v>31.28</v>
      </c>
      <c r="H1295" s="71" t="s">
        <v>793</v>
      </c>
      <c r="I1295" s="37" t="str">
        <f>"https://www.marmota.com.br/tampa-de-encaixe-para-eletrocalha-100x10mm-com-3-metros-perfilex-p51727?pp=/182.1443/"</f>
        <v>https://www.marmota.com.br/tampa-de-encaixe-para-eletrocalha-100x10mm-com-3-metros-perfilex-p51727?pp=/182.1443/</v>
      </c>
    </row>
    <row r="1296" spans="1:9" x14ac:dyDescent="0.25">
      <c r="A1296" s="29" t="s">
        <v>12</v>
      </c>
      <c r="B1296" s="29" t="s">
        <v>115</v>
      </c>
      <c r="C1296" s="29" t="s">
        <v>34</v>
      </c>
      <c r="D1296" s="37" t="s">
        <v>1576</v>
      </c>
      <c r="E1296" s="29" t="s">
        <v>792</v>
      </c>
      <c r="F1296" s="29" t="s">
        <v>36</v>
      </c>
      <c r="G1296" s="29">
        <v>45.88</v>
      </c>
      <c r="H1296" s="71" t="s">
        <v>793</v>
      </c>
      <c r="I1296" s="37" t="str">
        <f>"https://www.marmota.com.br/tampa-de-encaixe-para-eletrocalha-150x10mm-com-3-metros-perfilex-p51640?pp=/182.1443/"</f>
        <v>https://www.marmota.com.br/tampa-de-encaixe-para-eletrocalha-150x10mm-com-3-metros-perfilex-p51640?pp=/182.1443/</v>
      </c>
    </row>
    <row r="1297" spans="1:9" x14ac:dyDescent="0.25">
      <c r="A1297" s="29" t="s">
        <v>12</v>
      </c>
      <c r="B1297" s="29" t="s">
        <v>115</v>
      </c>
      <c r="C1297" s="29" t="s">
        <v>34</v>
      </c>
      <c r="D1297" s="37" t="s">
        <v>1577</v>
      </c>
      <c r="E1297" s="29" t="s">
        <v>792</v>
      </c>
      <c r="F1297" s="29" t="s">
        <v>36</v>
      </c>
      <c r="G1297" s="29">
        <v>84.53</v>
      </c>
      <c r="H1297" s="71" t="s">
        <v>793</v>
      </c>
      <c r="I1297" s="37" t="str">
        <f>"https://www.marmota.com.br/tampa-de-encaixe-para-eletrocalha-300x10mm-com-3-metros-perfilex-p51185?pp=/182.1443/"</f>
        <v>https://www.marmota.com.br/tampa-de-encaixe-para-eletrocalha-300x10mm-com-3-metros-perfilex-p51185?pp=/182.1443/</v>
      </c>
    </row>
    <row r="1298" spans="1:9" x14ac:dyDescent="0.25">
      <c r="A1298" s="29" t="s">
        <v>12</v>
      </c>
      <c r="B1298" s="29" t="s">
        <v>115</v>
      </c>
      <c r="C1298" s="29" t="s">
        <v>34</v>
      </c>
      <c r="D1298" s="37" t="s">
        <v>1578</v>
      </c>
      <c r="E1298" s="29" t="s">
        <v>792</v>
      </c>
      <c r="F1298" s="29" t="s">
        <v>36</v>
      </c>
      <c r="G1298" s="29">
        <v>20.07</v>
      </c>
      <c r="H1298" s="71" t="s">
        <v>793</v>
      </c>
      <c r="I1298" s="37" t="str">
        <f>"https://www.marmota.com.br/tampa-de-encaixe-para-eletrocalha-50x10mm-com-3-metros-perfilex-p49198?pp=/182.1443/"</f>
        <v>https://www.marmota.com.br/tampa-de-encaixe-para-eletrocalha-50x10mm-com-3-metros-perfilex-p49198?pp=/182.1443/</v>
      </c>
    </row>
    <row r="1299" spans="1:9" x14ac:dyDescent="0.25">
      <c r="A1299" s="29" t="s">
        <v>12</v>
      </c>
      <c r="B1299" s="29" t="s">
        <v>115</v>
      </c>
      <c r="C1299" s="29" t="s">
        <v>34</v>
      </c>
      <c r="D1299" s="37" t="s">
        <v>1317</v>
      </c>
      <c r="E1299" s="29" t="s">
        <v>788</v>
      </c>
      <c r="F1299" s="29" t="s">
        <v>36</v>
      </c>
      <c r="G1299" s="29">
        <v>28.35</v>
      </c>
      <c r="H1299" s="71" t="s">
        <v>740</v>
      </c>
      <c r="I1299" s="37" t="str">
        <f>"https://www.eletrotrafo.com.br/eletrocalha-galv-tampa-t-horizontal-50mm-13370030/p?skuId=19013"</f>
        <v>https://www.eletrotrafo.com.br/eletrocalha-galv-tampa-t-horizontal-50mm-13370030/p?skuId=19013</v>
      </c>
    </row>
    <row r="1300" spans="1:9" x14ac:dyDescent="0.25">
      <c r="A1300" s="29" t="s">
        <v>12</v>
      </c>
      <c r="B1300" s="29" t="s">
        <v>115</v>
      </c>
      <c r="C1300" s="29" t="s">
        <v>34</v>
      </c>
      <c r="D1300" s="37" t="s">
        <v>1318</v>
      </c>
      <c r="E1300" s="29" t="s">
        <v>788</v>
      </c>
      <c r="F1300" s="29" t="s">
        <v>36</v>
      </c>
      <c r="G1300" s="29">
        <v>47.81</v>
      </c>
      <c r="H1300" s="71" t="s">
        <v>740</v>
      </c>
      <c r="I1300" s="37" t="str">
        <f>"https://www.eletrotrafo.com.br/eletrocalha-galv-tampa-t-horizontal-50mm-13370030/p?skuId=19013"</f>
        <v>https://www.eletrotrafo.com.br/eletrocalha-galv-tampa-t-horizontal-50mm-13370030/p?skuId=19013</v>
      </c>
    </row>
    <row r="1301" spans="1:9" x14ac:dyDescent="0.25">
      <c r="A1301" s="29" t="s">
        <v>12</v>
      </c>
      <c r="B1301" s="29" t="s">
        <v>115</v>
      </c>
      <c r="C1301" s="29" t="s">
        <v>34</v>
      </c>
      <c r="D1301" s="37" t="s">
        <v>1319</v>
      </c>
      <c r="E1301" s="29" t="s">
        <v>788</v>
      </c>
      <c r="F1301" s="29" t="s">
        <v>36</v>
      </c>
      <c r="G1301" s="29">
        <v>9.9600000000000009</v>
      </c>
      <c r="H1301" s="71" t="s">
        <v>740</v>
      </c>
      <c r="I1301" s="37" t="str">
        <f>"https://www.eletrotrafo.com.br/eletrocalha-galv-tampa-t-horizontal-50mm-13370030/p?skuId=19013"</f>
        <v>https://www.eletrotrafo.com.br/eletrocalha-galv-tampa-t-horizontal-50mm-13370030/p?skuId=19013</v>
      </c>
    </row>
    <row r="1302" spans="1:9" x14ac:dyDescent="0.25">
      <c r="A1302" s="29" t="s">
        <v>12</v>
      </c>
      <c r="B1302" s="29" t="s">
        <v>115</v>
      </c>
      <c r="C1302" s="29" t="s">
        <v>34</v>
      </c>
      <c r="D1302" s="37" t="s">
        <v>2295</v>
      </c>
      <c r="E1302" s="29" t="s">
        <v>798</v>
      </c>
      <c r="F1302" s="29" t="s">
        <v>36</v>
      </c>
      <c r="G1302" s="29">
        <v>6</v>
      </c>
      <c r="H1302" s="71" t="s">
        <v>793</v>
      </c>
      <c r="I1302" s="37" t="str">
        <f t="shared" ref="I1302:I1336" si="15">"https://www.infraeletrocalhas.com.br/eletrocalhas.asp?produtos=Eletrocalha-Galvanizada"</f>
        <v>https://www.infraeletrocalhas.com.br/eletrocalhas.asp?produtos=Eletrocalha-Galvanizada</v>
      </c>
    </row>
    <row r="1303" spans="1:9" x14ac:dyDescent="0.25">
      <c r="A1303" s="29" t="s">
        <v>12</v>
      </c>
      <c r="B1303" s="29" t="s">
        <v>115</v>
      </c>
      <c r="C1303" s="29" t="s">
        <v>34</v>
      </c>
      <c r="D1303" s="37" t="s">
        <v>2296</v>
      </c>
      <c r="E1303" s="29" t="s">
        <v>798</v>
      </c>
      <c r="F1303" s="29" t="s">
        <v>36</v>
      </c>
      <c r="G1303" s="29">
        <v>10</v>
      </c>
      <c r="H1303" s="71" t="s">
        <v>793</v>
      </c>
      <c r="I1303" s="37" t="str">
        <f t="shared" si="15"/>
        <v>https://www.infraeletrocalhas.com.br/eletrocalhas.asp?produtos=Eletrocalha-Galvanizada</v>
      </c>
    </row>
    <row r="1304" spans="1:9" x14ac:dyDescent="0.25">
      <c r="A1304" s="29" t="s">
        <v>12</v>
      </c>
      <c r="B1304" s="29" t="s">
        <v>115</v>
      </c>
      <c r="C1304" s="29" t="s">
        <v>34</v>
      </c>
      <c r="D1304" s="37" t="s">
        <v>2297</v>
      </c>
      <c r="E1304" s="29" t="s">
        <v>798</v>
      </c>
      <c r="F1304" s="29" t="s">
        <v>36</v>
      </c>
      <c r="G1304" s="29">
        <v>12</v>
      </c>
      <c r="H1304" s="71" t="s">
        <v>793</v>
      </c>
      <c r="I1304" s="37" t="str">
        <f t="shared" si="15"/>
        <v>https://www.infraeletrocalhas.com.br/eletrocalhas.asp?produtos=Eletrocalha-Galvanizada</v>
      </c>
    </row>
    <row r="1305" spans="1:9" x14ac:dyDescent="0.25">
      <c r="A1305" s="29" t="s">
        <v>12</v>
      </c>
      <c r="B1305" s="29" t="s">
        <v>115</v>
      </c>
      <c r="C1305" s="29" t="s">
        <v>34</v>
      </c>
      <c r="D1305" s="37" t="s">
        <v>2298</v>
      </c>
      <c r="E1305" s="29" t="s">
        <v>798</v>
      </c>
      <c r="F1305" s="29" t="s">
        <v>36</v>
      </c>
      <c r="G1305" s="29">
        <v>16</v>
      </c>
      <c r="H1305" s="71" t="s">
        <v>793</v>
      </c>
      <c r="I1305" s="37" t="str">
        <f t="shared" si="15"/>
        <v>https://www.infraeletrocalhas.com.br/eletrocalhas.asp?produtos=Eletrocalha-Galvanizada</v>
      </c>
    </row>
    <row r="1306" spans="1:9" x14ac:dyDescent="0.25">
      <c r="A1306" s="29" t="s">
        <v>12</v>
      </c>
      <c r="B1306" s="29" t="s">
        <v>115</v>
      </c>
      <c r="C1306" s="29" t="s">
        <v>34</v>
      </c>
      <c r="D1306" s="37" t="s">
        <v>2299</v>
      </c>
      <c r="E1306" s="29" t="s">
        <v>798</v>
      </c>
      <c r="F1306" s="29" t="s">
        <v>36</v>
      </c>
      <c r="G1306" s="29">
        <v>20</v>
      </c>
      <c r="H1306" s="71" t="s">
        <v>793</v>
      </c>
      <c r="I1306" s="37" t="str">
        <f t="shared" si="15"/>
        <v>https://www.infraeletrocalhas.com.br/eletrocalhas.asp?produtos=Eletrocalha-Galvanizada</v>
      </c>
    </row>
    <row r="1307" spans="1:9" x14ac:dyDescent="0.25">
      <c r="A1307" s="29" t="s">
        <v>12</v>
      </c>
      <c r="B1307" s="29" t="s">
        <v>115</v>
      </c>
      <c r="C1307" s="29" t="s">
        <v>34</v>
      </c>
      <c r="D1307" s="37" t="s">
        <v>2300</v>
      </c>
      <c r="E1307" s="29" t="s">
        <v>798</v>
      </c>
      <c r="F1307" s="29" t="s">
        <v>36</v>
      </c>
      <c r="G1307" s="29">
        <v>4</v>
      </c>
      <c r="H1307" s="71" t="s">
        <v>793</v>
      </c>
      <c r="I1307" s="37" t="str">
        <f t="shared" si="15"/>
        <v>https://www.infraeletrocalhas.com.br/eletrocalhas.asp?produtos=Eletrocalha-Galvanizada</v>
      </c>
    </row>
    <row r="1308" spans="1:9" x14ac:dyDescent="0.25">
      <c r="A1308" s="29" t="s">
        <v>12</v>
      </c>
      <c r="B1308" s="29" t="s">
        <v>115</v>
      </c>
      <c r="C1308" s="29" t="s">
        <v>34</v>
      </c>
      <c r="D1308" s="37" t="s">
        <v>2130</v>
      </c>
      <c r="E1308" s="29" t="s">
        <v>798</v>
      </c>
      <c r="F1308" s="29" t="s">
        <v>36</v>
      </c>
      <c r="G1308" s="29">
        <v>9.4</v>
      </c>
      <c r="H1308" s="71" t="s">
        <v>793</v>
      </c>
      <c r="I1308" s="37" t="str">
        <f t="shared" si="15"/>
        <v>https://www.infraeletrocalhas.com.br/eletrocalhas.asp?produtos=Eletrocalha-Galvanizada</v>
      </c>
    </row>
    <row r="1309" spans="1:9" x14ac:dyDescent="0.25">
      <c r="A1309" s="29" t="s">
        <v>12</v>
      </c>
      <c r="B1309" s="29" t="s">
        <v>115</v>
      </c>
      <c r="C1309" s="29" t="s">
        <v>34</v>
      </c>
      <c r="D1309" s="37" t="s">
        <v>2131</v>
      </c>
      <c r="E1309" s="29" t="s">
        <v>798</v>
      </c>
      <c r="F1309" s="29" t="s">
        <v>36</v>
      </c>
      <c r="G1309" s="29">
        <v>18</v>
      </c>
      <c r="H1309" s="71" t="s">
        <v>793</v>
      </c>
      <c r="I1309" s="37" t="str">
        <f t="shared" si="15"/>
        <v>https://www.infraeletrocalhas.com.br/eletrocalhas.asp?produtos=Eletrocalha-Galvanizada</v>
      </c>
    </row>
    <row r="1310" spans="1:9" x14ac:dyDescent="0.25">
      <c r="A1310" s="29" t="s">
        <v>12</v>
      </c>
      <c r="B1310" s="29" t="s">
        <v>115</v>
      </c>
      <c r="C1310" s="29" t="s">
        <v>34</v>
      </c>
      <c r="D1310" s="37" t="s">
        <v>2132</v>
      </c>
      <c r="E1310" s="29" t="s">
        <v>798</v>
      </c>
      <c r="F1310" s="29" t="s">
        <v>36</v>
      </c>
      <c r="G1310" s="29">
        <v>21</v>
      </c>
      <c r="H1310" s="71" t="s">
        <v>793</v>
      </c>
      <c r="I1310" s="37" t="str">
        <f t="shared" si="15"/>
        <v>https://www.infraeletrocalhas.com.br/eletrocalhas.asp?produtos=Eletrocalha-Galvanizada</v>
      </c>
    </row>
    <row r="1311" spans="1:9" x14ac:dyDescent="0.25">
      <c r="A1311" s="29" t="s">
        <v>12</v>
      </c>
      <c r="B1311" s="29" t="s">
        <v>115</v>
      </c>
      <c r="C1311" s="29" t="s">
        <v>34</v>
      </c>
      <c r="D1311" s="37" t="s">
        <v>2133</v>
      </c>
      <c r="E1311" s="29" t="s">
        <v>798</v>
      </c>
      <c r="F1311" s="29" t="s">
        <v>36</v>
      </c>
      <c r="G1311" s="29">
        <v>49</v>
      </c>
      <c r="H1311" s="71" t="s">
        <v>793</v>
      </c>
      <c r="I1311" s="37" t="str">
        <f t="shared" si="15"/>
        <v>https://www.infraeletrocalhas.com.br/eletrocalhas.asp?produtos=Eletrocalha-Galvanizada</v>
      </c>
    </row>
    <row r="1312" spans="1:9" x14ac:dyDescent="0.25">
      <c r="A1312" s="29" t="s">
        <v>12</v>
      </c>
      <c r="B1312" s="29" t="s">
        <v>115</v>
      </c>
      <c r="C1312" s="29" t="s">
        <v>34</v>
      </c>
      <c r="D1312" s="37" t="s">
        <v>2134</v>
      </c>
      <c r="E1312" s="29" t="s">
        <v>798</v>
      </c>
      <c r="F1312" s="29" t="s">
        <v>36</v>
      </c>
      <c r="G1312" s="29">
        <v>59.95</v>
      </c>
      <c r="H1312" s="71" t="s">
        <v>793</v>
      </c>
      <c r="I1312" s="37" t="str">
        <f t="shared" si="15"/>
        <v>https://www.infraeletrocalhas.com.br/eletrocalhas.asp?produtos=Eletrocalha-Galvanizada</v>
      </c>
    </row>
    <row r="1313" spans="1:9" x14ac:dyDescent="0.25">
      <c r="A1313" s="29" t="s">
        <v>12</v>
      </c>
      <c r="B1313" s="29" t="s">
        <v>115</v>
      </c>
      <c r="C1313" s="29" t="s">
        <v>34</v>
      </c>
      <c r="D1313" s="37" t="s">
        <v>2135</v>
      </c>
      <c r="E1313" s="29" t="s">
        <v>798</v>
      </c>
      <c r="F1313" s="29" t="s">
        <v>36</v>
      </c>
      <c r="G1313" s="29">
        <v>6.95</v>
      </c>
      <c r="H1313" s="71" t="s">
        <v>793</v>
      </c>
      <c r="I1313" s="37" t="str">
        <f t="shared" si="15"/>
        <v>https://www.infraeletrocalhas.com.br/eletrocalhas.asp?produtos=Eletrocalha-Galvanizada</v>
      </c>
    </row>
    <row r="1314" spans="1:9" x14ac:dyDescent="0.25">
      <c r="A1314" s="29" t="s">
        <v>12</v>
      </c>
      <c r="B1314" s="29" t="s">
        <v>115</v>
      </c>
      <c r="C1314" s="29" t="s">
        <v>34</v>
      </c>
      <c r="D1314" s="37" t="s">
        <v>1579</v>
      </c>
      <c r="E1314" s="29" t="s">
        <v>798</v>
      </c>
      <c r="F1314" s="29" t="s">
        <v>36</v>
      </c>
      <c r="G1314" s="29">
        <v>34.950000000000003</v>
      </c>
      <c r="H1314" s="71" t="s">
        <v>793</v>
      </c>
      <c r="I1314" s="37" t="str">
        <f t="shared" si="15"/>
        <v>https://www.infraeletrocalhas.com.br/eletrocalhas.asp?produtos=Eletrocalha-Galvanizada</v>
      </c>
    </row>
    <row r="1315" spans="1:9" x14ac:dyDescent="0.25">
      <c r="A1315" s="29" t="s">
        <v>12</v>
      </c>
      <c r="B1315" s="29" t="s">
        <v>115</v>
      </c>
      <c r="C1315" s="29" t="s">
        <v>34</v>
      </c>
      <c r="D1315" s="37" t="s">
        <v>1580</v>
      </c>
      <c r="E1315" s="29" t="s">
        <v>798</v>
      </c>
      <c r="F1315" s="29" t="s">
        <v>36</v>
      </c>
      <c r="G1315" s="29">
        <v>54.5</v>
      </c>
      <c r="H1315" s="71" t="s">
        <v>793</v>
      </c>
      <c r="I1315" s="37" t="str">
        <f t="shared" si="15"/>
        <v>https://www.infraeletrocalhas.com.br/eletrocalhas.asp?produtos=Eletrocalha-Galvanizada</v>
      </c>
    </row>
    <row r="1316" spans="1:9" x14ac:dyDescent="0.25">
      <c r="A1316" s="29" t="s">
        <v>12</v>
      </c>
      <c r="B1316" s="29" t="s">
        <v>115</v>
      </c>
      <c r="C1316" s="29" t="s">
        <v>34</v>
      </c>
      <c r="D1316" s="37" t="s">
        <v>1581</v>
      </c>
      <c r="E1316" s="29" t="s">
        <v>798</v>
      </c>
      <c r="F1316" s="29" t="s">
        <v>36</v>
      </c>
      <c r="G1316" s="29">
        <v>62.95</v>
      </c>
      <c r="H1316" s="71" t="s">
        <v>793</v>
      </c>
      <c r="I1316" s="37" t="str">
        <f t="shared" si="15"/>
        <v>https://www.infraeletrocalhas.com.br/eletrocalhas.asp?produtos=Eletrocalha-Galvanizada</v>
      </c>
    </row>
    <row r="1317" spans="1:9" x14ac:dyDescent="0.25">
      <c r="A1317" s="29" t="s">
        <v>12</v>
      </c>
      <c r="B1317" s="29" t="s">
        <v>115</v>
      </c>
      <c r="C1317" s="29" t="s">
        <v>34</v>
      </c>
      <c r="D1317" s="37" t="s">
        <v>1582</v>
      </c>
      <c r="E1317" s="29" t="s">
        <v>798</v>
      </c>
      <c r="F1317" s="29" t="s">
        <v>36</v>
      </c>
      <c r="G1317" s="29">
        <v>89.4</v>
      </c>
      <c r="H1317" s="71" t="s">
        <v>793</v>
      </c>
      <c r="I1317" s="37" t="str">
        <f t="shared" si="15"/>
        <v>https://www.infraeletrocalhas.com.br/eletrocalhas.asp?produtos=Eletrocalha-Galvanizada</v>
      </c>
    </row>
    <row r="1318" spans="1:9" x14ac:dyDescent="0.25">
      <c r="A1318" s="29" t="s">
        <v>12</v>
      </c>
      <c r="B1318" s="29" t="s">
        <v>115</v>
      </c>
      <c r="C1318" s="29" t="s">
        <v>34</v>
      </c>
      <c r="D1318" s="37" t="s">
        <v>1583</v>
      </c>
      <c r="E1318" s="29" t="s">
        <v>798</v>
      </c>
      <c r="F1318" s="29" t="s">
        <v>36</v>
      </c>
      <c r="G1318" s="29">
        <v>139.5</v>
      </c>
      <c r="H1318" s="71" t="s">
        <v>793</v>
      </c>
      <c r="I1318" s="37" t="str">
        <f t="shared" si="15"/>
        <v>https://www.infraeletrocalhas.com.br/eletrocalhas.asp?produtos=Eletrocalha-Galvanizada</v>
      </c>
    </row>
    <row r="1319" spans="1:9" x14ac:dyDescent="0.25">
      <c r="A1319" s="29" t="s">
        <v>12</v>
      </c>
      <c r="B1319" s="29" t="s">
        <v>115</v>
      </c>
      <c r="C1319" s="29" t="s">
        <v>34</v>
      </c>
      <c r="D1319" s="37" t="s">
        <v>1584</v>
      </c>
      <c r="E1319" s="29" t="s">
        <v>798</v>
      </c>
      <c r="F1319" s="29" t="s">
        <v>36</v>
      </c>
      <c r="G1319" s="29">
        <v>19.95</v>
      </c>
      <c r="H1319" s="71" t="s">
        <v>793</v>
      </c>
      <c r="I1319" s="37" t="str">
        <f t="shared" si="15"/>
        <v>https://www.infraeletrocalhas.com.br/eletrocalhas.asp?produtos=Eletrocalha-Galvanizada</v>
      </c>
    </row>
    <row r="1320" spans="1:9" x14ac:dyDescent="0.25">
      <c r="A1320" s="29" t="s">
        <v>12</v>
      </c>
      <c r="B1320" s="29" t="s">
        <v>115</v>
      </c>
      <c r="C1320" s="29" t="s">
        <v>34</v>
      </c>
      <c r="D1320" s="37" t="s">
        <v>2136</v>
      </c>
      <c r="E1320" s="29" t="s">
        <v>798</v>
      </c>
      <c r="F1320" s="29" t="s">
        <v>36</v>
      </c>
      <c r="G1320" s="29">
        <v>14.8</v>
      </c>
      <c r="H1320" s="71" t="s">
        <v>793</v>
      </c>
      <c r="I1320" s="37" t="str">
        <f t="shared" si="15"/>
        <v>https://www.infraeletrocalhas.com.br/eletrocalhas.asp?produtos=Eletrocalha-Galvanizada</v>
      </c>
    </row>
    <row r="1321" spans="1:9" x14ac:dyDescent="0.25">
      <c r="A1321" s="29" t="s">
        <v>12</v>
      </c>
      <c r="B1321" s="29" t="s">
        <v>115</v>
      </c>
      <c r="C1321" s="29" t="s">
        <v>34</v>
      </c>
      <c r="D1321" s="37" t="s">
        <v>2137</v>
      </c>
      <c r="E1321" s="29" t="s">
        <v>798</v>
      </c>
      <c r="F1321" s="29" t="s">
        <v>36</v>
      </c>
      <c r="G1321" s="29">
        <v>21</v>
      </c>
      <c r="H1321" s="71" t="s">
        <v>793</v>
      </c>
      <c r="I1321" s="37" t="str">
        <f t="shared" si="15"/>
        <v>https://www.infraeletrocalhas.com.br/eletrocalhas.asp?produtos=Eletrocalha-Galvanizada</v>
      </c>
    </row>
    <row r="1322" spans="1:9" x14ac:dyDescent="0.25">
      <c r="A1322" s="29" t="s">
        <v>12</v>
      </c>
      <c r="B1322" s="29" t="s">
        <v>115</v>
      </c>
      <c r="C1322" s="29" t="s">
        <v>34</v>
      </c>
      <c r="D1322" s="37" t="s">
        <v>2138</v>
      </c>
      <c r="E1322" s="29" t="s">
        <v>798</v>
      </c>
      <c r="F1322" s="29" t="s">
        <v>36</v>
      </c>
      <c r="G1322" s="29">
        <v>29.95</v>
      </c>
      <c r="H1322" s="71" t="s">
        <v>793</v>
      </c>
      <c r="I1322" s="37" t="str">
        <f t="shared" si="15"/>
        <v>https://www.infraeletrocalhas.com.br/eletrocalhas.asp?produtos=Eletrocalha-Galvanizada</v>
      </c>
    </row>
    <row r="1323" spans="1:9" x14ac:dyDescent="0.25">
      <c r="A1323" s="29" t="s">
        <v>12</v>
      </c>
      <c r="B1323" s="29" t="s">
        <v>115</v>
      </c>
      <c r="C1323" s="29" t="s">
        <v>34</v>
      </c>
      <c r="D1323" s="37" t="s">
        <v>2139</v>
      </c>
      <c r="E1323" s="29" t="s">
        <v>798</v>
      </c>
      <c r="F1323" s="29" t="s">
        <v>36</v>
      </c>
      <c r="G1323" s="29">
        <v>49</v>
      </c>
      <c r="H1323" s="71" t="s">
        <v>793</v>
      </c>
      <c r="I1323" s="37" t="str">
        <f t="shared" si="15"/>
        <v>https://www.infraeletrocalhas.com.br/eletrocalhas.asp?produtos=Eletrocalha-Galvanizada</v>
      </c>
    </row>
    <row r="1324" spans="1:9" x14ac:dyDescent="0.25">
      <c r="A1324" s="29" t="s">
        <v>12</v>
      </c>
      <c r="B1324" s="29" t="s">
        <v>115</v>
      </c>
      <c r="C1324" s="29" t="s">
        <v>34</v>
      </c>
      <c r="D1324" s="37" t="s">
        <v>2140</v>
      </c>
      <c r="E1324" s="29" t="s">
        <v>798</v>
      </c>
      <c r="F1324" s="29" t="s">
        <v>36</v>
      </c>
      <c r="G1324" s="29">
        <v>74.5</v>
      </c>
      <c r="H1324" s="71" t="s">
        <v>793</v>
      </c>
      <c r="I1324" s="37" t="str">
        <f t="shared" si="15"/>
        <v>https://www.infraeletrocalhas.com.br/eletrocalhas.asp?produtos=Eletrocalha-Galvanizada</v>
      </c>
    </row>
    <row r="1325" spans="1:9" x14ac:dyDescent="0.25">
      <c r="A1325" s="29" t="s">
        <v>12</v>
      </c>
      <c r="B1325" s="29" t="s">
        <v>115</v>
      </c>
      <c r="C1325" s="29" t="s">
        <v>34</v>
      </c>
      <c r="D1325" s="37" t="s">
        <v>2141</v>
      </c>
      <c r="E1325" s="29" t="s">
        <v>798</v>
      </c>
      <c r="F1325" s="29" t="s">
        <v>36</v>
      </c>
      <c r="G1325" s="29">
        <v>10.5</v>
      </c>
      <c r="H1325" s="71" t="s">
        <v>793</v>
      </c>
      <c r="I1325" s="37" t="str">
        <f t="shared" si="15"/>
        <v>https://www.infraeletrocalhas.com.br/eletrocalhas.asp?produtos=Eletrocalha-Galvanizada</v>
      </c>
    </row>
    <row r="1326" spans="1:9" x14ac:dyDescent="0.25">
      <c r="A1326" s="29" t="s">
        <v>12</v>
      </c>
      <c r="B1326" s="29" t="s">
        <v>115</v>
      </c>
      <c r="C1326" s="29" t="s">
        <v>34</v>
      </c>
      <c r="D1326" s="37" t="s">
        <v>2142</v>
      </c>
      <c r="E1326" s="29" t="s">
        <v>798</v>
      </c>
      <c r="F1326" s="29" t="s">
        <v>36</v>
      </c>
      <c r="G1326" s="29">
        <v>39.5</v>
      </c>
      <c r="H1326" s="71" t="s">
        <v>793</v>
      </c>
      <c r="I1326" s="37" t="str">
        <f t="shared" si="15"/>
        <v>https://www.infraeletrocalhas.com.br/eletrocalhas.asp?produtos=Eletrocalha-Galvanizada</v>
      </c>
    </row>
    <row r="1327" spans="1:9" x14ac:dyDescent="0.25">
      <c r="A1327" s="29" t="s">
        <v>12</v>
      </c>
      <c r="B1327" s="29" t="s">
        <v>115</v>
      </c>
      <c r="C1327" s="29" t="s">
        <v>34</v>
      </c>
      <c r="D1327" s="37" t="s">
        <v>2143</v>
      </c>
      <c r="E1327" s="29" t="s">
        <v>798</v>
      </c>
      <c r="F1327" s="29" t="s">
        <v>36</v>
      </c>
      <c r="G1327" s="29">
        <v>28.95</v>
      </c>
      <c r="H1327" s="71" t="s">
        <v>793</v>
      </c>
      <c r="I1327" s="37" t="str">
        <f t="shared" si="15"/>
        <v>https://www.infraeletrocalhas.com.br/eletrocalhas.asp?produtos=Eletrocalha-Galvanizada</v>
      </c>
    </row>
    <row r="1328" spans="1:9" x14ac:dyDescent="0.25">
      <c r="A1328" s="29" t="s">
        <v>12</v>
      </c>
      <c r="B1328" s="29" t="s">
        <v>115</v>
      </c>
      <c r="C1328" s="29" t="s">
        <v>34</v>
      </c>
      <c r="D1328" s="37" t="s">
        <v>2144</v>
      </c>
      <c r="E1328" s="29" t="s">
        <v>798</v>
      </c>
      <c r="F1328" s="29" t="s">
        <v>36</v>
      </c>
      <c r="G1328" s="29">
        <v>56</v>
      </c>
      <c r="H1328" s="71" t="s">
        <v>793</v>
      </c>
      <c r="I1328" s="37" t="str">
        <f t="shared" si="15"/>
        <v>https://www.infraeletrocalhas.com.br/eletrocalhas.asp?produtos=Eletrocalha-Galvanizada</v>
      </c>
    </row>
    <row r="1329" spans="1:9" x14ac:dyDescent="0.25">
      <c r="A1329" s="29" t="s">
        <v>12</v>
      </c>
      <c r="B1329" s="29" t="s">
        <v>115</v>
      </c>
      <c r="C1329" s="29" t="s">
        <v>34</v>
      </c>
      <c r="D1329" s="37" t="s">
        <v>2145</v>
      </c>
      <c r="E1329" s="29" t="s">
        <v>798</v>
      </c>
      <c r="F1329" s="29" t="s">
        <v>36</v>
      </c>
      <c r="G1329" s="29">
        <v>43.45</v>
      </c>
      <c r="H1329" s="71" t="s">
        <v>793</v>
      </c>
      <c r="I1329" s="37" t="str">
        <f t="shared" si="15"/>
        <v>https://www.infraeletrocalhas.com.br/eletrocalhas.asp?produtos=Eletrocalha-Galvanizada</v>
      </c>
    </row>
    <row r="1330" spans="1:9" x14ac:dyDescent="0.25">
      <c r="A1330" s="29" t="s">
        <v>12</v>
      </c>
      <c r="B1330" s="29" t="s">
        <v>115</v>
      </c>
      <c r="C1330" s="29" t="s">
        <v>34</v>
      </c>
      <c r="D1330" s="37" t="s">
        <v>2146</v>
      </c>
      <c r="E1330" s="29" t="s">
        <v>798</v>
      </c>
      <c r="F1330" s="29" t="s">
        <v>36</v>
      </c>
      <c r="G1330" s="29">
        <v>62.3</v>
      </c>
      <c r="H1330" s="71" t="s">
        <v>793</v>
      </c>
      <c r="I1330" s="37" t="str">
        <f t="shared" si="15"/>
        <v>https://www.infraeletrocalhas.com.br/eletrocalhas.asp?produtos=Eletrocalha-Galvanizada</v>
      </c>
    </row>
    <row r="1331" spans="1:9" x14ac:dyDescent="0.25">
      <c r="A1331" s="29" t="s">
        <v>12</v>
      </c>
      <c r="B1331" s="29" t="s">
        <v>115</v>
      </c>
      <c r="C1331" s="29" t="s">
        <v>34</v>
      </c>
      <c r="D1331" s="37" t="s">
        <v>2147</v>
      </c>
      <c r="E1331" s="29" t="s">
        <v>798</v>
      </c>
      <c r="F1331" s="29" t="s">
        <v>36</v>
      </c>
      <c r="G1331" s="29">
        <v>52.4</v>
      </c>
      <c r="H1331" s="71" t="s">
        <v>793</v>
      </c>
      <c r="I1331" s="37" t="str">
        <f t="shared" si="15"/>
        <v>https://www.infraeletrocalhas.com.br/eletrocalhas.asp?produtos=Eletrocalha-Galvanizada</v>
      </c>
    </row>
    <row r="1332" spans="1:9" x14ac:dyDescent="0.25">
      <c r="A1332" s="29" t="s">
        <v>12</v>
      </c>
      <c r="B1332" s="29" t="s">
        <v>115</v>
      </c>
      <c r="C1332" s="29" t="s">
        <v>34</v>
      </c>
      <c r="D1332" s="37" t="s">
        <v>2148</v>
      </c>
      <c r="E1332" s="29" t="s">
        <v>798</v>
      </c>
      <c r="F1332" s="29" t="s">
        <v>36</v>
      </c>
      <c r="G1332" s="29">
        <v>69.95</v>
      </c>
      <c r="H1332" s="71" t="s">
        <v>793</v>
      </c>
      <c r="I1332" s="37" t="str">
        <f t="shared" si="15"/>
        <v>https://www.infraeletrocalhas.com.br/eletrocalhas.asp?produtos=Eletrocalha-Galvanizada</v>
      </c>
    </row>
    <row r="1333" spans="1:9" x14ac:dyDescent="0.25">
      <c r="A1333" s="29" t="s">
        <v>12</v>
      </c>
      <c r="B1333" s="29" t="s">
        <v>115</v>
      </c>
      <c r="C1333" s="29" t="s">
        <v>34</v>
      </c>
      <c r="D1333" s="37" t="s">
        <v>2149</v>
      </c>
      <c r="E1333" s="29" t="s">
        <v>798</v>
      </c>
      <c r="F1333" s="29" t="s">
        <v>36</v>
      </c>
      <c r="G1333" s="29">
        <v>66</v>
      </c>
      <c r="H1333" s="71" t="s">
        <v>793</v>
      </c>
      <c r="I1333" s="37" t="str">
        <f t="shared" si="15"/>
        <v>https://www.infraeletrocalhas.com.br/eletrocalhas.asp?produtos=Eletrocalha-Galvanizada</v>
      </c>
    </row>
    <row r="1334" spans="1:9" x14ac:dyDescent="0.25">
      <c r="A1334" s="29" t="s">
        <v>12</v>
      </c>
      <c r="B1334" s="29" t="s">
        <v>115</v>
      </c>
      <c r="C1334" s="29" t="s">
        <v>34</v>
      </c>
      <c r="D1334" s="37" t="s">
        <v>2150</v>
      </c>
      <c r="E1334" s="29" t="s">
        <v>798</v>
      </c>
      <c r="F1334" s="29" t="s">
        <v>36</v>
      </c>
      <c r="G1334" s="29">
        <v>99.95</v>
      </c>
      <c r="H1334" s="71" t="s">
        <v>793</v>
      </c>
      <c r="I1334" s="37" t="str">
        <f t="shared" si="15"/>
        <v>https://www.infraeletrocalhas.com.br/eletrocalhas.asp?produtos=Eletrocalha-Galvanizada</v>
      </c>
    </row>
    <row r="1335" spans="1:9" x14ac:dyDescent="0.25">
      <c r="A1335" s="29" t="s">
        <v>12</v>
      </c>
      <c r="B1335" s="29" t="s">
        <v>115</v>
      </c>
      <c r="C1335" s="29" t="s">
        <v>34</v>
      </c>
      <c r="D1335" s="37" t="s">
        <v>2151</v>
      </c>
      <c r="E1335" s="29" t="s">
        <v>798</v>
      </c>
      <c r="F1335" s="29" t="s">
        <v>36</v>
      </c>
      <c r="G1335" s="29">
        <v>75</v>
      </c>
      <c r="H1335" s="71" t="s">
        <v>793</v>
      </c>
      <c r="I1335" s="37" t="str">
        <f t="shared" si="15"/>
        <v>https://www.infraeletrocalhas.com.br/eletrocalhas.asp?produtos=Eletrocalha-Galvanizada</v>
      </c>
    </row>
    <row r="1336" spans="1:9" x14ac:dyDescent="0.25">
      <c r="A1336" s="29" t="s">
        <v>12</v>
      </c>
      <c r="B1336" s="29" t="s">
        <v>115</v>
      </c>
      <c r="C1336" s="29" t="s">
        <v>34</v>
      </c>
      <c r="D1336" s="37" t="s">
        <v>2152</v>
      </c>
      <c r="E1336" s="29" t="s">
        <v>798</v>
      </c>
      <c r="F1336" s="29" t="s">
        <v>36</v>
      </c>
      <c r="G1336" s="29">
        <v>22.95</v>
      </c>
      <c r="H1336" s="71" t="s">
        <v>793</v>
      </c>
      <c r="I1336" s="37" t="str">
        <f t="shared" si="15"/>
        <v>https://www.infraeletrocalhas.com.br/eletrocalhas.asp?produtos=Eletrocalha-Galvanizada</v>
      </c>
    </row>
    <row r="1337" spans="1:9" x14ac:dyDescent="0.25">
      <c r="A1337" s="29" t="s">
        <v>12</v>
      </c>
      <c r="B1337" s="29" t="s">
        <v>115</v>
      </c>
      <c r="C1337" s="29" t="s">
        <v>34</v>
      </c>
      <c r="D1337" s="37" t="s">
        <v>1320</v>
      </c>
      <c r="E1337" s="29" t="s">
        <v>796</v>
      </c>
      <c r="F1337" s="29" t="s">
        <v>36</v>
      </c>
      <c r="G1337" s="29">
        <v>40.630000000000003</v>
      </c>
      <c r="H1337" s="71" t="s">
        <v>793</v>
      </c>
      <c r="I1337" s="37" t="str">
        <f>"https://www.eletrotrafo.com.br/eletrocalha-galv-te-horiz-90-200x75-perf-19820003/p?skuId=18471; https://www.marmota.com.br/te-horizontal-90-para-eletrocalha-100x100mm-perfilex-p50235?pp=/182.1443/"</f>
        <v>https://www.eletrotrafo.com.br/eletrocalha-galv-te-horiz-90-200x75-perf-19820003/p?skuId=18471; https://www.marmota.com.br/te-horizontal-90-para-eletrocalha-100x100mm-perfilex-p50235?pp=/182.1443/</v>
      </c>
    </row>
    <row r="1338" spans="1:9" x14ac:dyDescent="0.25">
      <c r="A1338" s="29" t="s">
        <v>12</v>
      </c>
      <c r="B1338" s="29" t="s">
        <v>115</v>
      </c>
      <c r="C1338" s="29" t="s">
        <v>34</v>
      </c>
      <c r="D1338" s="37" t="s">
        <v>1321</v>
      </c>
      <c r="E1338" s="29" t="s">
        <v>796</v>
      </c>
      <c r="F1338" s="29" t="s">
        <v>36</v>
      </c>
      <c r="G1338" s="29">
        <v>27.87</v>
      </c>
      <c r="H1338" s="71" t="s">
        <v>793</v>
      </c>
      <c r="I1338" s="37" t="str">
        <f>"https://www.eletrotrafo.com.br/eletrocalha-galv-te-horiz-90-200x75-perf-19820003/p?skuId=18471; https://www.marmota.com.br/tee-horizontal-90-para-eletrocalha-100x50mm-perfilex-p50278?pp=/182.1443/"</f>
        <v>https://www.eletrotrafo.com.br/eletrocalha-galv-te-horiz-90-200x75-perf-19820003/p?skuId=18471; https://www.marmota.com.br/tee-horizontal-90-para-eletrocalha-100x50mm-perfilex-p50278?pp=/182.1443/</v>
      </c>
    </row>
    <row r="1339" spans="1:9" x14ac:dyDescent="0.25">
      <c r="A1339" s="29" t="s">
        <v>12</v>
      </c>
      <c r="B1339" s="29" t="s">
        <v>115</v>
      </c>
      <c r="C1339" s="29" t="s">
        <v>34</v>
      </c>
      <c r="D1339" s="37" t="s">
        <v>1322</v>
      </c>
      <c r="E1339" s="29" t="s">
        <v>796</v>
      </c>
      <c r="F1339" s="29" t="s">
        <v>36</v>
      </c>
      <c r="G1339" s="29">
        <v>60.31</v>
      </c>
      <c r="H1339" s="71" t="s">
        <v>793</v>
      </c>
      <c r="I1339" s="37" t="str">
        <f>"https://www.eletrotrafo.com.br/eletrocalha-galv-te-horiz-90-200x75-perf-19820003/p?skuId=18471; https://www.marmota.com.br/tee-horizontal-90-para-eletrocalha-150x100mm-perfilex-p51394?pp=/182.1443/"</f>
        <v>https://www.eletrotrafo.com.br/eletrocalha-galv-te-horiz-90-200x75-perf-19820003/p?skuId=18471; https://www.marmota.com.br/tee-horizontal-90-para-eletrocalha-150x100mm-perfilex-p51394?pp=/182.1443/</v>
      </c>
    </row>
    <row r="1340" spans="1:9" x14ac:dyDescent="0.25">
      <c r="A1340" s="29" t="s">
        <v>12</v>
      </c>
      <c r="B1340" s="29" t="s">
        <v>115</v>
      </c>
      <c r="C1340" s="29" t="s">
        <v>34</v>
      </c>
      <c r="D1340" s="37" t="s">
        <v>1323</v>
      </c>
      <c r="E1340" s="29" t="s">
        <v>796</v>
      </c>
      <c r="F1340" s="29" t="s">
        <v>36</v>
      </c>
      <c r="G1340" s="29">
        <v>43.85</v>
      </c>
      <c r="H1340" s="71" t="s">
        <v>793</v>
      </c>
      <c r="I1340" s="37" t="str">
        <f>"https://www.eletrotrafo.com.br/eletrocalha-galv-te-horiz-90-200x75-perf-19820003/p?skuId=18471; https://www.marmota.com.br/tee-horizontal-90-para-eletrocalha-150x50mm-perfilex-p52101?pp=/182.1443/"</f>
        <v>https://www.eletrotrafo.com.br/eletrocalha-galv-te-horiz-90-200x75-perf-19820003/p?skuId=18471; https://www.marmota.com.br/tee-horizontal-90-para-eletrocalha-150x50mm-perfilex-p52101?pp=/182.1443/</v>
      </c>
    </row>
    <row r="1341" spans="1:9" x14ac:dyDescent="0.25">
      <c r="A1341" s="29" t="s">
        <v>12</v>
      </c>
      <c r="B1341" s="29" t="s">
        <v>115</v>
      </c>
      <c r="C1341" s="29" t="s">
        <v>34</v>
      </c>
      <c r="D1341" s="37" t="s">
        <v>1324</v>
      </c>
      <c r="E1341" s="29" t="s">
        <v>796</v>
      </c>
      <c r="F1341" s="29" t="s">
        <v>36</v>
      </c>
      <c r="G1341" s="29">
        <v>69.989999999999995</v>
      </c>
      <c r="H1341" s="71" t="s">
        <v>793</v>
      </c>
      <c r="I1341" s="37" t="str">
        <f>"https://www.eletrotrafo.com.br/eletrocalha-galv-te-horiz-90-200x75-perf-19820003/p?skuId=18471; https://www.marmota.com.br/tee-horizontal-90-para-eletrocalha-200x100mm-perfilex-p51685?pp=/182.1443/"</f>
        <v>https://www.eletrotrafo.com.br/eletrocalha-galv-te-horiz-90-200x75-perf-19820003/p?skuId=18471; https://www.marmota.com.br/tee-horizontal-90-para-eletrocalha-200x100mm-perfilex-p51685?pp=/182.1443/</v>
      </c>
    </row>
    <row r="1342" spans="1:9" x14ac:dyDescent="0.25">
      <c r="A1342" s="29" t="s">
        <v>12</v>
      </c>
      <c r="B1342" s="29" t="s">
        <v>115</v>
      </c>
      <c r="C1342" s="29" t="s">
        <v>34</v>
      </c>
      <c r="D1342" s="37" t="s">
        <v>1325</v>
      </c>
      <c r="E1342" s="29" t="s">
        <v>792</v>
      </c>
      <c r="F1342" s="29" t="s">
        <v>36</v>
      </c>
      <c r="G1342" s="29">
        <v>56.35</v>
      </c>
      <c r="H1342" s="71" t="s">
        <v>793</v>
      </c>
      <c r="I1342" s="37" t="str">
        <f>"https://www.marmota.com.br/tee-horizontal-90-para-eletrocalha-200x50mm-perfilex-p50032?pp=/182.1443/"</f>
        <v>https://www.marmota.com.br/tee-horizontal-90-para-eletrocalha-200x50mm-perfilex-p50032?pp=/182.1443/</v>
      </c>
    </row>
    <row r="1343" spans="1:9" x14ac:dyDescent="0.25">
      <c r="A1343" s="29" t="s">
        <v>12</v>
      </c>
      <c r="B1343" s="29" t="s">
        <v>115</v>
      </c>
      <c r="C1343" s="29" t="s">
        <v>34</v>
      </c>
      <c r="D1343" s="37" t="s">
        <v>1326</v>
      </c>
      <c r="E1343" s="29" t="s">
        <v>788</v>
      </c>
      <c r="F1343" s="29" t="s">
        <v>36</v>
      </c>
      <c r="G1343" s="29">
        <v>74.53</v>
      </c>
      <c r="H1343" s="71" t="s">
        <v>740</v>
      </c>
      <c r="I1343" s="37" t="str">
        <f>"https://www.eletrotrafo.com.br/eletrocalha-galv-te-horiz-90-200x75-perf-19820003/p?skuId=18471"</f>
        <v>https://www.eletrotrafo.com.br/eletrocalha-galv-te-horiz-90-200x75-perf-19820003/p?skuId=18471</v>
      </c>
    </row>
    <row r="1344" spans="1:9" x14ac:dyDescent="0.25">
      <c r="A1344" s="29" t="s">
        <v>12</v>
      </c>
      <c r="B1344" s="29" t="s">
        <v>115</v>
      </c>
      <c r="C1344" s="29" t="s">
        <v>34</v>
      </c>
      <c r="D1344" s="37" t="s">
        <v>1327</v>
      </c>
      <c r="E1344" s="29" t="s">
        <v>788</v>
      </c>
      <c r="F1344" s="29" t="s">
        <v>36</v>
      </c>
      <c r="G1344" s="29">
        <v>133.57</v>
      </c>
      <c r="H1344" s="71" t="s">
        <v>740</v>
      </c>
      <c r="I1344" s="37" t="str">
        <f>"https://www.eletrotrafo.com.br/eletrocalha-galv-te-horiz-90-200x75-perf-19820003/p?skuId=18471"</f>
        <v>https://www.eletrotrafo.com.br/eletrocalha-galv-te-horiz-90-200x75-perf-19820003/p?skuId=18471</v>
      </c>
    </row>
    <row r="1345" spans="1:9" x14ac:dyDescent="0.25">
      <c r="A1345" s="29" t="s">
        <v>12</v>
      </c>
      <c r="B1345" s="29" t="s">
        <v>115</v>
      </c>
      <c r="C1345" s="29" t="s">
        <v>34</v>
      </c>
      <c r="D1345" s="37" t="s">
        <v>1328</v>
      </c>
      <c r="E1345" s="29" t="s">
        <v>796</v>
      </c>
      <c r="F1345" s="29" t="s">
        <v>36</v>
      </c>
      <c r="G1345" s="29">
        <v>22.84</v>
      </c>
      <c r="H1345" s="71" t="s">
        <v>793</v>
      </c>
      <c r="I1345" s="37" t="str">
        <f>"https://www.eletrotrafo.com.br/eletrocalha-galv-te-horiz-90-200x75-perf-19820003/p?skuId=18471; https://www.marmota.com.br/tee-horizontal-90-para-eletrocalha-50x50mm-perfilex-p49252?pp=/182.1443/"</f>
        <v>https://www.eletrotrafo.com.br/eletrocalha-galv-te-horiz-90-200x75-perf-19820003/p?skuId=18471; https://www.marmota.com.br/tee-horizontal-90-para-eletrocalha-50x50mm-perfilex-p49252?pp=/182.1443/</v>
      </c>
    </row>
    <row r="1346" spans="1:9" x14ac:dyDescent="0.25">
      <c r="A1346" s="29" t="s">
        <v>12</v>
      </c>
      <c r="B1346" s="29" t="s">
        <v>115</v>
      </c>
      <c r="C1346" s="29" t="s">
        <v>34</v>
      </c>
      <c r="D1346" s="37" t="s">
        <v>2153</v>
      </c>
      <c r="E1346" s="29" t="s">
        <v>798</v>
      </c>
      <c r="F1346" s="29" t="s">
        <v>36</v>
      </c>
      <c r="G1346" s="29">
        <v>63.7</v>
      </c>
      <c r="H1346" s="71" t="s">
        <v>793</v>
      </c>
      <c r="I1346" s="37" t="str">
        <f t="shared" ref="I1346:I1356" si="16">"https://www.infraeletrocalhas.com.br/eletrocalhas.asp?produtos=Eletrocalha-Galvanizada"</f>
        <v>https://www.infraeletrocalhas.com.br/eletrocalhas.asp?produtos=Eletrocalha-Galvanizada</v>
      </c>
    </row>
    <row r="1347" spans="1:9" x14ac:dyDescent="0.25">
      <c r="A1347" s="29" t="s">
        <v>12</v>
      </c>
      <c r="B1347" s="29" t="s">
        <v>115</v>
      </c>
      <c r="C1347" s="29" t="s">
        <v>34</v>
      </c>
      <c r="D1347" s="37" t="s">
        <v>2154</v>
      </c>
      <c r="E1347" s="29" t="s">
        <v>798</v>
      </c>
      <c r="F1347" s="29" t="s">
        <v>36</v>
      </c>
      <c r="G1347" s="29">
        <v>41.5</v>
      </c>
      <c r="H1347" s="71" t="s">
        <v>793</v>
      </c>
      <c r="I1347" s="37" t="str">
        <f t="shared" si="16"/>
        <v>https://www.infraeletrocalhas.com.br/eletrocalhas.asp?produtos=Eletrocalha-Galvanizada</v>
      </c>
    </row>
    <row r="1348" spans="1:9" x14ac:dyDescent="0.25">
      <c r="A1348" s="29" t="s">
        <v>12</v>
      </c>
      <c r="B1348" s="29" t="s">
        <v>115</v>
      </c>
      <c r="C1348" s="29" t="s">
        <v>34</v>
      </c>
      <c r="D1348" s="37" t="s">
        <v>2155</v>
      </c>
      <c r="E1348" s="29" t="s">
        <v>798</v>
      </c>
      <c r="F1348" s="29" t="s">
        <v>36</v>
      </c>
      <c r="G1348" s="29">
        <v>65.650000000000006</v>
      </c>
      <c r="H1348" s="71" t="s">
        <v>793</v>
      </c>
      <c r="I1348" s="37" t="str">
        <f t="shared" si="16"/>
        <v>https://www.infraeletrocalhas.com.br/eletrocalhas.asp?produtos=Eletrocalha-Galvanizada</v>
      </c>
    </row>
    <row r="1349" spans="1:9" x14ac:dyDescent="0.25">
      <c r="A1349" s="29" t="s">
        <v>12</v>
      </c>
      <c r="B1349" s="29" t="s">
        <v>115</v>
      </c>
      <c r="C1349" s="29" t="s">
        <v>34</v>
      </c>
      <c r="D1349" s="37" t="s">
        <v>2156</v>
      </c>
      <c r="E1349" s="29" t="s">
        <v>798</v>
      </c>
      <c r="F1349" s="29" t="s">
        <v>36</v>
      </c>
      <c r="G1349" s="29">
        <v>58.5</v>
      </c>
      <c r="H1349" s="71" t="s">
        <v>793</v>
      </c>
      <c r="I1349" s="37" t="str">
        <f t="shared" si="16"/>
        <v>https://www.infraeletrocalhas.com.br/eletrocalhas.asp?produtos=Eletrocalha-Galvanizada</v>
      </c>
    </row>
    <row r="1350" spans="1:9" x14ac:dyDescent="0.25">
      <c r="A1350" s="29" t="s">
        <v>12</v>
      </c>
      <c r="B1350" s="29" t="s">
        <v>115</v>
      </c>
      <c r="C1350" s="29" t="s">
        <v>34</v>
      </c>
      <c r="D1350" s="37" t="s">
        <v>2157</v>
      </c>
      <c r="E1350" s="29" t="s">
        <v>798</v>
      </c>
      <c r="F1350" s="29" t="s">
        <v>36</v>
      </c>
      <c r="G1350" s="29">
        <v>79</v>
      </c>
      <c r="H1350" s="71" t="s">
        <v>793</v>
      </c>
      <c r="I1350" s="37" t="str">
        <f t="shared" si="16"/>
        <v>https://www.infraeletrocalhas.com.br/eletrocalhas.asp?produtos=Eletrocalha-Galvanizada</v>
      </c>
    </row>
    <row r="1351" spans="1:9" x14ac:dyDescent="0.25">
      <c r="A1351" s="29" t="s">
        <v>12</v>
      </c>
      <c r="B1351" s="29" t="s">
        <v>115</v>
      </c>
      <c r="C1351" s="29" t="s">
        <v>34</v>
      </c>
      <c r="D1351" s="37" t="s">
        <v>2158</v>
      </c>
      <c r="E1351" s="29" t="s">
        <v>798</v>
      </c>
      <c r="F1351" s="29" t="s">
        <v>36</v>
      </c>
      <c r="G1351" s="29">
        <v>69.95</v>
      </c>
      <c r="H1351" s="71" t="s">
        <v>793</v>
      </c>
      <c r="I1351" s="37" t="str">
        <f t="shared" si="16"/>
        <v>https://www.infraeletrocalhas.com.br/eletrocalhas.asp?produtos=Eletrocalha-Galvanizada</v>
      </c>
    </row>
    <row r="1352" spans="1:9" x14ac:dyDescent="0.25">
      <c r="A1352" s="29" t="s">
        <v>12</v>
      </c>
      <c r="B1352" s="29" t="s">
        <v>115</v>
      </c>
      <c r="C1352" s="29" t="s">
        <v>34</v>
      </c>
      <c r="D1352" s="37" t="s">
        <v>2159</v>
      </c>
      <c r="E1352" s="29" t="s">
        <v>798</v>
      </c>
      <c r="F1352" s="29" t="s">
        <v>36</v>
      </c>
      <c r="G1352" s="29">
        <v>99.9</v>
      </c>
      <c r="H1352" s="71" t="s">
        <v>793</v>
      </c>
      <c r="I1352" s="37" t="str">
        <f t="shared" si="16"/>
        <v>https://www.infraeletrocalhas.com.br/eletrocalhas.asp?produtos=Eletrocalha-Galvanizada</v>
      </c>
    </row>
    <row r="1353" spans="1:9" x14ac:dyDescent="0.25">
      <c r="A1353" s="29" t="s">
        <v>12</v>
      </c>
      <c r="B1353" s="29" t="s">
        <v>115</v>
      </c>
      <c r="C1353" s="29" t="s">
        <v>34</v>
      </c>
      <c r="D1353" s="37" t="s">
        <v>2160</v>
      </c>
      <c r="E1353" s="29" t="s">
        <v>798</v>
      </c>
      <c r="F1353" s="29" t="s">
        <v>36</v>
      </c>
      <c r="G1353" s="29">
        <v>79</v>
      </c>
      <c r="H1353" s="71" t="s">
        <v>793</v>
      </c>
      <c r="I1353" s="37" t="str">
        <f t="shared" si="16"/>
        <v>https://www.infraeletrocalhas.com.br/eletrocalhas.asp?produtos=Eletrocalha-Galvanizada</v>
      </c>
    </row>
    <row r="1354" spans="1:9" x14ac:dyDescent="0.25">
      <c r="A1354" s="29" t="s">
        <v>12</v>
      </c>
      <c r="B1354" s="29" t="s">
        <v>115</v>
      </c>
      <c r="C1354" s="29" t="s">
        <v>34</v>
      </c>
      <c r="D1354" s="37" t="s">
        <v>2161</v>
      </c>
      <c r="E1354" s="29" t="s">
        <v>798</v>
      </c>
      <c r="F1354" s="29" t="s">
        <v>36</v>
      </c>
      <c r="G1354" s="29">
        <v>129.94999999999999</v>
      </c>
      <c r="H1354" s="71" t="s">
        <v>793</v>
      </c>
      <c r="I1354" s="37" t="str">
        <f t="shared" si="16"/>
        <v>https://www.infraeletrocalhas.com.br/eletrocalhas.asp?produtos=Eletrocalha-Galvanizada</v>
      </c>
    </row>
    <row r="1355" spans="1:9" x14ac:dyDescent="0.25">
      <c r="A1355" s="29" t="s">
        <v>12</v>
      </c>
      <c r="B1355" s="29" t="s">
        <v>115</v>
      </c>
      <c r="C1355" s="29" t="s">
        <v>34</v>
      </c>
      <c r="D1355" s="37" t="s">
        <v>2162</v>
      </c>
      <c r="E1355" s="29" t="s">
        <v>798</v>
      </c>
      <c r="F1355" s="29" t="s">
        <v>36</v>
      </c>
      <c r="G1355" s="29">
        <v>99.9</v>
      </c>
      <c r="H1355" s="71" t="s">
        <v>793</v>
      </c>
      <c r="I1355" s="37" t="str">
        <f t="shared" si="16"/>
        <v>https://www.infraeletrocalhas.com.br/eletrocalhas.asp?produtos=Eletrocalha-Galvanizada</v>
      </c>
    </row>
    <row r="1356" spans="1:9" x14ac:dyDescent="0.25">
      <c r="A1356" s="29" t="s">
        <v>12</v>
      </c>
      <c r="B1356" s="29" t="s">
        <v>115</v>
      </c>
      <c r="C1356" s="29" t="s">
        <v>34</v>
      </c>
      <c r="D1356" s="37" t="s">
        <v>2163</v>
      </c>
      <c r="E1356" s="29" t="s">
        <v>798</v>
      </c>
      <c r="F1356" s="29" t="s">
        <v>36</v>
      </c>
      <c r="G1356" s="29">
        <v>29.95</v>
      </c>
      <c r="H1356" s="71" t="s">
        <v>793</v>
      </c>
      <c r="I1356" s="37" t="str">
        <f t="shared" si="16"/>
        <v>https://www.infraeletrocalhas.com.br/eletrocalhas.asp?produtos=Eletrocalha-Galvanizada</v>
      </c>
    </row>
    <row r="1357" spans="1:9" x14ac:dyDescent="0.25">
      <c r="A1357" s="29" t="s">
        <v>12</v>
      </c>
      <c r="B1357" s="29" t="s">
        <v>115</v>
      </c>
      <c r="C1357" s="29" t="s">
        <v>34</v>
      </c>
      <c r="D1357" s="37" t="s">
        <v>1925</v>
      </c>
      <c r="E1357" s="29" t="s">
        <v>788</v>
      </c>
      <c r="F1357" s="29" t="s">
        <v>36</v>
      </c>
      <c r="G1357" s="29">
        <v>39.479999999999997</v>
      </c>
      <c r="H1357" s="71" t="s">
        <v>740</v>
      </c>
      <c r="I1357" s="37" t="str">
        <f>"https://www.eletrotrafo.com.br/eletrocalha-galv-te-vertical-descida-100x50-perf-1024-13370101/p?skuId=18617; https://www.eletrotrafo.com.br/eletrocalha-galv-te-vertical-descida-100x100-lisa-70001537/p?skuId=18616"</f>
        <v>https://www.eletrotrafo.com.br/eletrocalha-galv-te-vertical-descida-100x50-perf-1024-13370101/p?skuId=18617; https://www.eletrotrafo.com.br/eletrocalha-galv-te-vertical-descida-100x100-lisa-70001537/p?skuId=18616</v>
      </c>
    </row>
    <row r="1358" spans="1:9" x14ac:dyDescent="0.25">
      <c r="A1358" s="29" t="s">
        <v>12</v>
      </c>
      <c r="B1358" s="29" t="s">
        <v>115</v>
      </c>
      <c r="C1358" s="29" t="s">
        <v>34</v>
      </c>
      <c r="D1358" s="37" t="s">
        <v>1926</v>
      </c>
      <c r="E1358" s="29" t="s">
        <v>788</v>
      </c>
      <c r="F1358" s="29" t="s">
        <v>36</v>
      </c>
      <c r="G1358" s="29">
        <v>28.89</v>
      </c>
      <c r="H1358" s="71" t="s">
        <v>740</v>
      </c>
      <c r="I1358" s="37" t="str">
        <f>"https://www.eletrotrafo.com.br/eletrocalha-galv-te-vertical-descida-100x50-perf-1024-13370101/p?skuId=18617; https://www.eletrotrafo.com.br/eletrocalha-galv-te-vertical-descida-lat-100x50-perf-1026-cod--dp-719-07120065/p?skuId=18167"</f>
        <v>https://www.eletrotrafo.com.br/eletrocalha-galv-te-vertical-descida-100x50-perf-1024-13370101/p?skuId=18617; https://www.eletrotrafo.com.br/eletrocalha-galv-te-vertical-descida-lat-100x50-perf-1026-cod--dp-719-07120065/p?skuId=18167</v>
      </c>
    </row>
    <row r="1359" spans="1:9" x14ac:dyDescent="0.25">
      <c r="A1359" s="29" t="s">
        <v>12</v>
      </c>
      <c r="B1359" s="29" t="s">
        <v>115</v>
      </c>
      <c r="C1359" s="29" t="s">
        <v>34</v>
      </c>
      <c r="D1359" s="37" t="s">
        <v>1927</v>
      </c>
      <c r="E1359" s="29" t="s">
        <v>788</v>
      </c>
      <c r="F1359" s="29" t="s">
        <v>36</v>
      </c>
      <c r="G1359" s="29">
        <v>43.65</v>
      </c>
      <c r="H1359" s="71" t="s">
        <v>740</v>
      </c>
      <c r="I1359" s="37" t="str">
        <f>"https://www.eletrotrafo.com.br/eletrocalha-galv-te-vertical-descida-100x50-perf-1024-13370101/p?skuId=18617; https://www.eletrotrafo.com.br/eletrocalha-galv-te-vertical-descida-lat-100x50-perf-1026-cod--dp-719-07120065/p?skuId=18167"</f>
        <v>https://www.eletrotrafo.com.br/eletrocalha-galv-te-vertical-descida-100x50-perf-1024-13370101/p?skuId=18617; https://www.eletrotrafo.com.br/eletrocalha-galv-te-vertical-descida-lat-100x50-perf-1026-cod--dp-719-07120065/p?skuId=18167</v>
      </c>
    </row>
    <row r="1360" spans="1:9" x14ac:dyDescent="0.25">
      <c r="A1360" s="29" t="s">
        <v>12</v>
      </c>
      <c r="B1360" s="29" t="s">
        <v>115</v>
      </c>
      <c r="C1360" s="29" t="s">
        <v>34</v>
      </c>
      <c r="D1360" s="37" t="s">
        <v>1928</v>
      </c>
      <c r="E1360" s="29" t="s">
        <v>788</v>
      </c>
      <c r="F1360" s="29" t="s">
        <v>36</v>
      </c>
      <c r="G1360" s="29">
        <v>89.82</v>
      </c>
      <c r="H1360" s="71" t="s">
        <v>740</v>
      </c>
      <c r="I1360" s="37" t="str">
        <f>"https://www.eletrotrafo.com.br/eletrocalha-galv-te-vertical-descida-lat-100x50-perf-1026-cod--dp-719-07120065/p?skuId=18167"</f>
        <v>https://www.eletrotrafo.com.br/eletrocalha-galv-te-vertical-descida-lat-100x50-perf-1026-cod--dp-719-07120065/p?skuId=18167</v>
      </c>
    </row>
    <row r="1361" spans="1:9" x14ac:dyDescent="0.25">
      <c r="A1361" s="29" t="s">
        <v>12</v>
      </c>
      <c r="B1361" s="29" t="s">
        <v>115</v>
      </c>
      <c r="C1361" s="29" t="s">
        <v>34</v>
      </c>
      <c r="D1361" s="37" t="s">
        <v>1929</v>
      </c>
      <c r="E1361" s="29" t="s">
        <v>788</v>
      </c>
      <c r="F1361" s="29" t="s">
        <v>36</v>
      </c>
      <c r="G1361" s="29">
        <v>167.45</v>
      </c>
      <c r="H1361" s="71" t="s">
        <v>740</v>
      </c>
      <c r="I1361" s="37" t="str">
        <f>"https://www.eletrotrafo.com.br/eletrocalha-galv-te-vertical-descida-100x50-perf-1024-13370101/p?skuId=18617"</f>
        <v>https://www.eletrotrafo.com.br/eletrocalha-galv-te-vertical-descida-100x50-perf-1024-13370101/p?skuId=18617</v>
      </c>
    </row>
    <row r="1362" spans="1:9" x14ac:dyDescent="0.25">
      <c r="A1362" s="29" t="s">
        <v>12</v>
      </c>
      <c r="B1362" s="29" t="s">
        <v>115</v>
      </c>
      <c r="C1362" s="29" t="s">
        <v>34</v>
      </c>
      <c r="D1362" s="37" t="s">
        <v>1930</v>
      </c>
      <c r="E1362" s="29" t="s">
        <v>788</v>
      </c>
      <c r="F1362" s="29" t="s">
        <v>36</v>
      </c>
      <c r="G1362" s="29">
        <v>21.48</v>
      </c>
      <c r="H1362" s="71" t="s">
        <v>740</v>
      </c>
      <c r="I1362" s="37" t="str">
        <f>"https://www.eletrotrafo.com.br/eletrocalha-galv-te-vertical-descida-100x50-perf-1024-13370101/p?skuId=18617"</f>
        <v>https://www.eletrotrafo.com.br/eletrocalha-galv-te-vertical-descida-100x50-perf-1024-13370101/p?skuId=18617</v>
      </c>
    </row>
    <row r="1363" spans="1:9" x14ac:dyDescent="0.25">
      <c r="A1363" s="29" t="s">
        <v>12</v>
      </c>
      <c r="B1363" s="29" t="s">
        <v>115</v>
      </c>
      <c r="C1363" s="29" t="s">
        <v>34</v>
      </c>
      <c r="D1363" s="37" t="s">
        <v>1585</v>
      </c>
      <c r="E1363" s="29" t="s">
        <v>798</v>
      </c>
      <c r="F1363" s="29" t="s">
        <v>36</v>
      </c>
      <c r="G1363" s="29">
        <v>6.5</v>
      </c>
      <c r="H1363" s="71" t="s">
        <v>793</v>
      </c>
      <c r="I1363" s="37" t="str">
        <f t="shared" ref="I1363:I1373" si="17">"https://www.infraeletrocalhas.com.br/eletrocalhas.asp?produtos=Eletrocalha-Galvanizada"</f>
        <v>https://www.infraeletrocalhas.com.br/eletrocalhas.asp?produtos=Eletrocalha-Galvanizada</v>
      </c>
    </row>
    <row r="1364" spans="1:9" x14ac:dyDescent="0.25">
      <c r="A1364" s="29" t="s">
        <v>12</v>
      </c>
      <c r="B1364" s="29" t="s">
        <v>115</v>
      </c>
      <c r="C1364" s="29" t="s">
        <v>34</v>
      </c>
      <c r="D1364" s="37" t="s">
        <v>1586</v>
      </c>
      <c r="E1364" s="29" t="s">
        <v>798</v>
      </c>
      <c r="F1364" s="29" t="s">
        <v>36</v>
      </c>
      <c r="G1364" s="29">
        <v>4.9000000000000004</v>
      </c>
      <c r="H1364" s="71" t="s">
        <v>793</v>
      </c>
      <c r="I1364" s="37" t="str">
        <f t="shared" si="17"/>
        <v>https://www.infraeletrocalhas.com.br/eletrocalhas.asp?produtos=Eletrocalha-Galvanizada</v>
      </c>
    </row>
    <row r="1365" spans="1:9" x14ac:dyDescent="0.25">
      <c r="A1365" s="29" t="s">
        <v>12</v>
      </c>
      <c r="B1365" s="29" t="s">
        <v>115</v>
      </c>
      <c r="C1365" s="29" t="s">
        <v>34</v>
      </c>
      <c r="D1365" s="37" t="s">
        <v>1587</v>
      </c>
      <c r="E1365" s="29" t="s">
        <v>798</v>
      </c>
      <c r="F1365" s="29" t="s">
        <v>36</v>
      </c>
      <c r="G1365" s="29">
        <v>6.9</v>
      </c>
      <c r="H1365" s="71" t="s">
        <v>793</v>
      </c>
      <c r="I1365" s="37" t="str">
        <f t="shared" si="17"/>
        <v>https://www.infraeletrocalhas.com.br/eletrocalhas.asp?produtos=Eletrocalha-Galvanizada</v>
      </c>
    </row>
    <row r="1366" spans="1:9" x14ac:dyDescent="0.25">
      <c r="A1366" s="29" t="s">
        <v>12</v>
      </c>
      <c r="B1366" s="29" t="s">
        <v>115</v>
      </c>
      <c r="C1366" s="29" t="s">
        <v>34</v>
      </c>
      <c r="D1366" s="37" t="s">
        <v>1588</v>
      </c>
      <c r="E1366" s="29" t="s">
        <v>798</v>
      </c>
      <c r="F1366" s="29" t="s">
        <v>36</v>
      </c>
      <c r="G1366" s="29">
        <v>6.5</v>
      </c>
      <c r="H1366" s="71" t="s">
        <v>793</v>
      </c>
      <c r="I1366" s="37" t="str">
        <f t="shared" si="17"/>
        <v>https://www.infraeletrocalhas.com.br/eletrocalhas.asp?produtos=Eletrocalha-Galvanizada</v>
      </c>
    </row>
    <row r="1367" spans="1:9" x14ac:dyDescent="0.25">
      <c r="A1367" s="29" t="s">
        <v>12</v>
      </c>
      <c r="B1367" s="29" t="s">
        <v>115</v>
      </c>
      <c r="C1367" s="29" t="s">
        <v>34</v>
      </c>
      <c r="D1367" s="37" t="s">
        <v>1589</v>
      </c>
      <c r="E1367" s="29" t="s">
        <v>798</v>
      </c>
      <c r="F1367" s="29" t="s">
        <v>36</v>
      </c>
      <c r="G1367" s="29">
        <v>7.95</v>
      </c>
      <c r="H1367" s="71" t="s">
        <v>793</v>
      </c>
      <c r="I1367" s="37" t="str">
        <f t="shared" si="17"/>
        <v>https://www.infraeletrocalhas.com.br/eletrocalhas.asp?produtos=Eletrocalha-Galvanizada</v>
      </c>
    </row>
    <row r="1368" spans="1:9" x14ac:dyDescent="0.25">
      <c r="A1368" s="29" t="s">
        <v>12</v>
      </c>
      <c r="B1368" s="29" t="s">
        <v>115</v>
      </c>
      <c r="C1368" s="29" t="s">
        <v>34</v>
      </c>
      <c r="D1368" s="37" t="s">
        <v>1590</v>
      </c>
      <c r="E1368" s="29" t="s">
        <v>798</v>
      </c>
      <c r="F1368" s="29" t="s">
        <v>36</v>
      </c>
      <c r="G1368" s="29">
        <v>6.9</v>
      </c>
      <c r="H1368" s="71" t="s">
        <v>793</v>
      </c>
      <c r="I1368" s="37" t="str">
        <f t="shared" si="17"/>
        <v>https://www.infraeletrocalhas.com.br/eletrocalhas.asp?produtos=Eletrocalha-Galvanizada</v>
      </c>
    </row>
    <row r="1369" spans="1:9" x14ac:dyDescent="0.25">
      <c r="A1369" s="29" t="s">
        <v>12</v>
      </c>
      <c r="B1369" s="29" t="s">
        <v>115</v>
      </c>
      <c r="C1369" s="29" t="s">
        <v>34</v>
      </c>
      <c r="D1369" s="37" t="s">
        <v>1591</v>
      </c>
      <c r="E1369" s="29" t="s">
        <v>798</v>
      </c>
      <c r="F1369" s="29" t="s">
        <v>36</v>
      </c>
      <c r="G1369" s="29">
        <v>10.45</v>
      </c>
      <c r="H1369" s="71" t="s">
        <v>793</v>
      </c>
      <c r="I1369" s="37" t="str">
        <f t="shared" si="17"/>
        <v>https://www.infraeletrocalhas.com.br/eletrocalhas.asp?produtos=Eletrocalha-Galvanizada</v>
      </c>
    </row>
    <row r="1370" spans="1:9" x14ac:dyDescent="0.25">
      <c r="A1370" s="29" t="s">
        <v>12</v>
      </c>
      <c r="B1370" s="29" t="s">
        <v>115</v>
      </c>
      <c r="C1370" s="29" t="s">
        <v>34</v>
      </c>
      <c r="D1370" s="37" t="s">
        <v>1592</v>
      </c>
      <c r="E1370" s="29" t="s">
        <v>798</v>
      </c>
      <c r="F1370" s="29" t="s">
        <v>36</v>
      </c>
      <c r="G1370" s="29">
        <v>7.9</v>
      </c>
      <c r="H1370" s="71" t="s">
        <v>793</v>
      </c>
      <c r="I1370" s="37" t="str">
        <f t="shared" si="17"/>
        <v>https://www.infraeletrocalhas.com.br/eletrocalhas.asp?produtos=Eletrocalha-Galvanizada</v>
      </c>
    </row>
    <row r="1371" spans="1:9" x14ac:dyDescent="0.25">
      <c r="A1371" s="29" t="s">
        <v>12</v>
      </c>
      <c r="B1371" s="29" t="s">
        <v>115</v>
      </c>
      <c r="C1371" s="29" t="s">
        <v>34</v>
      </c>
      <c r="D1371" s="37" t="s">
        <v>1593</v>
      </c>
      <c r="E1371" s="29" t="s">
        <v>798</v>
      </c>
      <c r="F1371" s="29" t="s">
        <v>36</v>
      </c>
      <c r="G1371" s="29">
        <v>14.95</v>
      </c>
      <c r="H1371" s="71" t="s">
        <v>793</v>
      </c>
      <c r="I1371" s="37" t="str">
        <f t="shared" si="17"/>
        <v>https://www.infraeletrocalhas.com.br/eletrocalhas.asp?produtos=Eletrocalha-Galvanizada</v>
      </c>
    </row>
    <row r="1372" spans="1:9" x14ac:dyDescent="0.25">
      <c r="A1372" s="29" t="s">
        <v>12</v>
      </c>
      <c r="B1372" s="29" t="s">
        <v>115</v>
      </c>
      <c r="C1372" s="29" t="s">
        <v>34</v>
      </c>
      <c r="D1372" s="37" t="s">
        <v>1594</v>
      </c>
      <c r="E1372" s="29" t="s">
        <v>798</v>
      </c>
      <c r="F1372" s="29" t="s">
        <v>36</v>
      </c>
      <c r="G1372" s="29">
        <v>10.45</v>
      </c>
      <c r="H1372" s="71" t="s">
        <v>793</v>
      </c>
      <c r="I1372" s="37" t="str">
        <f t="shared" si="17"/>
        <v>https://www.infraeletrocalhas.com.br/eletrocalhas.asp?produtos=Eletrocalha-Galvanizada</v>
      </c>
    </row>
    <row r="1373" spans="1:9" x14ac:dyDescent="0.25">
      <c r="A1373" s="29" t="s">
        <v>12</v>
      </c>
      <c r="B1373" s="29" t="s">
        <v>115</v>
      </c>
      <c r="C1373" s="29" t="s">
        <v>34</v>
      </c>
      <c r="D1373" s="37" t="s">
        <v>1595</v>
      </c>
      <c r="E1373" s="29" t="s">
        <v>798</v>
      </c>
      <c r="F1373" s="29" t="s">
        <v>36</v>
      </c>
      <c r="G1373" s="29">
        <v>3.95</v>
      </c>
      <c r="H1373" s="71" t="s">
        <v>793</v>
      </c>
      <c r="I1373" s="37" t="str">
        <f t="shared" si="17"/>
        <v>https://www.infraeletrocalhas.com.br/eletrocalhas.asp?produtos=Eletrocalha-Galvanizada</v>
      </c>
    </row>
    <row r="1374" spans="1:9" x14ac:dyDescent="0.25">
      <c r="A1374" s="29" t="s">
        <v>12</v>
      </c>
      <c r="B1374" s="29" t="s">
        <v>115</v>
      </c>
      <c r="C1374" s="29" t="s">
        <v>34</v>
      </c>
      <c r="D1374" s="37" t="s">
        <v>1596</v>
      </c>
      <c r="E1374" s="29" t="s">
        <v>788</v>
      </c>
      <c r="F1374" s="29" t="s">
        <v>36</v>
      </c>
      <c r="G1374" s="29">
        <v>5.28</v>
      </c>
      <c r="H1374" s="71" t="s">
        <v>740</v>
      </c>
      <c r="I1374" s="37" t="str">
        <f>"https://www.eletrotrafo.com.br/eletrocalha-galv-terminal-100-x-150-dp219-13370135/p?skuId=18469"</f>
        <v>https://www.eletrotrafo.com.br/eletrocalha-galv-terminal-100-x-150-dp219-13370135/p?skuId=18469</v>
      </c>
    </row>
    <row r="1375" spans="1:9" x14ac:dyDescent="0.25">
      <c r="A1375" s="29" t="s">
        <v>12</v>
      </c>
      <c r="B1375" s="29" t="s">
        <v>115</v>
      </c>
      <c r="C1375" s="29" t="s">
        <v>34</v>
      </c>
      <c r="D1375" s="37" t="s">
        <v>1597</v>
      </c>
      <c r="E1375" s="29" t="s">
        <v>788</v>
      </c>
      <c r="F1375" s="29" t="s">
        <v>36</v>
      </c>
      <c r="G1375" s="29">
        <v>6.91</v>
      </c>
      <c r="H1375" s="71" t="s">
        <v>740</v>
      </c>
      <c r="I1375" s="37" t="str">
        <f>"https://www.eletrotrafo.com.br/eletrocalha-galv-terminal-100-x-150-dp219-13370135/p?skuId=18469"</f>
        <v>https://www.eletrotrafo.com.br/eletrocalha-galv-terminal-100-x-150-dp219-13370135/p?skuId=18469</v>
      </c>
    </row>
    <row r="1376" spans="1:9" x14ac:dyDescent="0.25">
      <c r="A1376" s="29" t="s">
        <v>12</v>
      </c>
      <c r="B1376" s="29" t="s">
        <v>115</v>
      </c>
      <c r="C1376" s="29" t="s">
        <v>34</v>
      </c>
      <c r="D1376" s="37" t="s">
        <v>1598</v>
      </c>
      <c r="E1376" s="29" t="s">
        <v>37</v>
      </c>
      <c r="F1376" s="29" t="s">
        <v>36</v>
      </c>
      <c r="G1376" s="29">
        <v>10.56</v>
      </c>
      <c r="H1376" s="71" t="s">
        <v>740</v>
      </c>
      <c r="I1376" s="37" t="str">
        <f>"https://www.zigferramentas.com.br/eletrocalha-terminal-de-fechamento-200-x-100mm-5-pecas"</f>
        <v>https://www.zigferramentas.com.br/eletrocalha-terminal-de-fechamento-200-x-100mm-5-pecas</v>
      </c>
    </row>
    <row r="1377" spans="1:9" x14ac:dyDescent="0.25">
      <c r="A1377" s="29" t="s">
        <v>12</v>
      </c>
      <c r="B1377" s="29" t="s">
        <v>80</v>
      </c>
      <c r="C1377" s="29" t="s">
        <v>34</v>
      </c>
      <c r="D1377" s="37" t="s">
        <v>955</v>
      </c>
      <c r="E1377" s="29" t="s">
        <v>798</v>
      </c>
      <c r="F1377" s="29" t="s">
        <v>36</v>
      </c>
      <c r="G1377" s="29">
        <v>1.4</v>
      </c>
      <c r="H1377" s="71" t="s">
        <v>800</v>
      </c>
      <c r="I1377" s="37" t="str">
        <f t="shared" ref="I1377:I1407" si="18">"https://www.infraeletrocalhas.com.br/eletrodutos_galv.asp?produto=Eletrodutos-galvanizados"</f>
        <v>https://www.infraeletrocalhas.com.br/eletrodutos_galv.asp?produto=Eletrodutos-galvanizados</v>
      </c>
    </row>
    <row r="1378" spans="1:9" x14ac:dyDescent="0.25">
      <c r="A1378" s="29" t="s">
        <v>12</v>
      </c>
      <c r="B1378" s="29" t="s">
        <v>80</v>
      </c>
      <c r="C1378" s="29" t="s">
        <v>34</v>
      </c>
      <c r="D1378" s="37" t="s">
        <v>956</v>
      </c>
      <c r="E1378" s="29" t="s">
        <v>798</v>
      </c>
      <c r="F1378" s="29" t="s">
        <v>36</v>
      </c>
      <c r="G1378" s="29">
        <v>2.5</v>
      </c>
      <c r="H1378" s="71" t="s">
        <v>800</v>
      </c>
      <c r="I1378" s="37" t="str">
        <f t="shared" si="18"/>
        <v>https://www.infraeletrocalhas.com.br/eletrodutos_galv.asp?produto=Eletrodutos-galvanizados</v>
      </c>
    </row>
    <row r="1379" spans="1:9" x14ac:dyDescent="0.25">
      <c r="A1379" s="29" t="s">
        <v>12</v>
      </c>
      <c r="B1379" s="29" t="s">
        <v>80</v>
      </c>
      <c r="C1379" s="29" t="s">
        <v>34</v>
      </c>
      <c r="D1379" s="37" t="s">
        <v>957</v>
      </c>
      <c r="E1379" s="29" t="s">
        <v>798</v>
      </c>
      <c r="F1379" s="29" t="s">
        <v>36</v>
      </c>
      <c r="G1379" s="29">
        <v>2.2000000000000002</v>
      </c>
      <c r="H1379" s="71" t="s">
        <v>800</v>
      </c>
      <c r="I1379" s="37" t="str">
        <f t="shared" si="18"/>
        <v>https://www.infraeletrocalhas.com.br/eletrodutos_galv.asp?produto=Eletrodutos-galvanizados</v>
      </c>
    </row>
    <row r="1380" spans="1:9" x14ac:dyDescent="0.25">
      <c r="A1380" s="29" t="s">
        <v>12</v>
      </c>
      <c r="B1380" s="29" t="s">
        <v>80</v>
      </c>
      <c r="C1380" s="29" t="s">
        <v>34</v>
      </c>
      <c r="D1380" s="37" t="s">
        <v>958</v>
      </c>
      <c r="E1380" s="29" t="s">
        <v>798</v>
      </c>
      <c r="F1380" s="29" t="s">
        <v>36</v>
      </c>
      <c r="G1380" s="29">
        <v>0.8</v>
      </c>
      <c r="H1380" s="71" t="s">
        <v>800</v>
      </c>
      <c r="I1380" s="37" t="str">
        <f t="shared" si="18"/>
        <v>https://www.infraeletrocalhas.com.br/eletrodutos_galv.asp?produto=Eletrodutos-galvanizados</v>
      </c>
    </row>
    <row r="1381" spans="1:9" x14ac:dyDescent="0.25">
      <c r="A1381" s="29" t="s">
        <v>12</v>
      </c>
      <c r="B1381" s="29" t="s">
        <v>80</v>
      </c>
      <c r="C1381" s="29" t="s">
        <v>34</v>
      </c>
      <c r="D1381" s="37" t="s">
        <v>959</v>
      </c>
      <c r="E1381" s="29" t="s">
        <v>798</v>
      </c>
      <c r="F1381" s="29" t="s">
        <v>36</v>
      </c>
      <c r="G1381" s="29">
        <v>2.8</v>
      </c>
      <c r="H1381" s="71" t="s">
        <v>800</v>
      </c>
      <c r="I1381" s="37" t="str">
        <f t="shared" si="18"/>
        <v>https://www.infraeletrocalhas.com.br/eletrodutos_galv.asp?produto=Eletrodutos-galvanizados</v>
      </c>
    </row>
    <row r="1382" spans="1:9" x14ac:dyDescent="0.25">
      <c r="A1382" s="29" t="s">
        <v>12</v>
      </c>
      <c r="B1382" s="29" t="s">
        <v>80</v>
      </c>
      <c r="C1382" s="29" t="s">
        <v>34</v>
      </c>
      <c r="D1382" s="37" t="s">
        <v>960</v>
      </c>
      <c r="E1382" s="29" t="s">
        <v>798</v>
      </c>
      <c r="F1382" s="29" t="s">
        <v>36</v>
      </c>
      <c r="G1382" s="29">
        <v>9.8000000000000007</v>
      </c>
      <c r="H1382" s="71" t="s">
        <v>800</v>
      </c>
      <c r="I1382" s="37" t="str">
        <f t="shared" si="18"/>
        <v>https://www.infraeletrocalhas.com.br/eletrodutos_galv.asp?produto=Eletrodutos-galvanizados</v>
      </c>
    </row>
    <row r="1383" spans="1:9" x14ac:dyDescent="0.25">
      <c r="A1383" s="29" t="s">
        <v>12</v>
      </c>
      <c r="B1383" s="29" t="s">
        <v>80</v>
      </c>
      <c r="C1383" s="29" t="s">
        <v>34</v>
      </c>
      <c r="D1383" s="37" t="s">
        <v>961</v>
      </c>
      <c r="E1383" s="29" t="s">
        <v>798</v>
      </c>
      <c r="F1383" s="29" t="s">
        <v>36</v>
      </c>
      <c r="G1383" s="29">
        <v>1.3</v>
      </c>
      <c r="H1383" s="71" t="s">
        <v>800</v>
      </c>
      <c r="I1383" s="37" t="str">
        <f t="shared" si="18"/>
        <v>https://www.infraeletrocalhas.com.br/eletrodutos_galv.asp?produto=Eletrodutos-galvanizados</v>
      </c>
    </row>
    <row r="1384" spans="1:9" x14ac:dyDescent="0.25">
      <c r="A1384" s="29" t="s">
        <v>12</v>
      </c>
      <c r="B1384" s="29" t="s">
        <v>80</v>
      </c>
      <c r="C1384" s="29" t="s">
        <v>34</v>
      </c>
      <c r="D1384" s="37" t="s">
        <v>962</v>
      </c>
      <c r="E1384" s="29" t="s">
        <v>798</v>
      </c>
      <c r="F1384" s="29" t="s">
        <v>36</v>
      </c>
      <c r="G1384" s="29">
        <v>11.95</v>
      </c>
      <c r="H1384" s="71" t="s">
        <v>800</v>
      </c>
      <c r="I1384" s="37" t="str">
        <f t="shared" si="18"/>
        <v>https://www.infraeletrocalhas.com.br/eletrodutos_galv.asp?produto=Eletrodutos-galvanizados</v>
      </c>
    </row>
    <row r="1385" spans="1:9" x14ac:dyDescent="0.25">
      <c r="A1385" s="29" t="s">
        <v>12</v>
      </c>
      <c r="B1385" s="29" t="s">
        <v>80</v>
      </c>
      <c r="C1385" s="29" t="s">
        <v>34</v>
      </c>
      <c r="D1385" s="37" t="s">
        <v>963</v>
      </c>
      <c r="E1385" s="29" t="s">
        <v>798</v>
      </c>
      <c r="F1385" s="29" t="s">
        <v>36</v>
      </c>
      <c r="G1385" s="29">
        <v>8.5</v>
      </c>
      <c r="H1385" s="71" t="s">
        <v>800</v>
      </c>
      <c r="I1385" s="37" t="str">
        <f t="shared" si="18"/>
        <v>https://www.infraeletrocalhas.com.br/eletrodutos_galv.asp?produto=Eletrodutos-galvanizados</v>
      </c>
    </row>
    <row r="1386" spans="1:9" x14ac:dyDescent="0.25">
      <c r="A1386" s="29" t="s">
        <v>12</v>
      </c>
      <c r="B1386" s="29" t="s">
        <v>80</v>
      </c>
      <c r="C1386" s="29" t="s">
        <v>34</v>
      </c>
      <c r="D1386" s="37" t="s">
        <v>964</v>
      </c>
      <c r="E1386" s="29" t="s">
        <v>798</v>
      </c>
      <c r="F1386" s="29" t="s">
        <v>36</v>
      </c>
      <c r="G1386" s="29">
        <v>32.5</v>
      </c>
      <c r="H1386" s="71" t="s">
        <v>800</v>
      </c>
      <c r="I1386" s="37" t="str">
        <f t="shared" si="18"/>
        <v>https://www.infraeletrocalhas.com.br/eletrodutos_galv.asp?produto=Eletrodutos-galvanizados</v>
      </c>
    </row>
    <row r="1387" spans="1:9" x14ac:dyDescent="0.25">
      <c r="A1387" s="29" t="s">
        <v>12</v>
      </c>
      <c r="B1387" s="29" t="s">
        <v>80</v>
      </c>
      <c r="C1387" s="29" t="s">
        <v>34</v>
      </c>
      <c r="D1387" s="37" t="s">
        <v>965</v>
      </c>
      <c r="E1387" s="29" t="s">
        <v>798</v>
      </c>
      <c r="F1387" s="29" t="s">
        <v>36</v>
      </c>
      <c r="G1387" s="29">
        <v>19.850000000000001</v>
      </c>
      <c r="H1387" s="71" t="s">
        <v>800</v>
      </c>
      <c r="I1387" s="37" t="str">
        <f t="shared" si="18"/>
        <v>https://www.infraeletrocalhas.com.br/eletrodutos_galv.asp?produto=Eletrodutos-galvanizados</v>
      </c>
    </row>
    <row r="1388" spans="1:9" x14ac:dyDescent="0.25">
      <c r="A1388" s="29" t="s">
        <v>12</v>
      </c>
      <c r="B1388" s="29" t="s">
        <v>80</v>
      </c>
      <c r="C1388" s="29" t="s">
        <v>34</v>
      </c>
      <c r="D1388" s="37" t="s">
        <v>966</v>
      </c>
      <c r="E1388" s="29" t="s">
        <v>798</v>
      </c>
      <c r="F1388" s="29" t="s">
        <v>36</v>
      </c>
      <c r="G1388" s="29">
        <v>4.5</v>
      </c>
      <c r="H1388" s="71" t="s">
        <v>800</v>
      </c>
      <c r="I1388" s="37" t="str">
        <f t="shared" si="18"/>
        <v>https://www.infraeletrocalhas.com.br/eletrodutos_galv.asp?produto=Eletrodutos-galvanizados</v>
      </c>
    </row>
    <row r="1389" spans="1:9" x14ac:dyDescent="0.25">
      <c r="A1389" s="29" t="s">
        <v>12</v>
      </c>
      <c r="B1389" s="29" t="s">
        <v>80</v>
      </c>
      <c r="C1389" s="29" t="s">
        <v>34</v>
      </c>
      <c r="D1389" s="37" t="s">
        <v>967</v>
      </c>
      <c r="E1389" s="29" t="s">
        <v>798</v>
      </c>
      <c r="F1389" s="29" t="s">
        <v>36</v>
      </c>
      <c r="G1389" s="29">
        <v>39</v>
      </c>
      <c r="H1389" s="71" t="s">
        <v>800</v>
      </c>
      <c r="I1389" s="37" t="str">
        <f t="shared" si="18"/>
        <v>https://www.infraeletrocalhas.com.br/eletrodutos_galv.asp?produto=Eletrodutos-galvanizados</v>
      </c>
    </row>
    <row r="1390" spans="1:9" x14ac:dyDescent="0.25">
      <c r="A1390" s="29" t="s">
        <v>12</v>
      </c>
      <c r="B1390" s="29" t="s">
        <v>80</v>
      </c>
      <c r="C1390" s="29" t="s">
        <v>34</v>
      </c>
      <c r="D1390" s="37" t="s">
        <v>968</v>
      </c>
      <c r="E1390" s="29" t="s">
        <v>798</v>
      </c>
      <c r="F1390" s="29" t="s">
        <v>36</v>
      </c>
      <c r="G1390" s="29">
        <v>8</v>
      </c>
      <c r="H1390" s="71" t="s">
        <v>800</v>
      </c>
      <c r="I1390" s="37" t="str">
        <f t="shared" si="18"/>
        <v>https://www.infraeletrocalhas.com.br/eletrodutos_galv.asp?produto=Eletrodutos-galvanizados</v>
      </c>
    </row>
    <row r="1391" spans="1:9" x14ac:dyDescent="0.25">
      <c r="A1391" s="29" t="s">
        <v>12</v>
      </c>
      <c r="B1391" s="29" t="s">
        <v>80</v>
      </c>
      <c r="C1391" s="29" t="s">
        <v>34</v>
      </c>
      <c r="D1391" s="37" t="s">
        <v>969</v>
      </c>
      <c r="E1391" s="29" t="s">
        <v>798</v>
      </c>
      <c r="F1391" s="29" t="s">
        <v>36</v>
      </c>
      <c r="G1391" s="29">
        <v>4.4000000000000004</v>
      </c>
      <c r="H1391" s="71" t="s">
        <v>800</v>
      </c>
      <c r="I1391" s="37" t="str">
        <f t="shared" si="18"/>
        <v>https://www.infraeletrocalhas.com.br/eletrodutos_galv.asp?produto=Eletrodutos-galvanizados</v>
      </c>
    </row>
    <row r="1392" spans="1:9" x14ac:dyDescent="0.25">
      <c r="A1392" s="29" t="s">
        <v>12</v>
      </c>
      <c r="B1392" s="29" t="s">
        <v>80</v>
      </c>
      <c r="C1392" s="29" t="s">
        <v>34</v>
      </c>
      <c r="D1392" s="37" t="s">
        <v>970</v>
      </c>
      <c r="E1392" s="29" t="s">
        <v>798</v>
      </c>
      <c r="F1392" s="29" t="s">
        <v>36</v>
      </c>
      <c r="G1392" s="29">
        <v>10.8</v>
      </c>
      <c r="H1392" s="71" t="s">
        <v>800</v>
      </c>
      <c r="I1392" s="37" t="str">
        <f t="shared" si="18"/>
        <v>https://www.infraeletrocalhas.com.br/eletrodutos_galv.asp?produto=Eletrodutos-galvanizados</v>
      </c>
    </row>
    <row r="1393" spans="1:9" x14ac:dyDescent="0.25">
      <c r="A1393" s="29" t="s">
        <v>12</v>
      </c>
      <c r="B1393" s="29" t="s">
        <v>80</v>
      </c>
      <c r="C1393" s="29" t="s">
        <v>34</v>
      </c>
      <c r="D1393" s="37" t="s">
        <v>971</v>
      </c>
      <c r="E1393" s="29" t="s">
        <v>798</v>
      </c>
      <c r="F1393" s="29" t="s">
        <v>36</v>
      </c>
      <c r="G1393" s="29">
        <v>8.6999999999999993</v>
      </c>
      <c r="H1393" s="71" t="s">
        <v>800</v>
      </c>
      <c r="I1393" s="37" t="str">
        <f t="shared" si="18"/>
        <v>https://www.infraeletrocalhas.com.br/eletrodutos_galv.asp?produto=Eletrodutos-galvanizados</v>
      </c>
    </row>
    <row r="1394" spans="1:9" x14ac:dyDescent="0.25">
      <c r="A1394" s="29" t="s">
        <v>12</v>
      </c>
      <c r="B1394" s="29" t="s">
        <v>80</v>
      </c>
      <c r="C1394" s="29" t="s">
        <v>34</v>
      </c>
      <c r="D1394" s="37" t="s">
        <v>972</v>
      </c>
      <c r="E1394" s="29" t="s">
        <v>798</v>
      </c>
      <c r="F1394" s="29" t="s">
        <v>36</v>
      </c>
      <c r="G1394" s="29">
        <v>3.3</v>
      </c>
      <c r="H1394" s="71" t="s">
        <v>800</v>
      </c>
      <c r="I1394" s="37" t="str">
        <f t="shared" si="18"/>
        <v>https://www.infraeletrocalhas.com.br/eletrodutos_galv.asp?produto=Eletrodutos-galvanizados</v>
      </c>
    </row>
    <row r="1395" spans="1:9" x14ac:dyDescent="0.25">
      <c r="A1395" s="29" t="s">
        <v>12</v>
      </c>
      <c r="B1395" s="29" t="s">
        <v>80</v>
      </c>
      <c r="C1395" s="29" t="s">
        <v>34</v>
      </c>
      <c r="D1395" s="37" t="s">
        <v>973</v>
      </c>
      <c r="E1395" s="29" t="s">
        <v>798</v>
      </c>
      <c r="F1395" s="29" t="s">
        <v>36</v>
      </c>
      <c r="G1395" s="29">
        <v>14.2</v>
      </c>
      <c r="H1395" s="71" t="s">
        <v>800</v>
      </c>
      <c r="I1395" s="37" t="str">
        <f t="shared" si="18"/>
        <v>https://www.infraeletrocalhas.com.br/eletrodutos_galv.asp?produto=Eletrodutos-galvanizados</v>
      </c>
    </row>
    <row r="1396" spans="1:9" x14ac:dyDescent="0.25">
      <c r="A1396" s="29" t="s">
        <v>12</v>
      </c>
      <c r="B1396" s="29" t="s">
        <v>80</v>
      </c>
      <c r="C1396" s="29" t="s">
        <v>34</v>
      </c>
      <c r="D1396" s="37" t="s">
        <v>974</v>
      </c>
      <c r="E1396" s="29" t="s">
        <v>798</v>
      </c>
      <c r="F1396" s="29" t="s">
        <v>36</v>
      </c>
      <c r="G1396" s="29">
        <v>32.299999999999997</v>
      </c>
      <c r="H1396" s="71" t="s">
        <v>800</v>
      </c>
      <c r="I1396" s="37" t="str">
        <f t="shared" si="18"/>
        <v>https://www.infraeletrocalhas.com.br/eletrodutos_galv.asp?produto=Eletrodutos-galvanizados</v>
      </c>
    </row>
    <row r="1397" spans="1:9" x14ac:dyDescent="0.25">
      <c r="A1397" s="29" t="s">
        <v>12</v>
      </c>
      <c r="B1397" s="29" t="s">
        <v>80</v>
      </c>
      <c r="C1397" s="29" t="s">
        <v>34</v>
      </c>
      <c r="D1397" s="37" t="s">
        <v>975</v>
      </c>
      <c r="E1397" s="29" t="s">
        <v>798</v>
      </c>
      <c r="F1397" s="29" t="s">
        <v>36</v>
      </c>
      <c r="G1397" s="29">
        <v>39.950000000000003</v>
      </c>
      <c r="H1397" s="71" t="s">
        <v>800</v>
      </c>
      <c r="I1397" s="37" t="str">
        <f t="shared" si="18"/>
        <v>https://www.infraeletrocalhas.com.br/eletrodutos_galv.asp?produto=Eletrodutos-galvanizados</v>
      </c>
    </row>
    <row r="1398" spans="1:9" x14ac:dyDescent="0.25">
      <c r="A1398" s="29" t="s">
        <v>12</v>
      </c>
      <c r="B1398" s="29" t="s">
        <v>80</v>
      </c>
      <c r="C1398" s="29" t="s">
        <v>34</v>
      </c>
      <c r="D1398" s="37" t="s">
        <v>976</v>
      </c>
      <c r="E1398" s="29" t="s">
        <v>798</v>
      </c>
      <c r="F1398" s="29" t="s">
        <v>36</v>
      </c>
      <c r="G1398" s="29">
        <v>3.2</v>
      </c>
      <c r="H1398" s="71" t="s">
        <v>800</v>
      </c>
      <c r="I1398" s="37" t="str">
        <f t="shared" si="18"/>
        <v>https://www.infraeletrocalhas.com.br/eletrodutos_galv.asp?produto=Eletrodutos-galvanizados</v>
      </c>
    </row>
    <row r="1399" spans="1:9" x14ac:dyDescent="0.25">
      <c r="A1399" s="29" t="s">
        <v>12</v>
      </c>
      <c r="B1399" s="29" t="s">
        <v>80</v>
      </c>
      <c r="C1399" s="29" t="s">
        <v>34</v>
      </c>
      <c r="D1399" s="37" t="s">
        <v>977</v>
      </c>
      <c r="E1399" s="29" t="s">
        <v>798</v>
      </c>
      <c r="F1399" s="29" t="s">
        <v>36</v>
      </c>
      <c r="G1399" s="29">
        <v>49.95</v>
      </c>
      <c r="H1399" s="71" t="s">
        <v>800</v>
      </c>
      <c r="I1399" s="37" t="str">
        <f t="shared" si="18"/>
        <v>https://www.infraeletrocalhas.com.br/eletrodutos_galv.asp?produto=Eletrodutos-galvanizados</v>
      </c>
    </row>
    <row r="1400" spans="1:9" x14ac:dyDescent="0.25">
      <c r="A1400" s="29" t="s">
        <v>12</v>
      </c>
      <c r="B1400" s="29" t="s">
        <v>80</v>
      </c>
      <c r="C1400" s="29" t="s">
        <v>34</v>
      </c>
      <c r="D1400" s="37" t="s">
        <v>978</v>
      </c>
      <c r="E1400" s="29" t="s">
        <v>798</v>
      </c>
      <c r="F1400" s="29" t="s">
        <v>36</v>
      </c>
      <c r="G1400" s="29">
        <v>1.85</v>
      </c>
      <c r="H1400" s="71" t="s">
        <v>800</v>
      </c>
      <c r="I1400" s="37" t="str">
        <f t="shared" si="18"/>
        <v>https://www.infraeletrocalhas.com.br/eletrodutos_galv.asp?produto=Eletrodutos-galvanizados</v>
      </c>
    </row>
    <row r="1401" spans="1:9" x14ac:dyDescent="0.25">
      <c r="A1401" s="29" t="s">
        <v>12</v>
      </c>
      <c r="B1401" s="29" t="s">
        <v>80</v>
      </c>
      <c r="C1401" s="29" t="s">
        <v>34</v>
      </c>
      <c r="D1401" s="37" t="s">
        <v>979</v>
      </c>
      <c r="E1401" s="29" t="s">
        <v>798</v>
      </c>
      <c r="F1401" s="29" t="s">
        <v>36</v>
      </c>
      <c r="G1401" s="29">
        <v>2.8</v>
      </c>
      <c r="H1401" s="71" t="s">
        <v>800</v>
      </c>
      <c r="I1401" s="37" t="str">
        <f t="shared" si="18"/>
        <v>https://www.infraeletrocalhas.com.br/eletrodutos_galv.asp?produto=Eletrodutos-galvanizados</v>
      </c>
    </row>
    <row r="1402" spans="1:9" x14ac:dyDescent="0.25">
      <c r="A1402" s="29" t="s">
        <v>12</v>
      </c>
      <c r="B1402" s="29" t="s">
        <v>80</v>
      </c>
      <c r="C1402" s="29" t="s">
        <v>34</v>
      </c>
      <c r="D1402" s="37" t="s">
        <v>980</v>
      </c>
      <c r="E1402" s="29" t="s">
        <v>798</v>
      </c>
      <c r="F1402" s="29" t="s">
        <v>36</v>
      </c>
      <c r="G1402" s="29">
        <v>2.2000000000000002</v>
      </c>
      <c r="H1402" s="71" t="s">
        <v>800</v>
      </c>
      <c r="I1402" s="37" t="str">
        <f t="shared" si="18"/>
        <v>https://www.infraeletrocalhas.com.br/eletrodutos_galv.asp?produto=Eletrodutos-galvanizados</v>
      </c>
    </row>
    <row r="1403" spans="1:9" x14ac:dyDescent="0.25">
      <c r="A1403" s="29" t="s">
        <v>12</v>
      </c>
      <c r="B1403" s="29" t="s">
        <v>80</v>
      </c>
      <c r="C1403" s="29" t="s">
        <v>34</v>
      </c>
      <c r="D1403" s="37" t="s">
        <v>981</v>
      </c>
      <c r="E1403" s="29" t="s">
        <v>798</v>
      </c>
      <c r="F1403" s="29" t="s">
        <v>36</v>
      </c>
      <c r="G1403" s="29">
        <v>1</v>
      </c>
      <c r="H1403" s="71" t="s">
        <v>800</v>
      </c>
      <c r="I1403" s="37" t="str">
        <f t="shared" si="18"/>
        <v>https://www.infraeletrocalhas.com.br/eletrodutos_galv.asp?produto=Eletrodutos-galvanizados</v>
      </c>
    </row>
    <row r="1404" spans="1:9" x14ac:dyDescent="0.25">
      <c r="A1404" s="29" t="s">
        <v>12</v>
      </c>
      <c r="B1404" s="29" t="s">
        <v>80</v>
      </c>
      <c r="C1404" s="29" t="s">
        <v>34</v>
      </c>
      <c r="D1404" s="37" t="s">
        <v>982</v>
      </c>
      <c r="E1404" s="29" t="s">
        <v>798</v>
      </c>
      <c r="F1404" s="29" t="s">
        <v>36</v>
      </c>
      <c r="G1404" s="29">
        <v>5.95</v>
      </c>
      <c r="H1404" s="71" t="s">
        <v>800</v>
      </c>
      <c r="I1404" s="37" t="str">
        <f t="shared" si="18"/>
        <v>https://www.infraeletrocalhas.com.br/eletrodutos_galv.asp?produto=Eletrodutos-galvanizados</v>
      </c>
    </row>
    <row r="1405" spans="1:9" x14ac:dyDescent="0.25">
      <c r="A1405" s="29" t="s">
        <v>12</v>
      </c>
      <c r="B1405" s="29" t="s">
        <v>80</v>
      </c>
      <c r="C1405" s="29" t="s">
        <v>34</v>
      </c>
      <c r="D1405" s="37" t="s">
        <v>983</v>
      </c>
      <c r="E1405" s="29" t="s">
        <v>798</v>
      </c>
      <c r="F1405" s="29" t="s">
        <v>36</v>
      </c>
      <c r="G1405" s="29">
        <v>9.8000000000000007</v>
      </c>
      <c r="H1405" s="71" t="s">
        <v>800</v>
      </c>
      <c r="I1405" s="37" t="str">
        <f t="shared" si="18"/>
        <v>https://www.infraeletrocalhas.com.br/eletrodutos_galv.asp?produto=Eletrodutos-galvanizados</v>
      </c>
    </row>
    <row r="1406" spans="1:9" x14ac:dyDescent="0.25">
      <c r="A1406" s="29" t="s">
        <v>12</v>
      </c>
      <c r="B1406" s="29" t="s">
        <v>80</v>
      </c>
      <c r="C1406" s="29" t="s">
        <v>34</v>
      </c>
      <c r="D1406" s="37" t="s">
        <v>984</v>
      </c>
      <c r="E1406" s="29" t="s">
        <v>798</v>
      </c>
      <c r="F1406" s="29" t="s">
        <v>36</v>
      </c>
      <c r="G1406" s="29">
        <v>1.5</v>
      </c>
      <c r="H1406" s="71" t="s">
        <v>800</v>
      </c>
      <c r="I1406" s="37" t="str">
        <f t="shared" si="18"/>
        <v>https://www.infraeletrocalhas.com.br/eletrodutos_galv.asp?produto=Eletrodutos-galvanizados</v>
      </c>
    </row>
    <row r="1407" spans="1:9" x14ac:dyDescent="0.25">
      <c r="A1407" s="29" t="s">
        <v>12</v>
      </c>
      <c r="B1407" s="29" t="s">
        <v>80</v>
      </c>
      <c r="C1407" s="29" t="s">
        <v>34</v>
      </c>
      <c r="D1407" s="37" t="s">
        <v>985</v>
      </c>
      <c r="E1407" s="29" t="s">
        <v>798</v>
      </c>
      <c r="F1407" s="29" t="s">
        <v>36</v>
      </c>
      <c r="G1407" s="29">
        <v>17.350000000000001</v>
      </c>
      <c r="H1407" s="71" t="s">
        <v>800</v>
      </c>
      <c r="I1407" s="37" t="str">
        <f t="shared" si="18"/>
        <v>https://www.infraeletrocalhas.com.br/eletrodutos_galv.asp?produto=Eletrodutos-galvanizados</v>
      </c>
    </row>
    <row r="1408" spans="1:9" x14ac:dyDescent="0.25">
      <c r="A1408" s="29" t="s">
        <v>12</v>
      </c>
      <c r="B1408" s="29" t="s">
        <v>80</v>
      </c>
      <c r="C1408" s="29">
        <v>1049</v>
      </c>
      <c r="D1408" s="37" t="s">
        <v>1931</v>
      </c>
      <c r="E1408" s="29" t="s">
        <v>37</v>
      </c>
      <c r="F1408" s="29" t="s">
        <v>36</v>
      </c>
      <c r="G1408" s="29">
        <v>9.48</v>
      </c>
      <c r="H1408" s="71" t="s">
        <v>38</v>
      </c>
      <c r="I1408" s="37" t="s">
        <v>207</v>
      </c>
    </row>
    <row r="1409" spans="1:9" x14ac:dyDescent="0.25">
      <c r="A1409" s="29" t="s">
        <v>12</v>
      </c>
      <c r="B1409" s="29" t="s">
        <v>80</v>
      </c>
      <c r="C1409" s="29">
        <v>1099</v>
      </c>
      <c r="D1409" s="37" t="s">
        <v>1932</v>
      </c>
      <c r="E1409" s="29" t="s">
        <v>37</v>
      </c>
      <c r="F1409" s="29" t="s">
        <v>36</v>
      </c>
      <c r="G1409" s="29">
        <v>7.26</v>
      </c>
      <c r="H1409" s="71" t="s">
        <v>38</v>
      </c>
      <c r="I1409" s="37" t="s">
        <v>207</v>
      </c>
    </row>
    <row r="1410" spans="1:9" x14ac:dyDescent="0.25">
      <c r="A1410" s="29" t="s">
        <v>12</v>
      </c>
      <c r="B1410" s="29" t="s">
        <v>80</v>
      </c>
      <c r="C1410" s="29">
        <v>1050</v>
      </c>
      <c r="D1410" s="37" t="s">
        <v>1933</v>
      </c>
      <c r="E1410" s="29" t="s">
        <v>37</v>
      </c>
      <c r="F1410" s="29" t="s">
        <v>36</v>
      </c>
      <c r="G1410" s="29">
        <v>4.96</v>
      </c>
      <c r="H1410" s="71" t="s">
        <v>38</v>
      </c>
      <c r="I1410" s="37" t="s">
        <v>207</v>
      </c>
    </row>
    <row r="1411" spans="1:9" x14ac:dyDescent="0.25">
      <c r="A1411" s="29" t="s">
        <v>12</v>
      </c>
      <c r="B1411" s="29" t="s">
        <v>80</v>
      </c>
      <c r="C1411" s="29">
        <v>39678</v>
      </c>
      <c r="D1411" s="37" t="s">
        <v>1934</v>
      </c>
      <c r="E1411" s="29" t="s">
        <v>37</v>
      </c>
      <c r="F1411" s="29" t="s">
        <v>36</v>
      </c>
      <c r="G1411" s="29">
        <v>2.92</v>
      </c>
      <c r="H1411" s="71" t="s">
        <v>38</v>
      </c>
      <c r="I1411" s="37" t="s">
        <v>207</v>
      </c>
    </row>
    <row r="1412" spans="1:9" x14ac:dyDescent="0.25">
      <c r="A1412" s="29" t="s">
        <v>12</v>
      </c>
      <c r="B1412" s="29" t="s">
        <v>80</v>
      </c>
      <c r="C1412" s="29">
        <v>1101</v>
      </c>
      <c r="D1412" s="37" t="s">
        <v>1935</v>
      </c>
      <c r="E1412" s="29" t="s">
        <v>37</v>
      </c>
      <c r="F1412" s="29" t="s">
        <v>36</v>
      </c>
      <c r="G1412" s="29">
        <v>31.29</v>
      </c>
      <c r="H1412" s="71" t="s">
        <v>38</v>
      </c>
      <c r="I1412" s="37" t="s">
        <v>207</v>
      </c>
    </row>
    <row r="1413" spans="1:9" x14ac:dyDescent="0.25">
      <c r="A1413" s="29" t="s">
        <v>12</v>
      </c>
      <c r="B1413" s="29" t="s">
        <v>80</v>
      </c>
      <c r="C1413" s="29">
        <v>1100</v>
      </c>
      <c r="D1413" s="37" t="s">
        <v>1936</v>
      </c>
      <c r="E1413" s="29" t="s">
        <v>37</v>
      </c>
      <c r="F1413" s="29" t="s">
        <v>36</v>
      </c>
      <c r="G1413" s="29">
        <v>16.14</v>
      </c>
      <c r="H1413" s="71" t="s">
        <v>38</v>
      </c>
      <c r="I1413" s="37" t="s">
        <v>207</v>
      </c>
    </row>
    <row r="1414" spans="1:9" x14ac:dyDescent="0.25">
      <c r="A1414" s="29" t="s">
        <v>12</v>
      </c>
      <c r="B1414" s="29" t="s">
        <v>80</v>
      </c>
      <c r="C1414" s="29">
        <v>39679</v>
      </c>
      <c r="D1414" s="37" t="s">
        <v>1937</v>
      </c>
      <c r="E1414" s="29" t="s">
        <v>37</v>
      </c>
      <c r="F1414" s="29" t="s">
        <v>36</v>
      </c>
      <c r="G1414" s="29">
        <v>62.36</v>
      </c>
      <c r="H1414" s="71" t="s">
        <v>38</v>
      </c>
      <c r="I1414" s="37" t="s">
        <v>207</v>
      </c>
    </row>
    <row r="1415" spans="1:9" x14ac:dyDescent="0.25">
      <c r="A1415" s="29" t="s">
        <v>12</v>
      </c>
      <c r="B1415" s="29" t="s">
        <v>80</v>
      </c>
      <c r="C1415" s="29">
        <v>1102</v>
      </c>
      <c r="D1415" s="37" t="s">
        <v>1938</v>
      </c>
      <c r="E1415" s="29" t="s">
        <v>37</v>
      </c>
      <c r="F1415" s="29" t="s">
        <v>36</v>
      </c>
      <c r="G1415" s="29">
        <v>46.66</v>
      </c>
      <c r="H1415" s="71" t="s">
        <v>38</v>
      </c>
      <c r="I1415" s="37" t="s">
        <v>207</v>
      </c>
    </row>
    <row r="1416" spans="1:9" x14ac:dyDescent="0.25">
      <c r="A1416" s="29" t="s">
        <v>12</v>
      </c>
      <c r="B1416" s="29" t="s">
        <v>80</v>
      </c>
      <c r="C1416" s="29">
        <v>1098</v>
      </c>
      <c r="D1416" s="37" t="s">
        <v>1939</v>
      </c>
      <c r="E1416" s="29" t="s">
        <v>37</v>
      </c>
      <c r="F1416" s="29" t="s">
        <v>36</v>
      </c>
      <c r="G1416" s="29">
        <v>3.87</v>
      </c>
      <c r="H1416" s="71" t="s">
        <v>38</v>
      </c>
      <c r="I1416" s="37" t="s">
        <v>207</v>
      </c>
    </row>
    <row r="1417" spans="1:9" x14ac:dyDescent="0.25">
      <c r="A1417" s="29" t="s">
        <v>12</v>
      </c>
      <c r="B1417" s="29" t="s">
        <v>80</v>
      </c>
      <c r="C1417" s="29">
        <v>1051</v>
      </c>
      <c r="D1417" s="37" t="s">
        <v>1940</v>
      </c>
      <c r="E1417" s="29" t="s">
        <v>37</v>
      </c>
      <c r="F1417" s="29" t="s">
        <v>36</v>
      </c>
      <c r="G1417" s="29">
        <v>67.819999999999993</v>
      </c>
      <c r="H1417" s="71" t="s">
        <v>38</v>
      </c>
      <c r="I1417" s="37" t="s">
        <v>207</v>
      </c>
    </row>
    <row r="1418" spans="1:9" x14ac:dyDescent="0.25">
      <c r="A1418" s="29" t="s">
        <v>12</v>
      </c>
      <c r="B1418" s="29" t="s">
        <v>80</v>
      </c>
      <c r="C1418" s="29">
        <v>2628</v>
      </c>
      <c r="D1418" s="37" t="s">
        <v>1941</v>
      </c>
      <c r="E1418" s="29" t="s">
        <v>37</v>
      </c>
      <c r="F1418" s="29" t="s">
        <v>36</v>
      </c>
      <c r="G1418" s="29">
        <v>349.34</v>
      </c>
      <c r="H1418" s="71" t="s">
        <v>38</v>
      </c>
      <c r="I1418" s="37" t="s">
        <v>207</v>
      </c>
    </row>
    <row r="1419" spans="1:9" x14ac:dyDescent="0.25">
      <c r="A1419" s="29" t="s">
        <v>12</v>
      </c>
      <c r="B1419" s="29" t="s">
        <v>80</v>
      </c>
      <c r="C1419" s="29">
        <v>2622</v>
      </c>
      <c r="D1419" s="37" t="s">
        <v>1942</v>
      </c>
      <c r="E1419" s="29" t="s">
        <v>37</v>
      </c>
      <c r="F1419" s="29" t="s">
        <v>36</v>
      </c>
      <c r="G1419" s="29">
        <v>8.3000000000000007</v>
      </c>
      <c r="H1419" s="71" t="s">
        <v>38</v>
      </c>
      <c r="I1419" s="37" t="s">
        <v>207</v>
      </c>
    </row>
    <row r="1420" spans="1:9" x14ac:dyDescent="0.25">
      <c r="A1420" s="29" t="s">
        <v>12</v>
      </c>
      <c r="B1420" s="29" t="s">
        <v>80</v>
      </c>
      <c r="C1420" s="29">
        <v>2623</v>
      </c>
      <c r="D1420" s="37" t="s">
        <v>1943</v>
      </c>
      <c r="E1420" s="29" t="s">
        <v>37</v>
      </c>
      <c r="F1420" s="29" t="s">
        <v>36</v>
      </c>
      <c r="G1420" s="29">
        <v>9.98</v>
      </c>
      <c r="H1420" s="71" t="s">
        <v>38</v>
      </c>
      <c r="I1420" s="37" t="s">
        <v>207</v>
      </c>
    </row>
    <row r="1421" spans="1:9" x14ac:dyDescent="0.25">
      <c r="A1421" s="29" t="s">
        <v>12</v>
      </c>
      <c r="B1421" s="29" t="s">
        <v>80</v>
      </c>
      <c r="C1421" s="29">
        <v>2624</v>
      </c>
      <c r="D1421" s="37" t="s">
        <v>1944</v>
      </c>
      <c r="E1421" s="29" t="s">
        <v>37</v>
      </c>
      <c r="F1421" s="29" t="s">
        <v>36</v>
      </c>
      <c r="G1421" s="29">
        <v>15.88</v>
      </c>
      <c r="H1421" s="71" t="s">
        <v>38</v>
      </c>
      <c r="I1421" s="37" t="s">
        <v>207</v>
      </c>
    </row>
    <row r="1422" spans="1:9" x14ac:dyDescent="0.25">
      <c r="A1422" s="29" t="s">
        <v>12</v>
      </c>
      <c r="B1422" s="29" t="s">
        <v>80</v>
      </c>
      <c r="C1422" s="29">
        <v>2625</v>
      </c>
      <c r="D1422" s="37" t="s">
        <v>1945</v>
      </c>
      <c r="E1422" s="29" t="s">
        <v>37</v>
      </c>
      <c r="F1422" s="29" t="s">
        <v>36</v>
      </c>
      <c r="G1422" s="29">
        <v>33.520000000000003</v>
      </c>
      <c r="H1422" s="71" t="s">
        <v>38</v>
      </c>
      <c r="I1422" s="37" t="s">
        <v>207</v>
      </c>
    </row>
    <row r="1423" spans="1:9" x14ac:dyDescent="0.25">
      <c r="A1423" s="29" t="s">
        <v>12</v>
      </c>
      <c r="B1423" s="29" t="s">
        <v>80</v>
      </c>
      <c r="C1423" s="29">
        <v>2626</v>
      </c>
      <c r="D1423" s="37" t="s">
        <v>1946</v>
      </c>
      <c r="E1423" s="29" t="s">
        <v>37</v>
      </c>
      <c r="F1423" s="29" t="s">
        <v>36</v>
      </c>
      <c r="G1423" s="29">
        <v>49.12</v>
      </c>
      <c r="H1423" s="71" t="s">
        <v>38</v>
      </c>
      <c r="I1423" s="37" t="s">
        <v>207</v>
      </c>
    </row>
    <row r="1424" spans="1:9" x14ac:dyDescent="0.25">
      <c r="A1424" s="29" t="s">
        <v>12</v>
      </c>
      <c r="B1424" s="29" t="s">
        <v>80</v>
      </c>
      <c r="C1424" s="29">
        <v>2630</v>
      </c>
      <c r="D1424" s="37" t="s">
        <v>1947</v>
      </c>
      <c r="E1424" s="29" t="s">
        <v>37</v>
      </c>
      <c r="F1424" s="29" t="s">
        <v>36</v>
      </c>
      <c r="G1424" s="29">
        <v>74.7</v>
      </c>
      <c r="H1424" s="71" t="s">
        <v>38</v>
      </c>
      <c r="I1424" s="37" t="s">
        <v>207</v>
      </c>
    </row>
    <row r="1425" spans="1:9" x14ac:dyDescent="0.25">
      <c r="A1425" s="29" t="s">
        <v>12</v>
      </c>
      <c r="B1425" s="29" t="s">
        <v>80</v>
      </c>
      <c r="C1425" s="29">
        <v>2627</v>
      </c>
      <c r="D1425" s="37" t="s">
        <v>1948</v>
      </c>
      <c r="E1425" s="29" t="s">
        <v>37</v>
      </c>
      <c r="F1425" s="29" t="s">
        <v>36</v>
      </c>
      <c r="G1425" s="29">
        <v>131.58000000000001</v>
      </c>
      <c r="H1425" s="71" t="s">
        <v>38</v>
      </c>
      <c r="I1425" s="37" t="s">
        <v>207</v>
      </c>
    </row>
    <row r="1426" spans="1:9" x14ac:dyDescent="0.25">
      <c r="A1426" s="29" t="s">
        <v>12</v>
      </c>
      <c r="B1426" s="29" t="s">
        <v>80</v>
      </c>
      <c r="C1426" s="29">
        <v>2629</v>
      </c>
      <c r="D1426" s="37" t="s">
        <v>1949</v>
      </c>
      <c r="E1426" s="29" t="s">
        <v>37</v>
      </c>
      <c r="F1426" s="29" t="s">
        <v>36</v>
      </c>
      <c r="G1426" s="29">
        <v>177.97</v>
      </c>
      <c r="H1426" s="71" t="s">
        <v>38</v>
      </c>
      <c r="I1426" s="37" t="s">
        <v>207</v>
      </c>
    </row>
    <row r="1427" spans="1:9" x14ac:dyDescent="0.25">
      <c r="A1427" s="29" t="s">
        <v>12</v>
      </c>
      <c r="B1427" s="29" t="s">
        <v>80</v>
      </c>
      <c r="C1427" s="29">
        <v>1880</v>
      </c>
      <c r="D1427" s="37" t="s">
        <v>2495</v>
      </c>
      <c r="E1427" s="29" t="s">
        <v>37</v>
      </c>
      <c r="F1427" s="29" t="s">
        <v>36</v>
      </c>
      <c r="G1427" s="29">
        <v>3.63</v>
      </c>
      <c r="H1427" s="71" t="s">
        <v>38</v>
      </c>
      <c r="I1427" s="37" t="s">
        <v>207</v>
      </c>
    </row>
    <row r="1428" spans="1:9" x14ac:dyDescent="0.25">
      <c r="A1428" s="29" t="s">
        <v>12</v>
      </c>
      <c r="B1428" s="29" t="s">
        <v>80</v>
      </c>
      <c r="C1428" s="29">
        <v>39274</v>
      </c>
      <c r="D1428" s="37" t="s">
        <v>2496</v>
      </c>
      <c r="E1428" s="29" t="s">
        <v>37</v>
      </c>
      <c r="F1428" s="29" t="s">
        <v>36</v>
      </c>
      <c r="G1428" s="29">
        <v>2.81</v>
      </c>
      <c r="H1428" s="71" t="s">
        <v>38</v>
      </c>
      <c r="I1428" s="37" t="s">
        <v>207</v>
      </c>
    </row>
    <row r="1429" spans="1:9" x14ac:dyDescent="0.25">
      <c r="A1429" s="29" t="s">
        <v>12</v>
      </c>
      <c r="B1429" s="29" t="s">
        <v>80</v>
      </c>
      <c r="C1429" s="29">
        <v>12033</v>
      </c>
      <c r="D1429" s="37" t="s">
        <v>2497</v>
      </c>
      <c r="E1429" s="29" t="s">
        <v>37</v>
      </c>
      <c r="F1429" s="29" t="s">
        <v>36</v>
      </c>
      <c r="G1429" s="29">
        <v>11.58</v>
      </c>
      <c r="H1429" s="71" t="s">
        <v>38</v>
      </c>
      <c r="I1429" s="37" t="s">
        <v>207</v>
      </c>
    </row>
    <row r="1430" spans="1:9" x14ac:dyDescent="0.25">
      <c r="A1430" s="29" t="s">
        <v>12</v>
      </c>
      <c r="B1430" s="29" t="s">
        <v>80</v>
      </c>
      <c r="C1430" s="29">
        <v>40408</v>
      </c>
      <c r="D1430" s="37" t="s">
        <v>2498</v>
      </c>
      <c r="E1430" s="29" t="s">
        <v>37</v>
      </c>
      <c r="F1430" s="29" t="s">
        <v>36</v>
      </c>
      <c r="G1430" s="29">
        <v>7.61</v>
      </c>
      <c r="H1430" s="71" t="s">
        <v>38</v>
      </c>
      <c r="I1430" s="37" t="s">
        <v>207</v>
      </c>
    </row>
    <row r="1431" spans="1:9" x14ac:dyDescent="0.25">
      <c r="A1431" s="29" t="s">
        <v>12</v>
      </c>
      <c r="B1431" s="29" t="s">
        <v>80</v>
      </c>
      <c r="C1431" s="29">
        <v>39276</v>
      </c>
      <c r="D1431" s="37" t="s">
        <v>2499</v>
      </c>
      <c r="E1431" s="29" t="s">
        <v>37</v>
      </c>
      <c r="F1431" s="29" t="s">
        <v>36</v>
      </c>
      <c r="G1431" s="29">
        <v>6.86</v>
      </c>
      <c r="H1431" s="71" t="s">
        <v>38</v>
      </c>
      <c r="I1431" s="37" t="s">
        <v>207</v>
      </c>
    </row>
    <row r="1432" spans="1:9" x14ac:dyDescent="0.25">
      <c r="A1432" s="29" t="s">
        <v>12</v>
      </c>
      <c r="B1432" s="29" t="s">
        <v>80</v>
      </c>
      <c r="C1432" s="29">
        <v>40409</v>
      </c>
      <c r="D1432" s="37" t="s">
        <v>2500</v>
      </c>
      <c r="E1432" s="29" t="s">
        <v>37</v>
      </c>
      <c r="F1432" s="29" t="s">
        <v>36</v>
      </c>
      <c r="G1432" s="29">
        <v>2.69</v>
      </c>
      <c r="H1432" s="71" t="s">
        <v>38</v>
      </c>
      <c r="I1432" s="37" t="s">
        <v>207</v>
      </c>
    </row>
    <row r="1433" spans="1:9" x14ac:dyDescent="0.25">
      <c r="A1433" s="29" t="s">
        <v>12</v>
      </c>
      <c r="B1433" s="29" t="s">
        <v>80</v>
      </c>
      <c r="C1433" s="29">
        <v>39277</v>
      </c>
      <c r="D1433" s="37" t="s">
        <v>2501</v>
      </c>
      <c r="E1433" s="29" t="s">
        <v>37</v>
      </c>
      <c r="F1433" s="29" t="s">
        <v>36</v>
      </c>
      <c r="G1433" s="29">
        <v>18.52</v>
      </c>
      <c r="H1433" s="71" t="s">
        <v>38</v>
      </c>
      <c r="I1433" s="37" t="s">
        <v>207</v>
      </c>
    </row>
    <row r="1434" spans="1:9" x14ac:dyDescent="0.25">
      <c r="A1434" s="29" t="s">
        <v>12</v>
      </c>
      <c r="B1434" s="29" t="s">
        <v>80</v>
      </c>
      <c r="C1434" s="29">
        <v>12034</v>
      </c>
      <c r="D1434" s="37" t="s">
        <v>2502</v>
      </c>
      <c r="E1434" s="29" t="s">
        <v>37</v>
      </c>
      <c r="F1434" s="29" t="s">
        <v>36</v>
      </c>
      <c r="G1434" s="29">
        <v>5.25</v>
      </c>
      <c r="H1434" s="71" t="s">
        <v>38</v>
      </c>
      <c r="I1434" s="37" t="s">
        <v>207</v>
      </c>
    </row>
    <row r="1435" spans="1:9" x14ac:dyDescent="0.25">
      <c r="A1435" s="29" t="s">
        <v>12</v>
      </c>
      <c r="B1435" s="29" t="s">
        <v>80</v>
      </c>
      <c r="C1435" s="29">
        <v>2609</v>
      </c>
      <c r="D1435" s="37" t="s">
        <v>1950</v>
      </c>
      <c r="E1435" s="29" t="s">
        <v>37</v>
      </c>
      <c r="F1435" s="29" t="s">
        <v>36</v>
      </c>
      <c r="G1435" s="29">
        <v>7.79</v>
      </c>
      <c r="H1435" s="71" t="s">
        <v>38</v>
      </c>
      <c r="I1435" s="37" t="s">
        <v>207</v>
      </c>
    </row>
    <row r="1436" spans="1:9" x14ac:dyDescent="0.25">
      <c r="A1436" s="29" t="s">
        <v>12</v>
      </c>
      <c r="B1436" s="29" t="s">
        <v>80</v>
      </c>
      <c r="C1436" s="29">
        <v>2634</v>
      </c>
      <c r="D1436" s="37" t="s">
        <v>1951</v>
      </c>
      <c r="E1436" s="29" t="s">
        <v>37</v>
      </c>
      <c r="F1436" s="29" t="s">
        <v>36</v>
      </c>
      <c r="G1436" s="29">
        <v>10.24</v>
      </c>
      <c r="H1436" s="71" t="s">
        <v>38</v>
      </c>
      <c r="I1436" s="37" t="s">
        <v>207</v>
      </c>
    </row>
    <row r="1437" spans="1:9" x14ac:dyDescent="0.25">
      <c r="A1437" s="29" t="s">
        <v>12</v>
      </c>
      <c r="B1437" s="29" t="s">
        <v>80</v>
      </c>
      <c r="C1437" s="29">
        <v>2611</v>
      </c>
      <c r="D1437" s="37" t="s">
        <v>1952</v>
      </c>
      <c r="E1437" s="29" t="s">
        <v>37</v>
      </c>
      <c r="F1437" s="29" t="s">
        <v>36</v>
      </c>
      <c r="G1437" s="29">
        <v>28.85</v>
      </c>
      <c r="H1437" s="71" t="s">
        <v>38</v>
      </c>
      <c r="I1437" s="37" t="s">
        <v>207</v>
      </c>
    </row>
    <row r="1438" spans="1:9" x14ac:dyDescent="0.25">
      <c r="A1438" s="29" t="s">
        <v>12</v>
      </c>
      <c r="B1438" s="29" t="s">
        <v>80</v>
      </c>
      <c r="C1438" s="29">
        <v>2621</v>
      </c>
      <c r="D1438" s="37" t="s">
        <v>1953</v>
      </c>
      <c r="E1438" s="29" t="s">
        <v>37</v>
      </c>
      <c r="F1438" s="29" t="s">
        <v>36</v>
      </c>
      <c r="G1438" s="29">
        <v>246.82</v>
      </c>
      <c r="H1438" s="71" t="s">
        <v>38</v>
      </c>
      <c r="I1438" s="37" t="s">
        <v>207</v>
      </c>
    </row>
    <row r="1439" spans="1:9" x14ac:dyDescent="0.25">
      <c r="A1439" s="29" t="s">
        <v>12</v>
      </c>
      <c r="B1439" s="29" t="s">
        <v>80</v>
      </c>
      <c r="C1439" s="29">
        <v>2616</v>
      </c>
      <c r="D1439" s="37" t="s">
        <v>1954</v>
      </c>
      <c r="E1439" s="29" t="s">
        <v>37</v>
      </c>
      <c r="F1439" s="29" t="s">
        <v>36</v>
      </c>
      <c r="G1439" s="29">
        <v>6.98</v>
      </c>
      <c r="H1439" s="71" t="s">
        <v>38</v>
      </c>
      <c r="I1439" s="37" t="s">
        <v>207</v>
      </c>
    </row>
    <row r="1440" spans="1:9" x14ac:dyDescent="0.25">
      <c r="A1440" s="29" t="s">
        <v>12</v>
      </c>
      <c r="B1440" s="29" t="s">
        <v>80</v>
      </c>
      <c r="C1440" s="29">
        <v>2633</v>
      </c>
      <c r="D1440" s="37" t="s">
        <v>1955</v>
      </c>
      <c r="E1440" s="29" t="s">
        <v>37</v>
      </c>
      <c r="F1440" s="29" t="s">
        <v>36</v>
      </c>
      <c r="G1440" s="29">
        <v>7.9</v>
      </c>
      <c r="H1440" s="71" t="s">
        <v>38</v>
      </c>
      <c r="I1440" s="37" t="s">
        <v>207</v>
      </c>
    </row>
    <row r="1441" spans="1:9" x14ac:dyDescent="0.25">
      <c r="A1441" s="29" t="s">
        <v>12</v>
      </c>
      <c r="B1441" s="29" t="s">
        <v>80</v>
      </c>
      <c r="C1441" s="29">
        <v>2617</v>
      </c>
      <c r="D1441" s="37" t="s">
        <v>1956</v>
      </c>
      <c r="E1441" s="29" t="s">
        <v>37</v>
      </c>
      <c r="F1441" s="29" t="s">
        <v>36</v>
      </c>
      <c r="G1441" s="29">
        <v>10.74</v>
      </c>
      <c r="H1441" s="71" t="s">
        <v>38</v>
      </c>
      <c r="I1441" s="37" t="s">
        <v>207</v>
      </c>
    </row>
    <row r="1442" spans="1:9" x14ac:dyDescent="0.25">
      <c r="A1442" s="29" t="s">
        <v>12</v>
      </c>
      <c r="B1442" s="29" t="s">
        <v>80</v>
      </c>
      <c r="C1442" s="29">
        <v>2618</v>
      </c>
      <c r="D1442" s="37" t="s">
        <v>1957</v>
      </c>
      <c r="E1442" s="29" t="s">
        <v>37</v>
      </c>
      <c r="F1442" s="29" t="s">
        <v>36</v>
      </c>
      <c r="G1442" s="29">
        <v>24.45</v>
      </c>
      <c r="H1442" s="71" t="s">
        <v>38</v>
      </c>
      <c r="I1442" s="37" t="s">
        <v>207</v>
      </c>
    </row>
    <row r="1443" spans="1:9" x14ac:dyDescent="0.25">
      <c r="A1443" s="29" t="s">
        <v>12</v>
      </c>
      <c r="B1443" s="29" t="s">
        <v>80</v>
      </c>
      <c r="C1443" s="29">
        <v>2632</v>
      </c>
      <c r="D1443" s="37" t="s">
        <v>1958</v>
      </c>
      <c r="E1443" s="29" t="s">
        <v>37</v>
      </c>
      <c r="F1443" s="29" t="s">
        <v>36</v>
      </c>
      <c r="G1443" s="29">
        <v>29.82</v>
      </c>
      <c r="H1443" s="71" t="s">
        <v>38</v>
      </c>
      <c r="I1443" s="37" t="s">
        <v>207</v>
      </c>
    </row>
    <row r="1444" spans="1:9" x14ac:dyDescent="0.25">
      <c r="A1444" s="29" t="s">
        <v>12</v>
      </c>
      <c r="B1444" s="29" t="s">
        <v>80</v>
      </c>
      <c r="C1444" s="29">
        <v>2631</v>
      </c>
      <c r="D1444" s="37" t="s">
        <v>1959</v>
      </c>
      <c r="E1444" s="29" t="s">
        <v>37</v>
      </c>
      <c r="F1444" s="29" t="s">
        <v>36</v>
      </c>
      <c r="G1444" s="29">
        <v>43.78</v>
      </c>
      <c r="H1444" s="71" t="s">
        <v>38</v>
      </c>
      <c r="I1444" s="37" t="s">
        <v>207</v>
      </c>
    </row>
    <row r="1445" spans="1:9" x14ac:dyDescent="0.25">
      <c r="A1445" s="29" t="s">
        <v>12</v>
      </c>
      <c r="B1445" s="29" t="s">
        <v>80</v>
      </c>
      <c r="C1445" s="29">
        <v>2619</v>
      </c>
      <c r="D1445" s="37" t="s">
        <v>1960</v>
      </c>
      <c r="E1445" s="29" t="s">
        <v>37</v>
      </c>
      <c r="F1445" s="29" t="s">
        <v>36</v>
      </c>
      <c r="G1445" s="29">
        <v>110.85</v>
      </c>
      <c r="H1445" s="71" t="s">
        <v>38</v>
      </c>
      <c r="I1445" s="37" t="s">
        <v>207</v>
      </c>
    </row>
    <row r="1446" spans="1:9" x14ac:dyDescent="0.25">
      <c r="A1446" s="29" t="s">
        <v>12</v>
      </c>
      <c r="B1446" s="29" t="s">
        <v>80</v>
      </c>
      <c r="C1446" s="29">
        <v>2620</v>
      </c>
      <c r="D1446" s="37" t="s">
        <v>1961</v>
      </c>
      <c r="E1446" s="29" t="s">
        <v>37</v>
      </c>
      <c r="F1446" s="29" t="s">
        <v>36</v>
      </c>
      <c r="G1446" s="29">
        <v>145.53</v>
      </c>
      <c r="H1446" s="71" t="s">
        <v>38</v>
      </c>
      <c r="I1446" s="37" t="s">
        <v>207</v>
      </c>
    </row>
    <row r="1447" spans="1:9" x14ac:dyDescent="0.25">
      <c r="A1447" s="29" t="s">
        <v>12</v>
      </c>
      <c r="B1447" s="29" t="s">
        <v>80</v>
      </c>
      <c r="C1447" s="29">
        <v>39273</v>
      </c>
      <c r="D1447" s="37" t="s">
        <v>2503</v>
      </c>
      <c r="E1447" s="29" t="s">
        <v>37</v>
      </c>
      <c r="F1447" s="29" t="s">
        <v>36</v>
      </c>
      <c r="G1447" s="29">
        <v>3.96</v>
      </c>
      <c r="H1447" s="71" t="s">
        <v>38</v>
      </c>
      <c r="I1447" s="37" t="s">
        <v>207</v>
      </c>
    </row>
    <row r="1448" spans="1:9" x14ac:dyDescent="0.25">
      <c r="A1448" s="29" t="s">
        <v>12</v>
      </c>
      <c r="B1448" s="29" t="s">
        <v>80</v>
      </c>
      <c r="C1448" s="29">
        <v>39271</v>
      </c>
      <c r="D1448" s="37" t="s">
        <v>2504</v>
      </c>
      <c r="E1448" s="29" t="s">
        <v>37</v>
      </c>
      <c r="F1448" s="29" t="s">
        <v>36</v>
      </c>
      <c r="G1448" s="29">
        <v>2.33</v>
      </c>
      <c r="H1448" s="71" t="s">
        <v>38</v>
      </c>
      <c r="I1448" s="37" t="s">
        <v>207</v>
      </c>
    </row>
    <row r="1449" spans="1:9" x14ac:dyDescent="0.25">
      <c r="A1449" s="29" t="s">
        <v>12</v>
      </c>
      <c r="B1449" s="29" t="s">
        <v>80</v>
      </c>
      <c r="C1449" s="29">
        <v>39272</v>
      </c>
      <c r="D1449" s="37" t="s">
        <v>2505</v>
      </c>
      <c r="E1449" s="29" t="s">
        <v>37</v>
      </c>
      <c r="F1449" s="29" t="s">
        <v>36</v>
      </c>
      <c r="G1449" s="29">
        <v>2.87</v>
      </c>
      <c r="H1449" s="71" t="s">
        <v>38</v>
      </c>
      <c r="I1449" s="37" t="s">
        <v>207</v>
      </c>
    </row>
    <row r="1450" spans="1:9" x14ac:dyDescent="0.25">
      <c r="A1450" s="29" t="s">
        <v>12</v>
      </c>
      <c r="B1450" s="29" t="s">
        <v>80</v>
      </c>
      <c r="C1450" s="29">
        <v>1875</v>
      </c>
      <c r="D1450" s="37" t="s">
        <v>2506</v>
      </c>
      <c r="E1450" s="29" t="s">
        <v>37</v>
      </c>
      <c r="F1450" s="29" t="s">
        <v>36</v>
      </c>
      <c r="G1450" s="29">
        <v>6.33</v>
      </c>
      <c r="H1450" s="71" t="s">
        <v>38</v>
      </c>
      <c r="I1450" s="37" t="s">
        <v>207</v>
      </c>
    </row>
    <row r="1451" spans="1:9" x14ac:dyDescent="0.25">
      <c r="A1451" s="29" t="s">
        <v>12</v>
      </c>
      <c r="B1451" s="29" t="s">
        <v>80</v>
      </c>
      <c r="C1451" s="29">
        <v>1874</v>
      </c>
      <c r="D1451" s="37" t="s">
        <v>2507</v>
      </c>
      <c r="E1451" s="29" t="s">
        <v>37</v>
      </c>
      <c r="F1451" s="29" t="s">
        <v>36</v>
      </c>
      <c r="G1451" s="29">
        <v>5.23</v>
      </c>
      <c r="H1451" s="71" t="s">
        <v>38</v>
      </c>
      <c r="I1451" s="37" t="s">
        <v>207</v>
      </c>
    </row>
    <row r="1452" spans="1:9" x14ac:dyDescent="0.25">
      <c r="A1452" s="29" t="s">
        <v>12</v>
      </c>
      <c r="B1452" s="29" t="s">
        <v>80</v>
      </c>
      <c r="C1452" s="29">
        <v>1884</v>
      </c>
      <c r="D1452" s="37" t="s">
        <v>2508</v>
      </c>
      <c r="E1452" s="29" t="s">
        <v>37</v>
      </c>
      <c r="F1452" s="29" t="s">
        <v>36</v>
      </c>
      <c r="G1452" s="29">
        <v>4.63</v>
      </c>
      <c r="H1452" s="71" t="s">
        <v>38</v>
      </c>
      <c r="I1452" s="37" t="s">
        <v>207</v>
      </c>
    </row>
    <row r="1453" spans="1:9" x14ac:dyDescent="0.25">
      <c r="A1453" s="29" t="s">
        <v>12</v>
      </c>
      <c r="B1453" s="29" t="s">
        <v>80</v>
      </c>
      <c r="C1453" s="29">
        <v>1870</v>
      </c>
      <c r="D1453" s="37" t="s">
        <v>2509</v>
      </c>
      <c r="E1453" s="29" t="s">
        <v>37</v>
      </c>
      <c r="F1453" s="29" t="s">
        <v>36</v>
      </c>
      <c r="G1453" s="29">
        <v>3.02</v>
      </c>
      <c r="H1453" s="71" t="s">
        <v>38</v>
      </c>
      <c r="I1453" s="37" t="s">
        <v>207</v>
      </c>
    </row>
    <row r="1454" spans="1:9" x14ac:dyDescent="0.25">
      <c r="A1454" s="29" t="s">
        <v>12</v>
      </c>
      <c r="B1454" s="29" t="s">
        <v>80</v>
      </c>
      <c r="C1454" s="29">
        <v>1887</v>
      </c>
      <c r="D1454" s="37" t="s">
        <v>2510</v>
      </c>
      <c r="E1454" s="29" t="s">
        <v>37</v>
      </c>
      <c r="F1454" s="29" t="s">
        <v>36</v>
      </c>
      <c r="G1454" s="29">
        <v>26.26</v>
      </c>
      <c r="H1454" s="71" t="s">
        <v>38</v>
      </c>
      <c r="I1454" s="37" t="s">
        <v>207</v>
      </c>
    </row>
    <row r="1455" spans="1:9" x14ac:dyDescent="0.25">
      <c r="A1455" s="29" t="s">
        <v>12</v>
      </c>
      <c r="B1455" s="29" t="s">
        <v>80</v>
      </c>
      <c r="C1455" s="29">
        <v>1876</v>
      </c>
      <c r="D1455" s="37" t="s">
        <v>2511</v>
      </c>
      <c r="E1455" s="29" t="s">
        <v>37</v>
      </c>
      <c r="F1455" s="29" t="s">
        <v>36</v>
      </c>
      <c r="G1455" s="29">
        <v>10.29</v>
      </c>
      <c r="H1455" s="71" t="s">
        <v>38</v>
      </c>
      <c r="I1455" s="37" t="s">
        <v>207</v>
      </c>
    </row>
    <row r="1456" spans="1:9" x14ac:dyDescent="0.25">
      <c r="A1456" s="29" t="s">
        <v>12</v>
      </c>
      <c r="B1456" s="29" t="s">
        <v>80</v>
      </c>
      <c r="C1456" s="29">
        <v>1877</v>
      </c>
      <c r="D1456" s="37" t="s">
        <v>2512</v>
      </c>
      <c r="E1456" s="29" t="s">
        <v>37</v>
      </c>
      <c r="F1456" s="29" t="s">
        <v>36</v>
      </c>
      <c r="G1456" s="29">
        <v>26.29</v>
      </c>
      <c r="H1456" s="71" t="s">
        <v>38</v>
      </c>
      <c r="I1456" s="37" t="s">
        <v>207</v>
      </c>
    </row>
    <row r="1457" spans="1:9" x14ac:dyDescent="0.25">
      <c r="A1457" s="29" t="s">
        <v>12</v>
      </c>
      <c r="B1457" s="29" t="s">
        <v>80</v>
      </c>
      <c r="C1457" s="29">
        <v>1879</v>
      </c>
      <c r="D1457" s="37" t="s">
        <v>2513</v>
      </c>
      <c r="E1457" s="29" t="s">
        <v>37</v>
      </c>
      <c r="F1457" s="29" t="s">
        <v>36</v>
      </c>
      <c r="G1457" s="29">
        <v>3.06</v>
      </c>
      <c r="H1457" s="71" t="s">
        <v>38</v>
      </c>
      <c r="I1457" s="37" t="s">
        <v>207</v>
      </c>
    </row>
    <row r="1458" spans="1:9" x14ac:dyDescent="0.25">
      <c r="A1458" s="29" t="s">
        <v>12</v>
      </c>
      <c r="B1458" s="29" t="s">
        <v>80</v>
      </c>
      <c r="C1458" s="29">
        <v>1878</v>
      </c>
      <c r="D1458" s="37" t="s">
        <v>2514</v>
      </c>
      <c r="E1458" s="29" t="s">
        <v>37</v>
      </c>
      <c r="F1458" s="29" t="s">
        <v>36</v>
      </c>
      <c r="G1458" s="29">
        <v>52.82</v>
      </c>
      <c r="H1458" s="71" t="s">
        <v>38</v>
      </c>
      <c r="I1458" s="37" t="s">
        <v>207</v>
      </c>
    </row>
    <row r="1459" spans="1:9" x14ac:dyDescent="0.25">
      <c r="A1459" s="29" t="s">
        <v>12</v>
      </c>
      <c r="B1459" s="29" t="s">
        <v>80</v>
      </c>
      <c r="C1459" s="29" t="s">
        <v>34</v>
      </c>
      <c r="D1459" s="37" t="s">
        <v>2515</v>
      </c>
      <c r="E1459" s="29" t="s">
        <v>798</v>
      </c>
      <c r="F1459" s="29" t="s">
        <v>36</v>
      </c>
      <c r="G1459" s="29">
        <v>4.9000000000000004</v>
      </c>
      <c r="H1459" s="71" t="s">
        <v>800</v>
      </c>
      <c r="I1459" s="37" t="str">
        <f t="shared" ref="I1459:I1474" si="19">"https://www.infraeletrocalhas.com.br/eletrodutos.asp?produto=Eletroduto-PVC"</f>
        <v>https://www.infraeletrocalhas.com.br/eletrodutos.asp?produto=Eletroduto-PVC</v>
      </c>
    </row>
    <row r="1460" spans="1:9" x14ac:dyDescent="0.25">
      <c r="A1460" s="29" t="s">
        <v>12</v>
      </c>
      <c r="B1460" s="29" t="s">
        <v>80</v>
      </c>
      <c r="C1460" s="29" t="s">
        <v>34</v>
      </c>
      <c r="D1460" s="37" t="s">
        <v>2516</v>
      </c>
      <c r="E1460" s="29" t="s">
        <v>798</v>
      </c>
      <c r="F1460" s="29" t="s">
        <v>36</v>
      </c>
      <c r="G1460" s="29">
        <v>4.2</v>
      </c>
      <c r="H1460" s="71" t="s">
        <v>800</v>
      </c>
      <c r="I1460" s="37" t="str">
        <f t="shared" si="19"/>
        <v>https://www.infraeletrocalhas.com.br/eletrodutos.asp?produto=Eletroduto-PVC</v>
      </c>
    </row>
    <row r="1461" spans="1:9" x14ac:dyDescent="0.25">
      <c r="A1461" s="29" t="s">
        <v>12</v>
      </c>
      <c r="B1461" s="29" t="s">
        <v>80</v>
      </c>
      <c r="C1461" s="29" t="s">
        <v>34</v>
      </c>
      <c r="D1461" s="37" t="s">
        <v>2517</v>
      </c>
      <c r="E1461" s="29" t="s">
        <v>798</v>
      </c>
      <c r="F1461" s="29" t="s">
        <v>36</v>
      </c>
      <c r="G1461" s="29">
        <v>4.9000000000000004</v>
      </c>
      <c r="H1461" s="71" t="s">
        <v>800</v>
      </c>
      <c r="I1461" s="37" t="str">
        <f t="shared" si="19"/>
        <v>https://www.infraeletrocalhas.com.br/eletrodutos.asp?produto=Eletroduto-PVC</v>
      </c>
    </row>
    <row r="1462" spans="1:9" x14ac:dyDescent="0.25">
      <c r="A1462" s="29" t="s">
        <v>12</v>
      </c>
      <c r="B1462" s="29" t="s">
        <v>80</v>
      </c>
      <c r="C1462" s="29" t="s">
        <v>34</v>
      </c>
      <c r="D1462" s="37" t="s">
        <v>2518</v>
      </c>
      <c r="E1462" s="29" t="s">
        <v>798</v>
      </c>
      <c r="F1462" s="29" t="s">
        <v>36</v>
      </c>
      <c r="G1462" s="29">
        <v>3.9</v>
      </c>
      <c r="H1462" s="71" t="s">
        <v>800</v>
      </c>
      <c r="I1462" s="37" t="str">
        <f t="shared" si="19"/>
        <v>https://www.infraeletrocalhas.com.br/eletrodutos.asp?produto=Eletroduto-PVC</v>
      </c>
    </row>
    <row r="1463" spans="1:9" x14ac:dyDescent="0.25">
      <c r="A1463" s="29" t="s">
        <v>12</v>
      </c>
      <c r="B1463" s="29" t="s">
        <v>80</v>
      </c>
      <c r="C1463" s="29" t="s">
        <v>34</v>
      </c>
      <c r="D1463" s="37" t="s">
        <v>2519</v>
      </c>
      <c r="E1463" s="29" t="s">
        <v>798</v>
      </c>
      <c r="F1463" s="29" t="s">
        <v>36</v>
      </c>
      <c r="G1463" s="29">
        <v>4.2</v>
      </c>
      <c r="H1463" s="71" t="s">
        <v>800</v>
      </c>
      <c r="I1463" s="37" t="str">
        <f t="shared" si="19"/>
        <v>https://www.infraeletrocalhas.com.br/eletrodutos.asp?produto=Eletroduto-PVC</v>
      </c>
    </row>
    <row r="1464" spans="1:9" x14ac:dyDescent="0.25">
      <c r="A1464" s="29" t="s">
        <v>12</v>
      </c>
      <c r="B1464" s="29" t="s">
        <v>80</v>
      </c>
      <c r="C1464" s="29" t="s">
        <v>34</v>
      </c>
      <c r="D1464" s="37" t="s">
        <v>2520</v>
      </c>
      <c r="E1464" s="29" t="s">
        <v>798</v>
      </c>
      <c r="F1464" s="29" t="s">
        <v>36</v>
      </c>
      <c r="G1464" s="29">
        <v>3.3</v>
      </c>
      <c r="H1464" s="71" t="s">
        <v>800</v>
      </c>
      <c r="I1464" s="37" t="str">
        <f t="shared" si="19"/>
        <v>https://www.infraeletrocalhas.com.br/eletrodutos.asp?produto=Eletroduto-PVC</v>
      </c>
    </row>
    <row r="1465" spans="1:9" x14ac:dyDescent="0.25">
      <c r="A1465" s="29" t="s">
        <v>12</v>
      </c>
      <c r="B1465" s="29" t="s">
        <v>80</v>
      </c>
      <c r="C1465" s="29" t="s">
        <v>34</v>
      </c>
      <c r="D1465" s="37" t="s">
        <v>2521</v>
      </c>
      <c r="E1465" s="29" t="s">
        <v>798</v>
      </c>
      <c r="F1465" s="29" t="s">
        <v>36</v>
      </c>
      <c r="G1465" s="29">
        <v>9.1999999999999993</v>
      </c>
      <c r="H1465" s="71" t="s">
        <v>800</v>
      </c>
      <c r="I1465" s="37" t="str">
        <f t="shared" si="19"/>
        <v>https://www.infraeletrocalhas.com.br/eletrodutos.asp?produto=Eletroduto-PVC</v>
      </c>
    </row>
    <row r="1466" spans="1:9" x14ac:dyDescent="0.25">
      <c r="A1466" s="29" t="s">
        <v>12</v>
      </c>
      <c r="B1466" s="29" t="s">
        <v>80</v>
      </c>
      <c r="C1466" s="29" t="s">
        <v>34</v>
      </c>
      <c r="D1466" s="37" t="s">
        <v>2522</v>
      </c>
      <c r="E1466" s="29" t="s">
        <v>798</v>
      </c>
      <c r="F1466" s="29" t="s">
        <v>36</v>
      </c>
      <c r="G1466" s="29">
        <v>7.9</v>
      </c>
      <c r="H1466" s="71" t="s">
        <v>800</v>
      </c>
      <c r="I1466" s="37" t="str">
        <f t="shared" si="19"/>
        <v>https://www.infraeletrocalhas.com.br/eletrodutos.asp?produto=Eletroduto-PVC</v>
      </c>
    </row>
    <row r="1467" spans="1:9" x14ac:dyDescent="0.25">
      <c r="A1467" s="29" t="s">
        <v>12</v>
      </c>
      <c r="B1467" s="29" t="s">
        <v>80</v>
      </c>
      <c r="C1467" s="29" t="s">
        <v>34</v>
      </c>
      <c r="D1467" s="37" t="s">
        <v>2523</v>
      </c>
      <c r="E1467" s="29" t="s">
        <v>798</v>
      </c>
      <c r="F1467" s="29" t="s">
        <v>36</v>
      </c>
      <c r="G1467" s="29">
        <v>2.2000000000000002</v>
      </c>
      <c r="H1467" s="71" t="s">
        <v>800</v>
      </c>
      <c r="I1467" s="37" t="str">
        <f t="shared" si="19"/>
        <v>https://www.infraeletrocalhas.com.br/eletrodutos.asp?produto=Eletroduto-PVC</v>
      </c>
    </row>
    <row r="1468" spans="1:9" x14ac:dyDescent="0.25">
      <c r="A1468" s="29" t="s">
        <v>12</v>
      </c>
      <c r="B1468" s="29" t="s">
        <v>80</v>
      </c>
      <c r="C1468" s="29" t="s">
        <v>34</v>
      </c>
      <c r="D1468" s="37" t="s">
        <v>2524</v>
      </c>
      <c r="E1468" s="29" t="s">
        <v>798</v>
      </c>
      <c r="F1468" s="29" t="s">
        <v>36</v>
      </c>
      <c r="G1468" s="29">
        <v>12.95</v>
      </c>
      <c r="H1468" s="71" t="s">
        <v>800</v>
      </c>
      <c r="I1468" s="37" t="str">
        <f t="shared" si="19"/>
        <v>https://www.infraeletrocalhas.com.br/eletrodutos.asp?produto=Eletroduto-PVC</v>
      </c>
    </row>
    <row r="1469" spans="1:9" x14ac:dyDescent="0.25">
      <c r="A1469" s="29" t="s">
        <v>12</v>
      </c>
      <c r="B1469" s="29" t="s">
        <v>80</v>
      </c>
      <c r="C1469" s="29" t="s">
        <v>34</v>
      </c>
      <c r="D1469" s="37" t="s">
        <v>2525</v>
      </c>
      <c r="E1469" s="29" t="s">
        <v>798</v>
      </c>
      <c r="F1469" s="29" t="s">
        <v>36</v>
      </c>
      <c r="G1469" s="29">
        <v>29</v>
      </c>
      <c r="H1469" s="71" t="s">
        <v>800</v>
      </c>
      <c r="I1469" s="37" t="str">
        <f t="shared" si="19"/>
        <v>https://www.infraeletrocalhas.com.br/eletrodutos.asp?produto=Eletroduto-PVC</v>
      </c>
    </row>
    <row r="1470" spans="1:9" x14ac:dyDescent="0.25">
      <c r="A1470" s="29" t="s">
        <v>12</v>
      </c>
      <c r="B1470" s="29" t="s">
        <v>80</v>
      </c>
      <c r="C1470" s="29" t="s">
        <v>34</v>
      </c>
      <c r="D1470" s="37" t="s">
        <v>2526</v>
      </c>
      <c r="E1470" s="29" t="s">
        <v>798</v>
      </c>
      <c r="F1470" s="29" t="s">
        <v>36</v>
      </c>
      <c r="G1470" s="29">
        <v>44.5</v>
      </c>
      <c r="H1470" s="71" t="s">
        <v>800</v>
      </c>
      <c r="I1470" s="37" t="str">
        <f t="shared" si="19"/>
        <v>https://www.infraeletrocalhas.com.br/eletrodutos.asp?produto=Eletroduto-PVC</v>
      </c>
    </row>
    <row r="1471" spans="1:9" x14ac:dyDescent="0.25">
      <c r="A1471" s="29" t="s">
        <v>12</v>
      </c>
      <c r="B1471" s="29" t="s">
        <v>80</v>
      </c>
      <c r="C1471" s="29" t="s">
        <v>34</v>
      </c>
      <c r="D1471" s="37" t="s">
        <v>2527</v>
      </c>
      <c r="E1471" s="29" t="s">
        <v>798</v>
      </c>
      <c r="F1471" s="29" t="s">
        <v>36</v>
      </c>
      <c r="G1471" s="29">
        <v>2.4</v>
      </c>
      <c r="H1471" s="71" t="s">
        <v>800</v>
      </c>
      <c r="I1471" s="37" t="str">
        <f t="shared" si="19"/>
        <v>https://www.infraeletrocalhas.com.br/eletrodutos.asp?produto=Eletroduto-PVC</v>
      </c>
    </row>
    <row r="1472" spans="1:9" x14ac:dyDescent="0.25">
      <c r="A1472" s="29" t="s">
        <v>12</v>
      </c>
      <c r="B1472" s="29" t="s">
        <v>80</v>
      </c>
      <c r="C1472" s="29" t="s">
        <v>34</v>
      </c>
      <c r="D1472" s="37" t="s">
        <v>2528</v>
      </c>
      <c r="E1472" s="29" t="s">
        <v>798</v>
      </c>
      <c r="F1472" s="29" t="s">
        <v>36</v>
      </c>
      <c r="G1472" s="29">
        <v>79.95</v>
      </c>
      <c r="H1472" s="71" t="s">
        <v>800</v>
      </c>
      <c r="I1472" s="37" t="str">
        <f t="shared" si="19"/>
        <v>https://www.infraeletrocalhas.com.br/eletrodutos.asp?produto=Eletroduto-PVC</v>
      </c>
    </row>
    <row r="1473" spans="1:9" x14ac:dyDescent="0.25">
      <c r="A1473" s="29" t="s">
        <v>12</v>
      </c>
      <c r="B1473" s="29" t="s">
        <v>80</v>
      </c>
      <c r="C1473" s="29" t="s">
        <v>34</v>
      </c>
      <c r="D1473" s="37" t="s">
        <v>2529</v>
      </c>
      <c r="E1473" s="29" t="s">
        <v>798</v>
      </c>
      <c r="F1473" s="29" t="s">
        <v>36</v>
      </c>
      <c r="G1473" s="29">
        <v>4.9000000000000004</v>
      </c>
      <c r="H1473" s="71" t="s">
        <v>800</v>
      </c>
      <c r="I1473" s="37" t="str">
        <f t="shared" si="19"/>
        <v>https://www.infraeletrocalhas.com.br/eletrodutos.asp?produto=Eletroduto-PVC</v>
      </c>
    </row>
    <row r="1474" spans="1:9" x14ac:dyDescent="0.25">
      <c r="A1474" s="29" t="s">
        <v>12</v>
      </c>
      <c r="B1474" s="29" t="s">
        <v>80</v>
      </c>
      <c r="C1474" s="29" t="s">
        <v>34</v>
      </c>
      <c r="D1474" s="37" t="s">
        <v>2530</v>
      </c>
      <c r="E1474" s="29" t="s">
        <v>798</v>
      </c>
      <c r="F1474" s="29" t="s">
        <v>36</v>
      </c>
      <c r="G1474" s="29">
        <v>4.2</v>
      </c>
      <c r="H1474" s="71" t="s">
        <v>800</v>
      </c>
      <c r="I1474" s="37" t="str">
        <f t="shared" si="19"/>
        <v>https://www.infraeletrocalhas.com.br/eletrodutos.asp?produto=Eletroduto-PVC</v>
      </c>
    </row>
    <row r="1475" spans="1:9" x14ac:dyDescent="0.25">
      <c r="A1475" s="29" t="s">
        <v>12</v>
      </c>
      <c r="B1475" s="29" t="s">
        <v>80</v>
      </c>
      <c r="C1475" s="29" t="s">
        <v>34</v>
      </c>
      <c r="D1475" s="37" t="s">
        <v>3105</v>
      </c>
      <c r="E1475" s="29" t="s">
        <v>3106</v>
      </c>
      <c r="F1475" s="29" t="s">
        <v>36</v>
      </c>
      <c r="G1475" s="29">
        <v>5.05</v>
      </c>
      <c r="H1475" s="71" t="s">
        <v>203</v>
      </c>
      <c r="I1475" s="37" t="str">
        <f t="shared" ref="I1475:I1483" si="20">"https://www.eletrotrafo.com.br/curva-de-ferro-galvanizado-1--x-90-02160007/p?skuId=13847"</f>
        <v>https://www.eletrotrafo.com.br/curva-de-ferro-galvanizado-1--x-90-02160007/p?skuId=13847</v>
      </c>
    </row>
    <row r="1476" spans="1:9" x14ac:dyDescent="0.25">
      <c r="A1476" s="29" t="s">
        <v>12</v>
      </c>
      <c r="B1476" s="29" t="s">
        <v>80</v>
      </c>
      <c r="C1476" s="29" t="s">
        <v>34</v>
      </c>
      <c r="D1476" s="37" t="s">
        <v>3107</v>
      </c>
      <c r="E1476" s="29" t="s">
        <v>3106</v>
      </c>
      <c r="F1476" s="29" t="s">
        <v>36</v>
      </c>
      <c r="G1476" s="29">
        <v>13.05</v>
      </c>
      <c r="H1476" s="71" t="s">
        <v>203</v>
      </c>
      <c r="I1476" s="37" t="str">
        <f t="shared" si="20"/>
        <v>https://www.eletrotrafo.com.br/curva-de-ferro-galvanizado-1--x-90-02160007/p?skuId=13847</v>
      </c>
    </row>
    <row r="1477" spans="1:9" x14ac:dyDescent="0.25">
      <c r="A1477" s="29" t="s">
        <v>12</v>
      </c>
      <c r="B1477" s="29" t="s">
        <v>80</v>
      </c>
      <c r="C1477" s="29" t="s">
        <v>34</v>
      </c>
      <c r="D1477" s="37" t="s">
        <v>3108</v>
      </c>
      <c r="E1477" s="29" t="s">
        <v>3106</v>
      </c>
      <c r="F1477" s="29" t="s">
        <v>36</v>
      </c>
      <c r="G1477" s="29">
        <v>10.199999999999999</v>
      </c>
      <c r="H1477" s="71" t="s">
        <v>203</v>
      </c>
      <c r="I1477" s="37" t="str">
        <f t="shared" si="20"/>
        <v>https://www.eletrotrafo.com.br/curva-de-ferro-galvanizado-1--x-90-02160007/p?skuId=13847</v>
      </c>
    </row>
    <row r="1478" spans="1:9" x14ac:dyDescent="0.25">
      <c r="A1478" s="29" t="s">
        <v>12</v>
      </c>
      <c r="B1478" s="29" t="s">
        <v>80</v>
      </c>
      <c r="C1478" s="29" t="s">
        <v>34</v>
      </c>
      <c r="D1478" s="37" t="s">
        <v>3109</v>
      </c>
      <c r="E1478" s="29" t="s">
        <v>3106</v>
      </c>
      <c r="F1478" s="29" t="s">
        <v>36</v>
      </c>
      <c r="G1478" s="29">
        <v>3.39</v>
      </c>
      <c r="H1478" s="71" t="s">
        <v>203</v>
      </c>
      <c r="I1478" s="37" t="str">
        <f t="shared" si="20"/>
        <v>https://www.eletrotrafo.com.br/curva-de-ferro-galvanizado-1--x-90-02160007/p?skuId=13847</v>
      </c>
    </row>
    <row r="1479" spans="1:9" x14ac:dyDescent="0.25">
      <c r="A1479" s="29" t="s">
        <v>12</v>
      </c>
      <c r="B1479" s="29" t="s">
        <v>80</v>
      </c>
      <c r="C1479" s="29" t="s">
        <v>34</v>
      </c>
      <c r="D1479" s="37" t="s">
        <v>3110</v>
      </c>
      <c r="E1479" s="29" t="s">
        <v>3106</v>
      </c>
      <c r="F1479" s="29" t="s">
        <v>36</v>
      </c>
      <c r="G1479" s="29">
        <v>19.95</v>
      </c>
      <c r="H1479" s="71" t="s">
        <v>203</v>
      </c>
      <c r="I1479" s="37" t="str">
        <f t="shared" si="20"/>
        <v>https://www.eletrotrafo.com.br/curva-de-ferro-galvanizado-1--x-90-02160007/p?skuId=13847</v>
      </c>
    </row>
    <row r="1480" spans="1:9" x14ac:dyDescent="0.25">
      <c r="A1480" s="29" t="s">
        <v>12</v>
      </c>
      <c r="B1480" s="29" t="s">
        <v>80</v>
      </c>
      <c r="C1480" s="29" t="s">
        <v>34</v>
      </c>
      <c r="D1480" s="37" t="s">
        <v>3111</v>
      </c>
      <c r="E1480" s="29" t="s">
        <v>3106</v>
      </c>
      <c r="F1480" s="29" t="s">
        <v>36</v>
      </c>
      <c r="G1480" s="29">
        <v>63.38</v>
      </c>
      <c r="H1480" s="71" t="s">
        <v>203</v>
      </c>
      <c r="I1480" s="37" t="str">
        <f t="shared" si="20"/>
        <v>https://www.eletrotrafo.com.br/curva-de-ferro-galvanizado-1--x-90-02160007/p?skuId=13847</v>
      </c>
    </row>
    <row r="1481" spans="1:9" x14ac:dyDescent="0.25">
      <c r="A1481" s="29" t="s">
        <v>12</v>
      </c>
      <c r="B1481" s="29" t="s">
        <v>80</v>
      </c>
      <c r="C1481" s="29" t="s">
        <v>34</v>
      </c>
      <c r="D1481" s="37" t="s">
        <v>3112</v>
      </c>
      <c r="E1481" s="29" t="s">
        <v>3106</v>
      </c>
      <c r="F1481" s="29" t="s">
        <v>36</v>
      </c>
      <c r="G1481" s="29">
        <v>76.989999999999995</v>
      </c>
      <c r="H1481" s="71" t="s">
        <v>203</v>
      </c>
      <c r="I1481" s="37" t="str">
        <f t="shared" si="20"/>
        <v>https://www.eletrotrafo.com.br/curva-de-ferro-galvanizado-1--x-90-02160007/p?skuId=13847</v>
      </c>
    </row>
    <row r="1482" spans="1:9" x14ac:dyDescent="0.25">
      <c r="A1482" s="29" t="s">
        <v>12</v>
      </c>
      <c r="B1482" s="29" t="s">
        <v>80</v>
      </c>
      <c r="C1482" s="29" t="s">
        <v>34</v>
      </c>
      <c r="D1482" s="37" t="s">
        <v>3113</v>
      </c>
      <c r="E1482" s="29" t="s">
        <v>3106</v>
      </c>
      <c r="F1482" s="29" t="s">
        <v>36</v>
      </c>
      <c r="G1482" s="29">
        <v>4.04</v>
      </c>
      <c r="H1482" s="71" t="s">
        <v>203</v>
      </c>
      <c r="I1482" s="37" t="str">
        <f t="shared" si="20"/>
        <v>https://www.eletrotrafo.com.br/curva-de-ferro-galvanizado-1--x-90-02160007/p?skuId=13847</v>
      </c>
    </row>
    <row r="1483" spans="1:9" x14ac:dyDescent="0.25">
      <c r="A1483" s="29" t="s">
        <v>12</v>
      </c>
      <c r="B1483" s="29" t="s">
        <v>80</v>
      </c>
      <c r="C1483" s="29" t="s">
        <v>34</v>
      </c>
      <c r="D1483" s="37" t="s">
        <v>3114</v>
      </c>
      <c r="E1483" s="29" t="s">
        <v>3106</v>
      </c>
      <c r="F1483" s="29" t="s">
        <v>36</v>
      </c>
      <c r="G1483" s="29">
        <v>149.03</v>
      </c>
      <c r="H1483" s="71" t="s">
        <v>203</v>
      </c>
      <c r="I1483" s="37" t="str">
        <f t="shared" si="20"/>
        <v>https://www.eletrotrafo.com.br/curva-de-ferro-galvanizado-1--x-90-02160007/p?skuId=13847</v>
      </c>
    </row>
    <row r="1484" spans="1:9" x14ac:dyDescent="0.25">
      <c r="A1484" s="29" t="s">
        <v>12</v>
      </c>
      <c r="B1484" s="29" t="s">
        <v>80</v>
      </c>
      <c r="C1484" s="29" t="s">
        <v>34</v>
      </c>
      <c r="D1484" s="37" t="s">
        <v>986</v>
      </c>
      <c r="E1484" s="29" t="s">
        <v>798</v>
      </c>
      <c r="F1484" s="29" t="s">
        <v>36</v>
      </c>
      <c r="G1484" s="29">
        <v>5.4</v>
      </c>
      <c r="H1484" s="71" t="s">
        <v>800</v>
      </c>
      <c r="I1484" s="37" t="str">
        <f t="shared" ref="I1484:I1498" si="21">"https://www.infraeletrocalhas.com.br/eletrodutos_galv.asp?produto=Eletrodutos-galvanizados"</f>
        <v>https://www.infraeletrocalhas.com.br/eletrodutos_galv.asp?produto=Eletrodutos-galvanizados</v>
      </c>
    </row>
    <row r="1485" spans="1:9" x14ac:dyDescent="0.25">
      <c r="A1485" s="29" t="s">
        <v>12</v>
      </c>
      <c r="B1485" s="29" t="s">
        <v>80</v>
      </c>
      <c r="C1485" s="29" t="s">
        <v>34</v>
      </c>
      <c r="D1485" s="37" t="s">
        <v>987</v>
      </c>
      <c r="E1485" s="29" t="s">
        <v>798</v>
      </c>
      <c r="F1485" s="29" t="s">
        <v>36</v>
      </c>
      <c r="G1485" s="29">
        <v>17.95</v>
      </c>
      <c r="H1485" s="71" t="s">
        <v>800</v>
      </c>
      <c r="I1485" s="37" t="str">
        <f t="shared" si="21"/>
        <v>https://www.infraeletrocalhas.com.br/eletrodutos_galv.asp?produto=Eletrodutos-galvanizados</v>
      </c>
    </row>
    <row r="1486" spans="1:9" x14ac:dyDescent="0.25">
      <c r="A1486" s="29" t="s">
        <v>12</v>
      </c>
      <c r="B1486" s="29" t="s">
        <v>80</v>
      </c>
      <c r="C1486" s="29" t="s">
        <v>34</v>
      </c>
      <c r="D1486" s="37" t="s">
        <v>988</v>
      </c>
      <c r="E1486" s="29" t="s">
        <v>798</v>
      </c>
      <c r="F1486" s="29" t="s">
        <v>36</v>
      </c>
      <c r="G1486" s="29">
        <v>13.95</v>
      </c>
      <c r="H1486" s="71" t="s">
        <v>800</v>
      </c>
      <c r="I1486" s="37" t="str">
        <f t="shared" si="21"/>
        <v>https://www.infraeletrocalhas.com.br/eletrodutos_galv.asp?produto=Eletrodutos-galvanizados</v>
      </c>
    </row>
    <row r="1487" spans="1:9" x14ac:dyDescent="0.25">
      <c r="A1487" s="29" t="s">
        <v>12</v>
      </c>
      <c r="B1487" s="29" t="s">
        <v>80</v>
      </c>
      <c r="C1487" s="29" t="s">
        <v>34</v>
      </c>
      <c r="D1487" s="37" t="s">
        <v>989</v>
      </c>
      <c r="E1487" s="29" t="s">
        <v>798</v>
      </c>
      <c r="F1487" s="29" t="s">
        <v>36</v>
      </c>
      <c r="G1487" s="29">
        <v>3.5</v>
      </c>
      <c r="H1487" s="71" t="s">
        <v>800</v>
      </c>
      <c r="I1487" s="37" t="str">
        <f t="shared" si="21"/>
        <v>https://www.infraeletrocalhas.com.br/eletrodutos_galv.asp?produto=Eletrodutos-galvanizados</v>
      </c>
    </row>
    <row r="1488" spans="1:9" x14ac:dyDescent="0.25">
      <c r="A1488" s="29" t="s">
        <v>12</v>
      </c>
      <c r="B1488" s="29" t="s">
        <v>80</v>
      </c>
      <c r="C1488" s="29" t="s">
        <v>34</v>
      </c>
      <c r="D1488" s="37" t="s">
        <v>990</v>
      </c>
      <c r="E1488" s="29" t="s">
        <v>798</v>
      </c>
      <c r="F1488" s="29" t="s">
        <v>36</v>
      </c>
      <c r="G1488" s="29">
        <v>25.95</v>
      </c>
      <c r="H1488" s="71" t="s">
        <v>800</v>
      </c>
      <c r="I1488" s="37" t="str">
        <f t="shared" si="21"/>
        <v>https://www.infraeletrocalhas.com.br/eletrodutos_galv.asp?produto=Eletrodutos-galvanizados</v>
      </c>
    </row>
    <row r="1489" spans="1:9" x14ac:dyDescent="0.25">
      <c r="A1489" s="29" t="s">
        <v>12</v>
      </c>
      <c r="B1489" s="29" t="s">
        <v>80</v>
      </c>
      <c r="C1489" s="29" t="s">
        <v>34</v>
      </c>
      <c r="D1489" s="37" t="s">
        <v>991</v>
      </c>
      <c r="E1489" s="29" t="s">
        <v>798</v>
      </c>
      <c r="F1489" s="29" t="s">
        <v>36</v>
      </c>
      <c r="G1489" s="29">
        <v>79.95</v>
      </c>
      <c r="H1489" s="71" t="s">
        <v>800</v>
      </c>
      <c r="I1489" s="37" t="str">
        <f t="shared" si="21"/>
        <v>https://www.infraeletrocalhas.com.br/eletrodutos_galv.asp?produto=Eletrodutos-galvanizados</v>
      </c>
    </row>
    <row r="1490" spans="1:9" x14ac:dyDescent="0.25">
      <c r="A1490" s="29" t="s">
        <v>12</v>
      </c>
      <c r="B1490" s="29" t="s">
        <v>80</v>
      </c>
      <c r="C1490" s="29" t="s">
        <v>34</v>
      </c>
      <c r="D1490" s="37" t="s">
        <v>992</v>
      </c>
      <c r="E1490" s="29" t="s">
        <v>798</v>
      </c>
      <c r="F1490" s="29" t="s">
        <v>36</v>
      </c>
      <c r="G1490" s="29">
        <v>99.95</v>
      </c>
      <c r="H1490" s="71" t="s">
        <v>800</v>
      </c>
      <c r="I1490" s="37" t="str">
        <f t="shared" si="21"/>
        <v>https://www.infraeletrocalhas.com.br/eletrodutos_galv.asp?produto=Eletrodutos-galvanizados</v>
      </c>
    </row>
    <row r="1491" spans="1:9" x14ac:dyDescent="0.25">
      <c r="A1491" s="29" t="s">
        <v>12</v>
      </c>
      <c r="B1491" s="29" t="s">
        <v>80</v>
      </c>
      <c r="C1491" s="29" t="s">
        <v>34</v>
      </c>
      <c r="D1491" s="37" t="s">
        <v>993</v>
      </c>
      <c r="E1491" s="29" t="s">
        <v>798</v>
      </c>
      <c r="F1491" s="29" t="s">
        <v>36</v>
      </c>
      <c r="G1491" s="29">
        <v>4.75</v>
      </c>
      <c r="H1491" s="71" t="s">
        <v>800</v>
      </c>
      <c r="I1491" s="37" t="str">
        <f t="shared" si="21"/>
        <v>https://www.infraeletrocalhas.com.br/eletrodutos_galv.asp?produto=Eletrodutos-galvanizados</v>
      </c>
    </row>
    <row r="1492" spans="1:9" x14ac:dyDescent="0.25">
      <c r="A1492" s="29" t="s">
        <v>12</v>
      </c>
      <c r="B1492" s="29" t="s">
        <v>80</v>
      </c>
      <c r="C1492" s="29" t="s">
        <v>34</v>
      </c>
      <c r="D1492" s="37" t="s">
        <v>994</v>
      </c>
      <c r="E1492" s="29" t="s">
        <v>798</v>
      </c>
      <c r="F1492" s="29" t="s">
        <v>36</v>
      </c>
      <c r="G1492" s="29">
        <v>225</v>
      </c>
      <c r="H1492" s="71" t="s">
        <v>800</v>
      </c>
      <c r="I1492" s="37" t="str">
        <f t="shared" si="21"/>
        <v>https://www.infraeletrocalhas.com.br/eletrodutos_galv.asp?produto=Eletrodutos-galvanizados</v>
      </c>
    </row>
    <row r="1493" spans="1:9" x14ac:dyDescent="0.25">
      <c r="A1493" s="29" t="s">
        <v>12</v>
      </c>
      <c r="B1493" s="29" t="s">
        <v>80</v>
      </c>
      <c r="C1493" s="29" t="s">
        <v>34</v>
      </c>
      <c r="D1493" s="37" t="s">
        <v>2301</v>
      </c>
      <c r="E1493" s="29" t="s">
        <v>798</v>
      </c>
      <c r="F1493" s="29" t="s">
        <v>36</v>
      </c>
      <c r="G1493" s="29">
        <v>26.5</v>
      </c>
      <c r="H1493" s="71" t="s">
        <v>800</v>
      </c>
      <c r="I1493" s="37" t="str">
        <f t="shared" si="21"/>
        <v>https://www.infraeletrocalhas.com.br/eletrodutos_galv.asp?produto=Eletrodutos-galvanizados</v>
      </c>
    </row>
    <row r="1494" spans="1:9" x14ac:dyDescent="0.25">
      <c r="A1494" s="29" t="s">
        <v>12</v>
      </c>
      <c r="B1494" s="29" t="s">
        <v>80</v>
      </c>
      <c r="C1494" s="29" t="s">
        <v>34</v>
      </c>
      <c r="D1494" s="37" t="s">
        <v>2302</v>
      </c>
      <c r="E1494" s="29" t="s">
        <v>798</v>
      </c>
      <c r="F1494" s="29" t="s">
        <v>36</v>
      </c>
      <c r="G1494" s="29">
        <v>80.849999999999994</v>
      </c>
      <c r="H1494" s="71" t="s">
        <v>800</v>
      </c>
      <c r="I1494" s="37" t="str">
        <f t="shared" si="21"/>
        <v>https://www.infraeletrocalhas.com.br/eletrodutos_galv.asp?produto=Eletrodutos-galvanizados</v>
      </c>
    </row>
    <row r="1495" spans="1:9" x14ac:dyDescent="0.25">
      <c r="A1495" s="29" t="s">
        <v>12</v>
      </c>
      <c r="B1495" s="29" t="s">
        <v>80</v>
      </c>
      <c r="C1495" s="29" t="s">
        <v>34</v>
      </c>
      <c r="D1495" s="37" t="s">
        <v>2303</v>
      </c>
      <c r="E1495" s="29" t="s">
        <v>798</v>
      </c>
      <c r="F1495" s="29" t="s">
        <v>36</v>
      </c>
      <c r="G1495" s="29">
        <v>59.4</v>
      </c>
      <c r="H1495" s="71" t="s">
        <v>800</v>
      </c>
      <c r="I1495" s="37" t="str">
        <f t="shared" si="21"/>
        <v>https://www.infraeletrocalhas.com.br/eletrodutos_galv.asp?produto=Eletrodutos-galvanizados</v>
      </c>
    </row>
    <row r="1496" spans="1:9" x14ac:dyDescent="0.25">
      <c r="A1496" s="29" t="s">
        <v>12</v>
      </c>
      <c r="B1496" s="29" t="s">
        <v>80</v>
      </c>
      <c r="C1496" s="29" t="s">
        <v>34</v>
      </c>
      <c r="D1496" s="37" t="s">
        <v>2304</v>
      </c>
      <c r="E1496" s="29" t="s">
        <v>798</v>
      </c>
      <c r="F1496" s="29" t="s">
        <v>36</v>
      </c>
      <c r="G1496" s="29">
        <v>99</v>
      </c>
      <c r="H1496" s="71" t="s">
        <v>800</v>
      </c>
      <c r="I1496" s="37" t="str">
        <f t="shared" si="21"/>
        <v>https://www.infraeletrocalhas.com.br/eletrodutos_galv.asp?produto=Eletrodutos-galvanizados</v>
      </c>
    </row>
    <row r="1497" spans="1:9" x14ac:dyDescent="0.25">
      <c r="A1497" s="29" t="s">
        <v>12</v>
      </c>
      <c r="B1497" s="29" t="s">
        <v>80</v>
      </c>
      <c r="C1497" s="29" t="s">
        <v>34</v>
      </c>
      <c r="D1497" s="37" t="s">
        <v>2305</v>
      </c>
      <c r="E1497" s="29" t="s">
        <v>798</v>
      </c>
      <c r="F1497" s="29" t="s">
        <v>36</v>
      </c>
      <c r="G1497" s="29">
        <v>220.4</v>
      </c>
      <c r="H1497" s="71" t="s">
        <v>800</v>
      </c>
      <c r="I1497" s="37" t="str">
        <f t="shared" si="21"/>
        <v>https://www.infraeletrocalhas.com.br/eletrodutos_galv.asp?produto=Eletrodutos-galvanizados</v>
      </c>
    </row>
    <row r="1498" spans="1:9" x14ac:dyDescent="0.25">
      <c r="A1498" s="29" t="s">
        <v>12</v>
      </c>
      <c r="B1498" s="29" t="s">
        <v>80</v>
      </c>
      <c r="C1498" s="29" t="s">
        <v>34</v>
      </c>
      <c r="D1498" s="37" t="s">
        <v>2306</v>
      </c>
      <c r="E1498" s="29" t="s">
        <v>798</v>
      </c>
      <c r="F1498" s="29" t="s">
        <v>36</v>
      </c>
      <c r="G1498" s="29">
        <v>22.65</v>
      </c>
      <c r="H1498" s="71" t="s">
        <v>800</v>
      </c>
      <c r="I1498" s="37" t="str">
        <f t="shared" si="21"/>
        <v>https://www.infraeletrocalhas.com.br/eletrodutos_galv.asp?produto=Eletrodutos-galvanizados</v>
      </c>
    </row>
    <row r="1499" spans="1:9" x14ac:dyDescent="0.25">
      <c r="A1499" s="29" t="s">
        <v>12</v>
      </c>
      <c r="B1499" s="29" t="s">
        <v>80</v>
      </c>
      <c r="C1499" s="29" t="s">
        <v>34</v>
      </c>
      <c r="D1499" s="37" t="s">
        <v>204</v>
      </c>
      <c r="E1499" s="29" t="s">
        <v>37</v>
      </c>
      <c r="F1499" s="29" t="s">
        <v>36</v>
      </c>
      <c r="G1499" s="29">
        <v>7.03</v>
      </c>
      <c r="H1499" s="71" t="s">
        <v>203</v>
      </c>
      <c r="I1499" s="37" t="str">
        <f>"https://www.lojaeletrica.com.br/curva-galvanizada-eletrolitica-135-eletrodutos-galvanizados-de-3-4.html"</f>
        <v>https://www.lojaeletrica.com.br/curva-galvanizada-eletrolitica-135-eletrodutos-galvanizados-de-3-4.html</v>
      </c>
    </row>
    <row r="1500" spans="1:9" x14ac:dyDescent="0.25">
      <c r="A1500" s="29" t="s">
        <v>12</v>
      </c>
      <c r="B1500" s="29" t="s">
        <v>80</v>
      </c>
      <c r="C1500" s="29" t="s">
        <v>34</v>
      </c>
      <c r="D1500" s="37" t="s">
        <v>2835</v>
      </c>
      <c r="E1500" s="29" t="s">
        <v>37</v>
      </c>
      <c r="F1500" s="29" t="s">
        <v>36</v>
      </c>
      <c r="G1500" s="29">
        <v>121.99</v>
      </c>
      <c r="H1500" s="71" t="s">
        <v>800</v>
      </c>
      <c r="I1500" s="37" t="str">
        <f>"https://www.anhangueraferramentas.com.br/produto/eletroduto-galvanizado-a-fogo-pesado-1-1-2-3m-elecon-106978"</f>
        <v>https://www.anhangueraferramentas.com.br/produto/eletroduto-galvanizado-a-fogo-pesado-1-1-2-3m-elecon-106978</v>
      </c>
    </row>
    <row r="1501" spans="1:9" x14ac:dyDescent="0.25">
      <c r="A1501" s="29" t="s">
        <v>12</v>
      </c>
      <c r="B1501" s="29" t="s">
        <v>80</v>
      </c>
      <c r="C1501" s="29" t="s">
        <v>34</v>
      </c>
      <c r="D1501" s="37" t="s">
        <v>1599</v>
      </c>
      <c r="E1501" s="29" t="s">
        <v>37</v>
      </c>
      <c r="F1501" s="29" t="s">
        <v>36</v>
      </c>
      <c r="G1501" s="29">
        <v>16.28</v>
      </c>
      <c r="H1501" s="71" t="s">
        <v>800</v>
      </c>
      <c r="I1501" s="37" t="str">
        <f>"https://www.eletrofm.com.br/eletrodutos/eletroduto-ferro-galvanizado-3-4-leve-barra-3-metros/"</f>
        <v>https://www.eletrofm.com.br/eletrodutos/eletroduto-ferro-galvanizado-3-4-leve-barra-3-metros/</v>
      </c>
    </row>
    <row r="1502" spans="1:9" x14ac:dyDescent="0.25">
      <c r="A1502" s="29" t="s">
        <v>12</v>
      </c>
      <c r="B1502" s="29" t="s">
        <v>80</v>
      </c>
      <c r="C1502" s="29" t="s">
        <v>34</v>
      </c>
      <c r="D1502" s="37" t="s">
        <v>2531</v>
      </c>
      <c r="E1502" s="29" t="s">
        <v>798</v>
      </c>
      <c r="F1502" s="29" t="s">
        <v>36</v>
      </c>
      <c r="G1502" s="29">
        <v>22.9</v>
      </c>
      <c r="H1502" s="71" t="s">
        <v>800</v>
      </c>
      <c r="I1502" s="37" t="str">
        <f t="shared" ref="I1502:I1515" si="22">"https://www.infraeletrocalhas.com.br/eletrodutos.asp?produto=Eletroduto-PVC"</f>
        <v>https://www.infraeletrocalhas.com.br/eletrodutos.asp?produto=Eletroduto-PVC</v>
      </c>
    </row>
    <row r="1503" spans="1:9" x14ac:dyDescent="0.25">
      <c r="A1503" s="29" t="s">
        <v>12</v>
      </c>
      <c r="B1503" s="29" t="s">
        <v>80</v>
      </c>
      <c r="C1503" s="29" t="s">
        <v>34</v>
      </c>
      <c r="D1503" s="37" t="s">
        <v>2532</v>
      </c>
      <c r="E1503" s="29" t="s">
        <v>798</v>
      </c>
      <c r="F1503" s="29" t="s">
        <v>36</v>
      </c>
      <c r="G1503" s="29">
        <v>18.25</v>
      </c>
      <c r="H1503" s="71" t="s">
        <v>800</v>
      </c>
      <c r="I1503" s="37" t="str">
        <f t="shared" si="22"/>
        <v>https://www.infraeletrocalhas.com.br/eletrodutos.asp?produto=Eletroduto-PVC</v>
      </c>
    </row>
    <row r="1504" spans="1:9" x14ac:dyDescent="0.25">
      <c r="A1504" s="29" t="s">
        <v>12</v>
      </c>
      <c r="B1504" s="29" t="s">
        <v>80</v>
      </c>
      <c r="C1504" s="29" t="s">
        <v>34</v>
      </c>
      <c r="D1504" s="37" t="s">
        <v>2533</v>
      </c>
      <c r="E1504" s="29" t="s">
        <v>798</v>
      </c>
      <c r="F1504" s="29" t="s">
        <v>36</v>
      </c>
      <c r="G1504" s="29">
        <v>19.95</v>
      </c>
      <c r="H1504" s="71" t="s">
        <v>800</v>
      </c>
      <c r="I1504" s="37" t="str">
        <f t="shared" si="22"/>
        <v>https://www.infraeletrocalhas.com.br/eletrodutos.asp?produto=Eletroduto-PVC</v>
      </c>
    </row>
    <row r="1505" spans="1:9" x14ac:dyDescent="0.25">
      <c r="A1505" s="29" t="s">
        <v>12</v>
      </c>
      <c r="B1505" s="29" t="s">
        <v>80</v>
      </c>
      <c r="C1505" s="29" t="s">
        <v>34</v>
      </c>
      <c r="D1505" s="37" t="s">
        <v>2534</v>
      </c>
      <c r="E1505" s="29" t="s">
        <v>798</v>
      </c>
      <c r="F1505" s="29" t="s">
        <v>36</v>
      </c>
      <c r="G1505" s="29">
        <v>13.9</v>
      </c>
      <c r="H1505" s="71" t="s">
        <v>800</v>
      </c>
      <c r="I1505" s="37" t="str">
        <f t="shared" si="22"/>
        <v>https://www.infraeletrocalhas.com.br/eletrodutos.asp?produto=Eletroduto-PVC</v>
      </c>
    </row>
    <row r="1506" spans="1:9" x14ac:dyDescent="0.25">
      <c r="A1506" s="29" t="s">
        <v>12</v>
      </c>
      <c r="B1506" s="29" t="s">
        <v>80</v>
      </c>
      <c r="C1506" s="29" t="s">
        <v>34</v>
      </c>
      <c r="D1506" s="37" t="s">
        <v>2535</v>
      </c>
      <c r="E1506" s="29" t="s">
        <v>798</v>
      </c>
      <c r="F1506" s="29" t="s">
        <v>36</v>
      </c>
      <c r="G1506" s="29">
        <v>16.95</v>
      </c>
      <c r="H1506" s="71" t="s">
        <v>800</v>
      </c>
      <c r="I1506" s="37" t="str">
        <f t="shared" si="22"/>
        <v>https://www.infraeletrocalhas.com.br/eletrodutos.asp?produto=Eletroduto-PVC</v>
      </c>
    </row>
    <row r="1507" spans="1:9" x14ac:dyDescent="0.25">
      <c r="A1507" s="29" t="s">
        <v>12</v>
      </c>
      <c r="B1507" s="29" t="s">
        <v>80</v>
      </c>
      <c r="C1507" s="29" t="s">
        <v>34</v>
      </c>
      <c r="D1507" s="37" t="s">
        <v>2536</v>
      </c>
      <c r="E1507" s="29" t="s">
        <v>798</v>
      </c>
      <c r="F1507" s="29" t="s">
        <v>36</v>
      </c>
      <c r="G1507" s="29">
        <v>16.899999999999999</v>
      </c>
      <c r="H1507" s="71" t="s">
        <v>800</v>
      </c>
      <c r="I1507" s="37" t="str">
        <f t="shared" si="22"/>
        <v>https://www.infraeletrocalhas.com.br/eletrodutos.asp?produto=Eletroduto-PVC</v>
      </c>
    </row>
    <row r="1508" spans="1:9" x14ac:dyDescent="0.25">
      <c r="A1508" s="29" t="s">
        <v>12</v>
      </c>
      <c r="B1508" s="29" t="s">
        <v>80</v>
      </c>
      <c r="C1508" s="29" t="s">
        <v>34</v>
      </c>
      <c r="D1508" s="37" t="s">
        <v>2537</v>
      </c>
      <c r="E1508" s="29" t="s">
        <v>798</v>
      </c>
      <c r="F1508" s="29" t="s">
        <v>36</v>
      </c>
      <c r="G1508" s="29">
        <v>39.5</v>
      </c>
      <c r="H1508" s="71" t="s">
        <v>800</v>
      </c>
      <c r="I1508" s="37" t="str">
        <f t="shared" si="22"/>
        <v>https://www.infraeletrocalhas.com.br/eletrodutos.asp?produto=Eletroduto-PVC</v>
      </c>
    </row>
    <row r="1509" spans="1:9" x14ac:dyDescent="0.25">
      <c r="A1509" s="29" t="s">
        <v>12</v>
      </c>
      <c r="B1509" s="29" t="s">
        <v>80</v>
      </c>
      <c r="C1509" s="29" t="s">
        <v>34</v>
      </c>
      <c r="D1509" s="37" t="s">
        <v>2538</v>
      </c>
      <c r="E1509" s="29" t="s">
        <v>798</v>
      </c>
      <c r="F1509" s="29" t="s">
        <v>36</v>
      </c>
      <c r="G1509" s="29">
        <v>29.9</v>
      </c>
      <c r="H1509" s="71" t="s">
        <v>800</v>
      </c>
      <c r="I1509" s="37" t="str">
        <f t="shared" si="22"/>
        <v>https://www.infraeletrocalhas.com.br/eletrodutos.asp?produto=Eletroduto-PVC</v>
      </c>
    </row>
    <row r="1510" spans="1:9" x14ac:dyDescent="0.25">
      <c r="A1510" s="29" t="s">
        <v>12</v>
      </c>
      <c r="B1510" s="29" t="s">
        <v>80</v>
      </c>
      <c r="C1510" s="29" t="s">
        <v>34</v>
      </c>
      <c r="D1510" s="37" t="s">
        <v>2539</v>
      </c>
      <c r="E1510" s="29" t="s">
        <v>798</v>
      </c>
      <c r="F1510" s="29" t="s">
        <v>36</v>
      </c>
      <c r="G1510" s="29">
        <v>10.9</v>
      </c>
      <c r="H1510" s="71" t="s">
        <v>800</v>
      </c>
      <c r="I1510" s="37" t="str">
        <f t="shared" si="22"/>
        <v>https://www.infraeletrocalhas.com.br/eletrodutos.asp?produto=Eletroduto-PVC</v>
      </c>
    </row>
    <row r="1511" spans="1:9" x14ac:dyDescent="0.25">
      <c r="A1511" s="29" t="s">
        <v>12</v>
      </c>
      <c r="B1511" s="29" t="s">
        <v>80</v>
      </c>
      <c r="C1511" s="29" t="s">
        <v>34</v>
      </c>
      <c r="D1511" s="37" t="s">
        <v>2540</v>
      </c>
      <c r="E1511" s="29" t="s">
        <v>798</v>
      </c>
      <c r="F1511" s="29" t="s">
        <v>36</v>
      </c>
      <c r="G1511" s="29">
        <v>49.9</v>
      </c>
      <c r="H1511" s="71" t="s">
        <v>800</v>
      </c>
      <c r="I1511" s="37" t="str">
        <f t="shared" si="22"/>
        <v>https://www.infraeletrocalhas.com.br/eletrodutos.asp?produto=Eletroduto-PVC</v>
      </c>
    </row>
    <row r="1512" spans="1:9" x14ac:dyDescent="0.25">
      <c r="A1512" s="29" t="s">
        <v>12</v>
      </c>
      <c r="B1512" s="29" t="s">
        <v>80</v>
      </c>
      <c r="C1512" s="29" t="s">
        <v>34</v>
      </c>
      <c r="D1512" s="37" t="s">
        <v>2541</v>
      </c>
      <c r="E1512" s="29" t="s">
        <v>798</v>
      </c>
      <c r="F1512" s="29" t="s">
        <v>36</v>
      </c>
      <c r="G1512" s="29">
        <v>99.95</v>
      </c>
      <c r="H1512" s="71" t="s">
        <v>800</v>
      </c>
      <c r="I1512" s="37" t="str">
        <f t="shared" si="22"/>
        <v>https://www.infraeletrocalhas.com.br/eletrodutos.asp?produto=Eletroduto-PVC</v>
      </c>
    </row>
    <row r="1513" spans="1:9" x14ac:dyDescent="0.25">
      <c r="A1513" s="29" t="s">
        <v>12</v>
      </c>
      <c r="B1513" s="29" t="s">
        <v>80</v>
      </c>
      <c r="C1513" s="29" t="s">
        <v>34</v>
      </c>
      <c r="D1513" s="37" t="s">
        <v>2542</v>
      </c>
      <c r="E1513" s="29" t="s">
        <v>798</v>
      </c>
      <c r="F1513" s="29" t="s">
        <v>36</v>
      </c>
      <c r="G1513" s="29">
        <v>104.95</v>
      </c>
      <c r="H1513" s="71" t="s">
        <v>800</v>
      </c>
      <c r="I1513" s="37" t="str">
        <f t="shared" si="22"/>
        <v>https://www.infraeletrocalhas.com.br/eletrodutos.asp?produto=Eletroduto-PVC</v>
      </c>
    </row>
    <row r="1514" spans="1:9" x14ac:dyDescent="0.25">
      <c r="A1514" s="29" t="s">
        <v>12</v>
      </c>
      <c r="B1514" s="29" t="s">
        <v>80</v>
      </c>
      <c r="C1514" s="29" t="s">
        <v>34</v>
      </c>
      <c r="D1514" s="37" t="s">
        <v>2543</v>
      </c>
      <c r="E1514" s="29" t="s">
        <v>798</v>
      </c>
      <c r="F1514" s="29" t="s">
        <v>36</v>
      </c>
      <c r="G1514" s="29">
        <v>11.95</v>
      </c>
      <c r="H1514" s="71" t="s">
        <v>800</v>
      </c>
      <c r="I1514" s="37" t="str">
        <f t="shared" si="22"/>
        <v>https://www.infraeletrocalhas.com.br/eletrodutos.asp?produto=Eletroduto-PVC</v>
      </c>
    </row>
    <row r="1515" spans="1:9" x14ac:dyDescent="0.25">
      <c r="A1515" s="29" t="s">
        <v>12</v>
      </c>
      <c r="B1515" s="29" t="s">
        <v>80</v>
      </c>
      <c r="C1515" s="29" t="s">
        <v>34</v>
      </c>
      <c r="D1515" s="37" t="s">
        <v>2544</v>
      </c>
      <c r="E1515" s="29" t="s">
        <v>798</v>
      </c>
      <c r="F1515" s="29" t="s">
        <v>36</v>
      </c>
      <c r="G1515" s="29">
        <v>152.5</v>
      </c>
      <c r="H1515" s="71" t="s">
        <v>800</v>
      </c>
      <c r="I1515" s="37" t="str">
        <f t="shared" si="22"/>
        <v>https://www.infraeletrocalhas.com.br/eletrodutos.asp?produto=Eletroduto-PVC</v>
      </c>
    </row>
    <row r="1516" spans="1:9" x14ac:dyDescent="0.25">
      <c r="A1516" s="29" t="s">
        <v>12</v>
      </c>
      <c r="B1516" s="29" t="s">
        <v>80</v>
      </c>
      <c r="C1516" s="29">
        <v>2685</v>
      </c>
      <c r="D1516" s="37" t="s">
        <v>2545</v>
      </c>
      <c r="E1516" s="29" t="s">
        <v>37</v>
      </c>
      <c r="F1516" s="29" t="s">
        <v>44</v>
      </c>
      <c r="G1516" s="29">
        <v>7.43</v>
      </c>
      <c r="H1516" s="71" t="s">
        <v>38</v>
      </c>
      <c r="I1516" s="37" t="s">
        <v>207</v>
      </c>
    </row>
    <row r="1517" spans="1:9" x14ac:dyDescent="0.25">
      <c r="A1517" s="29" t="s">
        <v>12</v>
      </c>
      <c r="B1517" s="29" t="s">
        <v>80</v>
      </c>
      <c r="C1517" s="29">
        <v>2680</v>
      </c>
      <c r="D1517" s="37" t="s">
        <v>2546</v>
      </c>
      <c r="E1517" s="29" t="s">
        <v>37</v>
      </c>
      <c r="F1517" s="29" t="s">
        <v>44</v>
      </c>
      <c r="G1517" s="29">
        <v>10.88</v>
      </c>
      <c r="H1517" s="71" t="s">
        <v>38</v>
      </c>
      <c r="I1517" s="37" t="s">
        <v>207</v>
      </c>
    </row>
    <row r="1518" spans="1:9" x14ac:dyDescent="0.25">
      <c r="A1518" s="29" t="s">
        <v>12</v>
      </c>
      <c r="B1518" s="29" t="s">
        <v>80</v>
      </c>
      <c r="C1518" s="29">
        <v>2684</v>
      </c>
      <c r="D1518" s="37" t="s">
        <v>2547</v>
      </c>
      <c r="E1518" s="29" t="s">
        <v>37</v>
      </c>
      <c r="F1518" s="29" t="s">
        <v>44</v>
      </c>
      <c r="G1518" s="29">
        <v>9.89</v>
      </c>
      <c r="H1518" s="71" t="s">
        <v>38</v>
      </c>
      <c r="I1518" s="37" t="s">
        <v>207</v>
      </c>
    </row>
    <row r="1519" spans="1:9" x14ac:dyDescent="0.25">
      <c r="A1519" s="29" t="s">
        <v>12</v>
      </c>
      <c r="B1519" s="29" t="s">
        <v>80</v>
      </c>
      <c r="C1519" s="29">
        <v>2673</v>
      </c>
      <c r="D1519" s="37" t="s">
        <v>2548</v>
      </c>
      <c r="E1519" s="29" t="s">
        <v>37</v>
      </c>
      <c r="F1519" s="29" t="s">
        <v>44</v>
      </c>
      <c r="G1519" s="29">
        <v>3.82</v>
      </c>
      <c r="H1519" s="71" t="s">
        <v>38</v>
      </c>
      <c r="I1519" s="37" t="s">
        <v>207</v>
      </c>
    </row>
    <row r="1520" spans="1:9" x14ac:dyDescent="0.25">
      <c r="A1520" s="29" t="s">
        <v>12</v>
      </c>
      <c r="B1520" s="29" t="s">
        <v>80</v>
      </c>
      <c r="C1520" s="29">
        <v>2681</v>
      </c>
      <c r="D1520" s="37" t="s">
        <v>2549</v>
      </c>
      <c r="E1520" s="29" t="s">
        <v>37</v>
      </c>
      <c r="F1520" s="29" t="s">
        <v>44</v>
      </c>
      <c r="G1520" s="29">
        <v>17.77</v>
      </c>
      <c r="H1520" s="71" t="s">
        <v>38</v>
      </c>
      <c r="I1520" s="37" t="s">
        <v>207</v>
      </c>
    </row>
    <row r="1521" spans="1:9" x14ac:dyDescent="0.25">
      <c r="A1521" s="29" t="s">
        <v>12</v>
      </c>
      <c r="B1521" s="29" t="s">
        <v>80</v>
      </c>
      <c r="C1521" s="29">
        <v>2682</v>
      </c>
      <c r="D1521" s="37" t="s">
        <v>2550</v>
      </c>
      <c r="E1521" s="29" t="s">
        <v>37</v>
      </c>
      <c r="F1521" s="29" t="s">
        <v>44</v>
      </c>
      <c r="G1521" s="29">
        <v>25.93</v>
      </c>
      <c r="H1521" s="71" t="s">
        <v>38</v>
      </c>
      <c r="I1521" s="37" t="s">
        <v>207</v>
      </c>
    </row>
    <row r="1522" spans="1:9" x14ac:dyDescent="0.25">
      <c r="A1522" s="29" t="s">
        <v>12</v>
      </c>
      <c r="B1522" s="29" t="s">
        <v>80</v>
      </c>
      <c r="C1522" s="29">
        <v>2686</v>
      </c>
      <c r="D1522" s="37" t="s">
        <v>2551</v>
      </c>
      <c r="E1522" s="29" t="s">
        <v>37</v>
      </c>
      <c r="F1522" s="29" t="s">
        <v>44</v>
      </c>
      <c r="G1522" s="29">
        <v>32.520000000000003</v>
      </c>
      <c r="H1522" s="71" t="s">
        <v>38</v>
      </c>
      <c r="I1522" s="37" t="s">
        <v>207</v>
      </c>
    </row>
    <row r="1523" spans="1:9" x14ac:dyDescent="0.25">
      <c r="A1523" s="29" t="s">
        <v>12</v>
      </c>
      <c r="B1523" s="29" t="s">
        <v>80</v>
      </c>
      <c r="C1523" s="29">
        <v>2674</v>
      </c>
      <c r="D1523" s="37" t="s">
        <v>2552</v>
      </c>
      <c r="E1523" s="29" t="s">
        <v>37</v>
      </c>
      <c r="F1523" s="29" t="s">
        <v>44</v>
      </c>
      <c r="G1523" s="29">
        <v>4.75</v>
      </c>
      <c r="H1523" s="71" t="s">
        <v>38</v>
      </c>
      <c r="I1523" s="37" t="s">
        <v>207</v>
      </c>
    </row>
    <row r="1524" spans="1:9" x14ac:dyDescent="0.25">
      <c r="A1524" s="29" t="s">
        <v>12</v>
      </c>
      <c r="B1524" s="29" t="s">
        <v>80</v>
      </c>
      <c r="C1524" s="29">
        <v>2683</v>
      </c>
      <c r="D1524" s="37" t="s">
        <v>2553</v>
      </c>
      <c r="E1524" s="29" t="s">
        <v>37</v>
      </c>
      <c r="F1524" s="29" t="s">
        <v>44</v>
      </c>
      <c r="G1524" s="29">
        <v>51.24</v>
      </c>
      <c r="H1524" s="71" t="s">
        <v>38</v>
      </c>
      <c r="I1524" s="37" t="s">
        <v>207</v>
      </c>
    </row>
    <row r="1525" spans="1:9" x14ac:dyDescent="0.25">
      <c r="A1525" s="29" t="s">
        <v>12</v>
      </c>
      <c r="B1525" s="29" t="s">
        <v>80</v>
      </c>
      <c r="C1525" s="29">
        <v>2676</v>
      </c>
      <c r="D1525" s="37" t="s">
        <v>2554</v>
      </c>
      <c r="E1525" s="29" t="s">
        <v>37</v>
      </c>
      <c r="F1525" s="29" t="s">
        <v>44</v>
      </c>
      <c r="G1525" s="29">
        <v>2.2200000000000002</v>
      </c>
      <c r="H1525" s="71" t="s">
        <v>38</v>
      </c>
      <c r="I1525" s="37" t="s">
        <v>207</v>
      </c>
    </row>
    <row r="1526" spans="1:9" x14ac:dyDescent="0.25">
      <c r="A1526" s="29" t="s">
        <v>12</v>
      </c>
      <c r="B1526" s="29" t="s">
        <v>80</v>
      </c>
      <c r="C1526" s="29">
        <v>2678</v>
      </c>
      <c r="D1526" s="37" t="s">
        <v>2555</v>
      </c>
      <c r="E1526" s="29" t="s">
        <v>37</v>
      </c>
      <c r="F1526" s="29" t="s">
        <v>44</v>
      </c>
      <c r="G1526" s="29">
        <v>2.78</v>
      </c>
      <c r="H1526" s="71" t="s">
        <v>38</v>
      </c>
      <c r="I1526" s="37" t="s">
        <v>207</v>
      </c>
    </row>
    <row r="1527" spans="1:9" x14ac:dyDescent="0.25">
      <c r="A1527" s="29" t="s">
        <v>12</v>
      </c>
      <c r="B1527" s="29" t="s">
        <v>80</v>
      </c>
      <c r="C1527" s="29">
        <v>2679</v>
      </c>
      <c r="D1527" s="37" t="s">
        <v>2556</v>
      </c>
      <c r="E1527" s="29" t="s">
        <v>37</v>
      </c>
      <c r="F1527" s="29" t="s">
        <v>44</v>
      </c>
      <c r="G1527" s="29">
        <v>4.29</v>
      </c>
      <c r="H1527" s="71" t="s">
        <v>38</v>
      </c>
      <c r="I1527" s="37" t="s">
        <v>207</v>
      </c>
    </row>
    <row r="1528" spans="1:9" x14ac:dyDescent="0.25">
      <c r="A1528" s="29" t="s">
        <v>12</v>
      </c>
      <c r="B1528" s="29" t="s">
        <v>80</v>
      </c>
      <c r="C1528" s="29">
        <v>12070</v>
      </c>
      <c r="D1528" s="37" t="s">
        <v>2557</v>
      </c>
      <c r="E1528" s="29" t="s">
        <v>37</v>
      </c>
      <c r="F1528" s="29" t="s">
        <v>44</v>
      </c>
      <c r="G1528" s="29">
        <v>5.97</v>
      </c>
      <c r="H1528" s="71" t="s">
        <v>38</v>
      </c>
      <c r="I1528" s="37" t="s">
        <v>207</v>
      </c>
    </row>
    <row r="1529" spans="1:9" x14ac:dyDescent="0.25">
      <c r="A1529" s="29" t="s">
        <v>12</v>
      </c>
      <c r="B1529" s="29" t="s">
        <v>80</v>
      </c>
      <c r="C1529" s="29">
        <v>2675</v>
      </c>
      <c r="D1529" s="37" t="s">
        <v>2558</v>
      </c>
      <c r="E1529" s="29" t="s">
        <v>37</v>
      </c>
      <c r="F1529" s="29" t="s">
        <v>44</v>
      </c>
      <c r="G1529" s="29">
        <v>7.76</v>
      </c>
      <c r="H1529" s="71" t="s">
        <v>38</v>
      </c>
      <c r="I1529" s="37" t="s">
        <v>207</v>
      </c>
    </row>
    <row r="1530" spans="1:9" x14ac:dyDescent="0.25">
      <c r="A1530" s="29" t="s">
        <v>12</v>
      </c>
      <c r="B1530" s="29" t="s">
        <v>80</v>
      </c>
      <c r="C1530" s="29">
        <v>12067</v>
      </c>
      <c r="D1530" s="37" t="s">
        <v>2559</v>
      </c>
      <c r="E1530" s="29" t="s">
        <v>37</v>
      </c>
      <c r="F1530" s="29" t="s">
        <v>44</v>
      </c>
      <c r="G1530" s="29">
        <v>10.53</v>
      </c>
      <c r="H1530" s="71" t="s">
        <v>38</v>
      </c>
      <c r="I1530" s="37" t="s">
        <v>207</v>
      </c>
    </row>
    <row r="1531" spans="1:9" x14ac:dyDescent="0.25">
      <c r="A1531" s="29" t="s">
        <v>12</v>
      </c>
      <c r="B1531" s="29" t="s">
        <v>80</v>
      </c>
      <c r="C1531" s="29" t="s">
        <v>34</v>
      </c>
      <c r="D1531" s="37" t="s">
        <v>2560</v>
      </c>
      <c r="E1531" s="29" t="s">
        <v>798</v>
      </c>
      <c r="F1531" s="29" t="s">
        <v>36</v>
      </c>
      <c r="G1531" s="29">
        <v>29</v>
      </c>
      <c r="H1531" s="71" t="s">
        <v>800</v>
      </c>
      <c r="I1531" s="37" t="str">
        <f>"https://www.infraeletrocalhas.com.br/eletrodutos.asp?produto=Eletroduto-PVC"</f>
        <v>https://www.infraeletrocalhas.com.br/eletrodutos.asp?produto=Eletroduto-PVC</v>
      </c>
    </row>
    <row r="1532" spans="1:9" x14ac:dyDescent="0.25">
      <c r="A1532" s="29" t="s">
        <v>12</v>
      </c>
      <c r="B1532" s="29" t="s">
        <v>80</v>
      </c>
      <c r="C1532" s="29" t="s">
        <v>34</v>
      </c>
      <c r="D1532" s="37" t="s">
        <v>2561</v>
      </c>
      <c r="E1532" s="29" t="s">
        <v>798</v>
      </c>
      <c r="F1532" s="29" t="s">
        <v>36</v>
      </c>
      <c r="G1532" s="29">
        <v>22.5</v>
      </c>
      <c r="H1532" s="71" t="s">
        <v>800</v>
      </c>
      <c r="I1532" s="37" t="str">
        <f>"https://www.infraeletrocalhas.com.br/eletrodutos.asp?produto=Eletroduto-PVC"</f>
        <v>https://www.infraeletrocalhas.com.br/eletrodutos.asp?produto=Eletroduto-PVC</v>
      </c>
    </row>
    <row r="1533" spans="1:9" x14ac:dyDescent="0.25">
      <c r="A1533" s="29" t="s">
        <v>12</v>
      </c>
      <c r="B1533" s="29" t="s">
        <v>80</v>
      </c>
      <c r="C1533" s="29">
        <v>21128</v>
      </c>
      <c r="D1533" s="37" t="s">
        <v>1962</v>
      </c>
      <c r="E1533" s="29" t="s">
        <v>37</v>
      </c>
      <c r="F1533" s="29" t="s">
        <v>44</v>
      </c>
      <c r="G1533" s="29">
        <v>16.170000000000002</v>
      </c>
      <c r="H1533" s="71" t="s">
        <v>38</v>
      </c>
      <c r="I1533" s="37" t="s">
        <v>207</v>
      </c>
    </row>
    <row r="1534" spans="1:9" x14ac:dyDescent="0.25">
      <c r="A1534" s="29" t="s">
        <v>12</v>
      </c>
      <c r="B1534" s="29" t="s">
        <v>80</v>
      </c>
      <c r="C1534" s="29">
        <v>40400</v>
      </c>
      <c r="D1534" s="37" t="s">
        <v>2164</v>
      </c>
      <c r="E1534" s="29" t="s">
        <v>37</v>
      </c>
      <c r="F1534" s="29" t="s">
        <v>44</v>
      </c>
      <c r="G1534" s="29">
        <v>1.49</v>
      </c>
      <c r="H1534" s="71" t="s">
        <v>38</v>
      </c>
      <c r="I1534" s="37" t="s">
        <v>207</v>
      </c>
    </row>
    <row r="1535" spans="1:9" x14ac:dyDescent="0.25">
      <c r="A1535" s="29" t="s">
        <v>12</v>
      </c>
      <c r="B1535" s="29" t="s">
        <v>80</v>
      </c>
      <c r="C1535" s="29">
        <v>40401</v>
      </c>
      <c r="D1535" s="37" t="s">
        <v>2165</v>
      </c>
      <c r="E1535" s="29" t="s">
        <v>37</v>
      </c>
      <c r="F1535" s="29" t="s">
        <v>44</v>
      </c>
      <c r="G1535" s="29">
        <v>2.2000000000000002</v>
      </c>
      <c r="H1535" s="71" t="s">
        <v>38</v>
      </c>
      <c r="I1535" s="37" t="s">
        <v>207</v>
      </c>
    </row>
    <row r="1536" spans="1:9" x14ac:dyDescent="0.25">
      <c r="A1536" s="29" t="s">
        <v>12</v>
      </c>
      <c r="B1536" s="29" t="s">
        <v>80</v>
      </c>
      <c r="C1536" s="29">
        <v>40402</v>
      </c>
      <c r="D1536" s="37" t="s">
        <v>2166</v>
      </c>
      <c r="E1536" s="29" t="s">
        <v>37</v>
      </c>
      <c r="F1536" s="29" t="s">
        <v>44</v>
      </c>
      <c r="G1536" s="29">
        <v>2.83</v>
      </c>
      <c r="H1536" s="71" t="s">
        <v>38</v>
      </c>
      <c r="I1536" s="37" t="s">
        <v>207</v>
      </c>
    </row>
    <row r="1537" spans="1:9" x14ac:dyDescent="0.25">
      <c r="A1537" s="29" t="s">
        <v>12</v>
      </c>
      <c r="B1537" s="29" t="s">
        <v>80</v>
      </c>
      <c r="C1537" s="29">
        <v>21137</v>
      </c>
      <c r="D1537" s="37" t="s">
        <v>2562</v>
      </c>
      <c r="E1537" s="29" t="s">
        <v>37</v>
      </c>
      <c r="F1537" s="29" t="s">
        <v>44</v>
      </c>
      <c r="G1537" s="29">
        <v>16.55</v>
      </c>
      <c r="H1537" s="71" t="s">
        <v>38</v>
      </c>
      <c r="I1537" s="37" t="s">
        <v>207</v>
      </c>
    </row>
    <row r="1538" spans="1:9" x14ac:dyDescent="0.25">
      <c r="A1538" s="29" t="s">
        <v>12</v>
      </c>
      <c r="B1538" s="29" t="s">
        <v>80</v>
      </c>
      <c r="C1538" s="29">
        <v>2504</v>
      </c>
      <c r="D1538" s="37" t="s">
        <v>2563</v>
      </c>
      <c r="E1538" s="29" t="s">
        <v>37</v>
      </c>
      <c r="F1538" s="29" t="s">
        <v>44</v>
      </c>
      <c r="G1538" s="29">
        <v>17.940000000000001</v>
      </c>
      <c r="H1538" s="71" t="s">
        <v>38</v>
      </c>
      <c r="I1538" s="37" t="s">
        <v>207</v>
      </c>
    </row>
    <row r="1539" spans="1:9" x14ac:dyDescent="0.25">
      <c r="A1539" s="29" t="s">
        <v>12</v>
      </c>
      <c r="B1539" s="29" t="s">
        <v>80</v>
      </c>
      <c r="C1539" s="29">
        <v>2501</v>
      </c>
      <c r="D1539" s="37" t="s">
        <v>2564</v>
      </c>
      <c r="E1539" s="29" t="s">
        <v>37</v>
      </c>
      <c r="F1539" s="29" t="s">
        <v>44</v>
      </c>
      <c r="G1539" s="29">
        <v>23.53</v>
      </c>
      <c r="H1539" s="71" t="s">
        <v>38</v>
      </c>
      <c r="I1539" s="37" t="s">
        <v>207</v>
      </c>
    </row>
    <row r="1540" spans="1:9" x14ac:dyDescent="0.25">
      <c r="A1540" s="29" t="s">
        <v>12</v>
      </c>
      <c r="B1540" s="29" t="s">
        <v>80</v>
      </c>
      <c r="C1540" s="29">
        <v>2502</v>
      </c>
      <c r="D1540" s="37" t="s">
        <v>2565</v>
      </c>
      <c r="E1540" s="29" t="s">
        <v>37</v>
      </c>
      <c r="F1540" s="29" t="s">
        <v>44</v>
      </c>
      <c r="G1540" s="29">
        <v>35.5</v>
      </c>
      <c r="H1540" s="71" t="s">
        <v>38</v>
      </c>
      <c r="I1540" s="37" t="s">
        <v>207</v>
      </c>
    </row>
    <row r="1541" spans="1:9" x14ac:dyDescent="0.25">
      <c r="A1541" s="29" t="s">
        <v>12</v>
      </c>
      <c r="B1541" s="29" t="s">
        <v>80</v>
      </c>
      <c r="C1541" s="29">
        <v>2503</v>
      </c>
      <c r="D1541" s="37" t="s">
        <v>2566</v>
      </c>
      <c r="E1541" s="29" t="s">
        <v>37</v>
      </c>
      <c r="F1541" s="29" t="s">
        <v>44</v>
      </c>
      <c r="G1541" s="29">
        <v>45.69</v>
      </c>
      <c r="H1541" s="71" t="s">
        <v>38</v>
      </c>
      <c r="I1541" s="37" t="s">
        <v>207</v>
      </c>
    </row>
    <row r="1542" spans="1:9" x14ac:dyDescent="0.25">
      <c r="A1542" s="29" t="s">
        <v>12</v>
      </c>
      <c r="B1542" s="29" t="s">
        <v>80</v>
      </c>
      <c r="C1542" s="29">
        <v>2500</v>
      </c>
      <c r="D1542" s="37" t="s">
        <v>2567</v>
      </c>
      <c r="E1542" s="29" t="s">
        <v>37</v>
      </c>
      <c r="F1542" s="29" t="s">
        <v>44</v>
      </c>
      <c r="G1542" s="29">
        <v>60.86</v>
      </c>
      <c r="H1542" s="71" t="s">
        <v>38</v>
      </c>
      <c r="I1542" s="37" t="s">
        <v>207</v>
      </c>
    </row>
    <row r="1543" spans="1:9" x14ac:dyDescent="0.25">
      <c r="A1543" s="29" t="s">
        <v>12</v>
      </c>
      <c r="B1543" s="29" t="s">
        <v>80</v>
      </c>
      <c r="C1543" s="29">
        <v>2505</v>
      </c>
      <c r="D1543" s="37" t="s">
        <v>2568</v>
      </c>
      <c r="E1543" s="29" t="s">
        <v>37</v>
      </c>
      <c r="F1543" s="29" t="s">
        <v>44</v>
      </c>
      <c r="G1543" s="29">
        <v>94.85</v>
      </c>
      <c r="H1543" s="71" t="s">
        <v>38</v>
      </c>
      <c r="I1543" s="37" t="s">
        <v>207</v>
      </c>
    </row>
    <row r="1544" spans="1:9" x14ac:dyDescent="0.25">
      <c r="A1544" s="29" t="s">
        <v>12</v>
      </c>
      <c r="B1544" s="29" t="s">
        <v>80</v>
      </c>
      <c r="C1544" s="29">
        <v>12056</v>
      </c>
      <c r="D1544" s="37" t="s">
        <v>1963</v>
      </c>
      <c r="E1544" s="29" t="s">
        <v>37</v>
      </c>
      <c r="F1544" s="29" t="s">
        <v>44</v>
      </c>
      <c r="G1544" s="29">
        <v>38.33</v>
      </c>
      <c r="H1544" s="71" t="s">
        <v>38</v>
      </c>
      <c r="I1544" s="37" t="s">
        <v>207</v>
      </c>
    </row>
    <row r="1545" spans="1:9" x14ac:dyDescent="0.25">
      <c r="A1545" s="29" t="s">
        <v>12</v>
      </c>
      <c r="B1545" s="29" t="s">
        <v>80</v>
      </c>
      <c r="C1545" s="29">
        <v>12057</v>
      </c>
      <c r="D1545" s="37" t="s">
        <v>1964</v>
      </c>
      <c r="E1545" s="29" t="s">
        <v>37</v>
      </c>
      <c r="F1545" s="29" t="s">
        <v>44</v>
      </c>
      <c r="G1545" s="29">
        <v>32.549999999999997</v>
      </c>
      <c r="H1545" s="71" t="s">
        <v>38</v>
      </c>
      <c r="I1545" s="37" t="s">
        <v>207</v>
      </c>
    </row>
    <row r="1546" spans="1:9" x14ac:dyDescent="0.25">
      <c r="A1546" s="29" t="s">
        <v>12</v>
      </c>
      <c r="B1546" s="29" t="s">
        <v>80</v>
      </c>
      <c r="C1546" s="29">
        <v>12058</v>
      </c>
      <c r="D1546" s="37" t="s">
        <v>1965</v>
      </c>
      <c r="E1546" s="29" t="s">
        <v>37</v>
      </c>
      <c r="F1546" s="29" t="s">
        <v>44</v>
      </c>
      <c r="G1546" s="29">
        <v>20.29</v>
      </c>
      <c r="H1546" s="71" t="s">
        <v>38</v>
      </c>
      <c r="I1546" s="37" t="s">
        <v>207</v>
      </c>
    </row>
    <row r="1547" spans="1:9" x14ac:dyDescent="0.25">
      <c r="A1547" s="29" t="s">
        <v>12</v>
      </c>
      <c r="B1547" s="29" t="s">
        <v>80</v>
      </c>
      <c r="C1547" s="29">
        <v>12059</v>
      </c>
      <c r="D1547" s="37" t="s">
        <v>1966</v>
      </c>
      <c r="E1547" s="29" t="s">
        <v>37</v>
      </c>
      <c r="F1547" s="29" t="s">
        <v>44</v>
      </c>
      <c r="G1547" s="29">
        <v>11.42</v>
      </c>
      <c r="H1547" s="71" t="s">
        <v>38</v>
      </c>
      <c r="I1547" s="37" t="s">
        <v>207</v>
      </c>
    </row>
    <row r="1548" spans="1:9" x14ac:dyDescent="0.25">
      <c r="A1548" s="29" t="s">
        <v>12</v>
      </c>
      <c r="B1548" s="29" t="s">
        <v>80</v>
      </c>
      <c r="C1548" s="29">
        <v>12060</v>
      </c>
      <c r="D1548" s="37" t="s">
        <v>1967</v>
      </c>
      <c r="E1548" s="29" t="s">
        <v>37</v>
      </c>
      <c r="F1548" s="29" t="s">
        <v>44</v>
      </c>
      <c r="G1548" s="29">
        <v>84.58</v>
      </c>
      <c r="H1548" s="71" t="s">
        <v>38</v>
      </c>
      <c r="I1548" s="37" t="s">
        <v>207</v>
      </c>
    </row>
    <row r="1549" spans="1:9" x14ac:dyDescent="0.25">
      <c r="A1549" s="29" t="s">
        <v>12</v>
      </c>
      <c r="B1549" s="29" t="s">
        <v>80</v>
      </c>
      <c r="C1549" s="29">
        <v>12061</v>
      </c>
      <c r="D1549" s="37" t="s">
        <v>1968</v>
      </c>
      <c r="E1549" s="29" t="s">
        <v>37</v>
      </c>
      <c r="F1549" s="29" t="s">
        <v>44</v>
      </c>
      <c r="G1549" s="29">
        <v>51.64</v>
      </c>
      <c r="H1549" s="71" t="s">
        <v>38</v>
      </c>
      <c r="I1549" s="37" t="s">
        <v>207</v>
      </c>
    </row>
    <row r="1550" spans="1:9" x14ac:dyDescent="0.25">
      <c r="A1550" s="29" t="s">
        <v>12</v>
      </c>
      <c r="B1550" s="29" t="s">
        <v>80</v>
      </c>
      <c r="C1550" s="29">
        <v>12062</v>
      </c>
      <c r="D1550" s="37" t="s">
        <v>1969</v>
      </c>
      <c r="E1550" s="29" t="s">
        <v>37</v>
      </c>
      <c r="F1550" s="29" t="s">
        <v>44</v>
      </c>
      <c r="G1550" s="29">
        <v>95.24</v>
      </c>
      <c r="H1550" s="71" t="s">
        <v>38</v>
      </c>
      <c r="I1550" s="37" t="s">
        <v>207</v>
      </c>
    </row>
    <row r="1551" spans="1:9" x14ac:dyDescent="0.25">
      <c r="A1551" s="29" t="s">
        <v>12</v>
      </c>
      <c r="B1551" s="29" t="s">
        <v>80</v>
      </c>
      <c r="C1551" s="29" t="s">
        <v>34</v>
      </c>
      <c r="D1551" s="37" t="s">
        <v>995</v>
      </c>
      <c r="E1551" s="29" t="s">
        <v>798</v>
      </c>
      <c r="F1551" s="29" t="s">
        <v>36</v>
      </c>
      <c r="G1551" s="29">
        <v>24.95</v>
      </c>
      <c r="H1551" s="71" t="s">
        <v>800</v>
      </c>
      <c r="I1551" s="37" t="str">
        <f t="shared" ref="I1551:I1569" si="23">"https://www.infraeletrocalhas.com.br/eletrodutos_galv.asp?produto=Eletrodutos-galvanizados"</f>
        <v>https://www.infraeletrocalhas.com.br/eletrodutos_galv.asp?produto=Eletrodutos-galvanizados</v>
      </c>
    </row>
    <row r="1552" spans="1:9" x14ac:dyDescent="0.25">
      <c r="A1552" s="29" t="s">
        <v>12</v>
      </c>
      <c r="B1552" s="29" t="s">
        <v>80</v>
      </c>
      <c r="C1552" s="29" t="s">
        <v>34</v>
      </c>
      <c r="D1552" s="37" t="s">
        <v>996</v>
      </c>
      <c r="E1552" s="29" t="s">
        <v>798</v>
      </c>
      <c r="F1552" s="29" t="s">
        <v>36</v>
      </c>
      <c r="G1552" s="29">
        <v>72.900000000000006</v>
      </c>
      <c r="H1552" s="71" t="s">
        <v>800</v>
      </c>
      <c r="I1552" s="37" t="str">
        <f t="shared" si="23"/>
        <v>https://www.infraeletrocalhas.com.br/eletrodutos_galv.asp?produto=Eletrodutos-galvanizados</v>
      </c>
    </row>
    <row r="1553" spans="1:9" x14ac:dyDescent="0.25">
      <c r="A1553" s="29" t="s">
        <v>12</v>
      </c>
      <c r="B1553" s="29" t="s">
        <v>80</v>
      </c>
      <c r="C1553" s="29" t="s">
        <v>34</v>
      </c>
      <c r="D1553" s="37" t="s">
        <v>997</v>
      </c>
      <c r="E1553" s="29" t="s">
        <v>798</v>
      </c>
      <c r="F1553" s="29" t="s">
        <v>36</v>
      </c>
      <c r="G1553" s="29">
        <v>67.900000000000006</v>
      </c>
      <c r="H1553" s="71" t="s">
        <v>800</v>
      </c>
      <c r="I1553" s="37" t="str">
        <f t="shared" si="23"/>
        <v>https://www.infraeletrocalhas.com.br/eletrodutos_galv.asp?produto=Eletrodutos-galvanizados</v>
      </c>
    </row>
    <row r="1554" spans="1:9" x14ac:dyDescent="0.25">
      <c r="A1554" s="29" t="s">
        <v>12</v>
      </c>
      <c r="B1554" s="29" t="s">
        <v>80</v>
      </c>
      <c r="C1554" s="29" t="s">
        <v>34</v>
      </c>
      <c r="D1554" s="37" t="s">
        <v>998</v>
      </c>
      <c r="E1554" s="29" t="s">
        <v>798</v>
      </c>
      <c r="F1554" s="29" t="s">
        <v>36</v>
      </c>
      <c r="G1554" s="29">
        <v>18.5</v>
      </c>
      <c r="H1554" s="71" t="s">
        <v>800</v>
      </c>
      <c r="I1554" s="37" t="str">
        <f t="shared" si="23"/>
        <v>https://www.infraeletrocalhas.com.br/eletrodutos_galv.asp?produto=Eletrodutos-galvanizados</v>
      </c>
    </row>
    <row r="1555" spans="1:9" x14ac:dyDescent="0.25">
      <c r="A1555" s="29" t="s">
        <v>12</v>
      </c>
      <c r="B1555" s="29" t="s">
        <v>80</v>
      </c>
      <c r="C1555" s="29" t="s">
        <v>34</v>
      </c>
      <c r="D1555" s="37" t="s">
        <v>999</v>
      </c>
      <c r="E1555" s="29" t="s">
        <v>798</v>
      </c>
      <c r="F1555" s="29" t="s">
        <v>36</v>
      </c>
      <c r="G1555" s="29">
        <v>74.900000000000006</v>
      </c>
      <c r="H1555" s="71" t="s">
        <v>800</v>
      </c>
      <c r="I1555" s="37" t="str">
        <f t="shared" si="23"/>
        <v>https://www.infraeletrocalhas.com.br/eletrodutos_galv.asp?produto=Eletrodutos-galvanizados</v>
      </c>
    </row>
    <row r="1556" spans="1:9" x14ac:dyDescent="0.25">
      <c r="A1556" s="29" t="s">
        <v>12</v>
      </c>
      <c r="B1556" s="29" t="s">
        <v>80</v>
      </c>
      <c r="C1556" s="29" t="s">
        <v>34</v>
      </c>
      <c r="D1556" s="37" t="s">
        <v>1000</v>
      </c>
      <c r="E1556" s="29" t="s">
        <v>798</v>
      </c>
      <c r="F1556" s="29" t="s">
        <v>36</v>
      </c>
      <c r="G1556" s="29">
        <v>199.9</v>
      </c>
      <c r="H1556" s="71" t="s">
        <v>800</v>
      </c>
      <c r="I1556" s="37" t="str">
        <f t="shared" si="23"/>
        <v>https://www.infraeletrocalhas.com.br/eletrodutos_galv.asp?produto=Eletrodutos-galvanizados</v>
      </c>
    </row>
    <row r="1557" spans="1:9" x14ac:dyDescent="0.25">
      <c r="A1557" s="29" t="s">
        <v>12</v>
      </c>
      <c r="B1557" s="29" t="s">
        <v>80</v>
      </c>
      <c r="C1557" s="29" t="s">
        <v>34</v>
      </c>
      <c r="D1557" s="37" t="s">
        <v>1001</v>
      </c>
      <c r="E1557" s="29" t="s">
        <v>798</v>
      </c>
      <c r="F1557" s="29" t="s">
        <v>36</v>
      </c>
      <c r="G1557" s="29">
        <v>219.9</v>
      </c>
      <c r="H1557" s="71" t="s">
        <v>800</v>
      </c>
      <c r="I1557" s="37" t="str">
        <f t="shared" si="23"/>
        <v>https://www.infraeletrocalhas.com.br/eletrodutos_galv.asp?produto=Eletrodutos-galvanizados</v>
      </c>
    </row>
    <row r="1558" spans="1:9" x14ac:dyDescent="0.25">
      <c r="A1558" s="29" t="s">
        <v>12</v>
      </c>
      <c r="B1558" s="29" t="s">
        <v>80</v>
      </c>
      <c r="C1558" s="29" t="s">
        <v>34</v>
      </c>
      <c r="D1558" s="37" t="s">
        <v>1002</v>
      </c>
      <c r="E1558" s="29" t="s">
        <v>798</v>
      </c>
      <c r="F1558" s="29" t="s">
        <v>36</v>
      </c>
      <c r="G1558" s="29">
        <v>19</v>
      </c>
      <c r="H1558" s="71" t="s">
        <v>800</v>
      </c>
      <c r="I1558" s="37" t="str">
        <f t="shared" si="23"/>
        <v>https://www.infraeletrocalhas.com.br/eletrodutos_galv.asp?produto=Eletrodutos-galvanizados</v>
      </c>
    </row>
    <row r="1559" spans="1:9" x14ac:dyDescent="0.25">
      <c r="A1559" s="29" t="s">
        <v>12</v>
      </c>
      <c r="B1559" s="29" t="s">
        <v>80</v>
      </c>
      <c r="C1559" s="29" t="s">
        <v>34</v>
      </c>
      <c r="D1559" s="37" t="s">
        <v>1003</v>
      </c>
      <c r="E1559" s="29" t="s">
        <v>798</v>
      </c>
      <c r="F1559" s="29" t="s">
        <v>36</v>
      </c>
      <c r="G1559" s="29">
        <v>329.5</v>
      </c>
      <c r="H1559" s="71" t="s">
        <v>800</v>
      </c>
      <c r="I1559" s="37" t="str">
        <f t="shared" si="23"/>
        <v>https://www.infraeletrocalhas.com.br/eletrodutos_galv.asp?produto=Eletrodutos-galvanizados</v>
      </c>
    </row>
    <row r="1560" spans="1:9" x14ac:dyDescent="0.25">
      <c r="A1560" s="29" t="s">
        <v>12</v>
      </c>
      <c r="B1560" s="29" t="s">
        <v>80</v>
      </c>
      <c r="C1560" s="29" t="s">
        <v>34</v>
      </c>
      <c r="D1560" s="37" t="s">
        <v>2307</v>
      </c>
      <c r="E1560" s="29" t="s">
        <v>798</v>
      </c>
      <c r="F1560" s="29" t="s">
        <v>36</v>
      </c>
      <c r="G1560" s="29">
        <v>79.900000000000006</v>
      </c>
      <c r="H1560" s="71" t="s">
        <v>800</v>
      </c>
      <c r="I1560" s="37" t="str">
        <f t="shared" si="23"/>
        <v>https://www.infraeletrocalhas.com.br/eletrodutos_galv.asp?produto=Eletrodutos-galvanizados</v>
      </c>
    </row>
    <row r="1561" spans="1:9" x14ac:dyDescent="0.25">
      <c r="A1561" s="29" t="s">
        <v>12</v>
      </c>
      <c r="B1561" s="29" t="s">
        <v>80</v>
      </c>
      <c r="C1561" s="29" t="s">
        <v>34</v>
      </c>
      <c r="D1561" s="37" t="s">
        <v>2308</v>
      </c>
      <c r="E1561" s="29" t="s">
        <v>798</v>
      </c>
      <c r="F1561" s="29" t="s">
        <v>36</v>
      </c>
      <c r="G1561" s="29">
        <v>123.5</v>
      </c>
      <c r="H1561" s="71" t="s">
        <v>800</v>
      </c>
      <c r="I1561" s="37" t="str">
        <f t="shared" si="23"/>
        <v>https://www.infraeletrocalhas.com.br/eletrodutos_galv.asp?produto=Eletrodutos-galvanizados</v>
      </c>
    </row>
    <row r="1562" spans="1:9" x14ac:dyDescent="0.25">
      <c r="A1562" s="29" t="s">
        <v>12</v>
      </c>
      <c r="B1562" s="29" t="s">
        <v>80</v>
      </c>
      <c r="C1562" s="29" t="s">
        <v>34</v>
      </c>
      <c r="D1562" s="37" t="s">
        <v>2309</v>
      </c>
      <c r="E1562" s="29" t="s">
        <v>798</v>
      </c>
      <c r="F1562" s="29" t="s">
        <v>36</v>
      </c>
      <c r="G1562" s="29">
        <v>119</v>
      </c>
      <c r="H1562" s="71" t="s">
        <v>800</v>
      </c>
      <c r="I1562" s="37" t="str">
        <f t="shared" si="23"/>
        <v>https://www.infraeletrocalhas.com.br/eletrodutos_galv.asp?produto=Eletrodutos-galvanizados</v>
      </c>
    </row>
    <row r="1563" spans="1:9" x14ac:dyDescent="0.25">
      <c r="A1563" s="29" t="s">
        <v>12</v>
      </c>
      <c r="B1563" s="29" t="s">
        <v>80</v>
      </c>
      <c r="C1563" s="29" t="s">
        <v>34</v>
      </c>
      <c r="D1563" s="37" t="s">
        <v>2310</v>
      </c>
      <c r="E1563" s="29" t="s">
        <v>798</v>
      </c>
      <c r="F1563" s="29" t="s">
        <v>36</v>
      </c>
      <c r="G1563" s="29">
        <v>229.95</v>
      </c>
      <c r="H1563" s="71" t="s">
        <v>800</v>
      </c>
      <c r="I1563" s="37" t="str">
        <f t="shared" si="23"/>
        <v>https://www.infraeletrocalhas.com.br/eletrodutos_galv.asp?produto=Eletrodutos-galvanizados</v>
      </c>
    </row>
    <row r="1564" spans="1:9" x14ac:dyDescent="0.25">
      <c r="A1564" s="29" t="s">
        <v>12</v>
      </c>
      <c r="B1564" s="29" t="s">
        <v>80</v>
      </c>
      <c r="C1564" s="29" t="s">
        <v>34</v>
      </c>
      <c r="D1564" s="37" t="s">
        <v>2311</v>
      </c>
      <c r="E1564" s="29" t="s">
        <v>798</v>
      </c>
      <c r="F1564" s="29" t="s">
        <v>36</v>
      </c>
      <c r="G1564" s="29">
        <v>108.9</v>
      </c>
      <c r="H1564" s="71" t="s">
        <v>800</v>
      </c>
      <c r="I1564" s="37" t="str">
        <f t="shared" si="23"/>
        <v>https://www.infraeletrocalhas.com.br/eletrodutos_galv.asp?produto=Eletrodutos-galvanizados</v>
      </c>
    </row>
    <row r="1565" spans="1:9" x14ac:dyDescent="0.25">
      <c r="A1565" s="29" t="s">
        <v>12</v>
      </c>
      <c r="B1565" s="29" t="s">
        <v>80</v>
      </c>
      <c r="C1565" s="29" t="s">
        <v>34</v>
      </c>
      <c r="D1565" s="37" t="s">
        <v>2312</v>
      </c>
      <c r="E1565" s="29" t="s">
        <v>798</v>
      </c>
      <c r="F1565" s="29" t="s">
        <v>36</v>
      </c>
      <c r="G1565" s="29">
        <v>199</v>
      </c>
      <c r="H1565" s="71" t="s">
        <v>800</v>
      </c>
      <c r="I1565" s="37" t="str">
        <f t="shared" si="23"/>
        <v>https://www.infraeletrocalhas.com.br/eletrodutos_galv.asp?produto=Eletrodutos-galvanizados</v>
      </c>
    </row>
    <row r="1566" spans="1:9" x14ac:dyDescent="0.25">
      <c r="A1566" s="29" t="s">
        <v>12</v>
      </c>
      <c r="B1566" s="29" t="s">
        <v>80</v>
      </c>
      <c r="C1566" s="29" t="s">
        <v>34</v>
      </c>
      <c r="D1566" s="37" t="s">
        <v>2313</v>
      </c>
      <c r="E1566" s="29" t="s">
        <v>798</v>
      </c>
      <c r="F1566" s="29" t="s">
        <v>36</v>
      </c>
      <c r="G1566" s="29">
        <v>149</v>
      </c>
      <c r="H1566" s="71" t="s">
        <v>800</v>
      </c>
      <c r="I1566" s="37" t="str">
        <f t="shared" si="23"/>
        <v>https://www.infraeletrocalhas.com.br/eletrodutos_galv.asp?produto=Eletrodutos-galvanizados</v>
      </c>
    </row>
    <row r="1567" spans="1:9" x14ac:dyDescent="0.25">
      <c r="A1567" s="29" t="s">
        <v>12</v>
      </c>
      <c r="B1567" s="29" t="s">
        <v>80</v>
      </c>
      <c r="C1567" s="29" t="s">
        <v>34</v>
      </c>
      <c r="D1567" s="37" t="s">
        <v>2314</v>
      </c>
      <c r="E1567" s="29" t="s">
        <v>798</v>
      </c>
      <c r="F1567" s="29" t="s">
        <v>36</v>
      </c>
      <c r="G1567" s="29">
        <v>289.89999999999998</v>
      </c>
      <c r="H1567" s="71" t="s">
        <v>800</v>
      </c>
      <c r="I1567" s="37" t="str">
        <f t="shared" si="23"/>
        <v>https://www.infraeletrocalhas.com.br/eletrodutos_galv.asp?produto=Eletrodutos-galvanizados</v>
      </c>
    </row>
    <row r="1568" spans="1:9" x14ac:dyDescent="0.25">
      <c r="A1568" s="29" t="s">
        <v>12</v>
      </c>
      <c r="B1568" s="29" t="s">
        <v>80</v>
      </c>
      <c r="C1568" s="29" t="s">
        <v>34</v>
      </c>
      <c r="D1568" s="37" t="s">
        <v>2315</v>
      </c>
      <c r="E1568" s="29" t="s">
        <v>798</v>
      </c>
      <c r="F1568" s="29" t="s">
        <v>36</v>
      </c>
      <c r="G1568" s="29">
        <v>69.95</v>
      </c>
      <c r="H1568" s="71" t="s">
        <v>800</v>
      </c>
      <c r="I1568" s="37" t="str">
        <f t="shared" si="23"/>
        <v>https://www.infraeletrocalhas.com.br/eletrodutos_galv.asp?produto=Eletrodutos-galvanizados</v>
      </c>
    </row>
    <row r="1569" spans="1:9" x14ac:dyDescent="0.25">
      <c r="A1569" s="29" t="s">
        <v>12</v>
      </c>
      <c r="B1569" s="29" t="s">
        <v>80</v>
      </c>
      <c r="C1569" s="29" t="s">
        <v>34</v>
      </c>
      <c r="D1569" s="37" t="s">
        <v>2316</v>
      </c>
      <c r="E1569" s="29" t="s">
        <v>798</v>
      </c>
      <c r="F1569" s="29" t="s">
        <v>36</v>
      </c>
      <c r="G1569" s="29">
        <v>90</v>
      </c>
      <c r="H1569" s="71" t="s">
        <v>800</v>
      </c>
      <c r="I1569" s="37" t="str">
        <f t="shared" si="23"/>
        <v>https://www.infraeletrocalhas.com.br/eletrodutos_galv.asp?produto=Eletrodutos-galvanizados</v>
      </c>
    </row>
    <row r="1570" spans="1:9" x14ac:dyDescent="0.25">
      <c r="A1570" s="29" t="s">
        <v>12</v>
      </c>
      <c r="B1570" s="29" t="s">
        <v>80</v>
      </c>
      <c r="C1570" s="29">
        <v>2687</v>
      </c>
      <c r="D1570" s="37" t="s">
        <v>2569</v>
      </c>
      <c r="E1570" s="29" t="s">
        <v>37</v>
      </c>
      <c r="F1570" s="29" t="s">
        <v>44</v>
      </c>
      <c r="G1570" s="29">
        <v>1.94</v>
      </c>
      <c r="H1570" s="71" t="s">
        <v>38</v>
      </c>
      <c r="I1570" s="37" t="s">
        <v>207</v>
      </c>
    </row>
    <row r="1571" spans="1:9" x14ac:dyDescent="0.25">
      <c r="A1571" s="29" t="s">
        <v>12</v>
      </c>
      <c r="B1571" s="29" t="s">
        <v>80</v>
      </c>
      <c r="C1571" s="29">
        <v>2689</v>
      </c>
      <c r="D1571" s="37" t="s">
        <v>2570</v>
      </c>
      <c r="E1571" s="29" t="s">
        <v>37</v>
      </c>
      <c r="F1571" s="29" t="s">
        <v>44</v>
      </c>
      <c r="G1571" s="29">
        <v>2.31</v>
      </c>
      <c r="H1571" s="71" t="s">
        <v>38</v>
      </c>
      <c r="I1571" s="37" t="s">
        <v>207</v>
      </c>
    </row>
    <row r="1572" spans="1:9" x14ac:dyDescent="0.25">
      <c r="A1572" s="29" t="s">
        <v>12</v>
      </c>
      <c r="B1572" s="29" t="s">
        <v>80</v>
      </c>
      <c r="C1572" s="29">
        <v>2688</v>
      </c>
      <c r="D1572" s="37" t="s">
        <v>2571</v>
      </c>
      <c r="E1572" s="29" t="s">
        <v>37</v>
      </c>
      <c r="F1572" s="29" t="s">
        <v>44</v>
      </c>
      <c r="G1572" s="29">
        <v>2.5</v>
      </c>
      <c r="H1572" s="71" t="s">
        <v>38</v>
      </c>
      <c r="I1572" s="37" t="s">
        <v>207</v>
      </c>
    </row>
    <row r="1573" spans="1:9" x14ac:dyDescent="0.25">
      <c r="A1573" s="29" t="s">
        <v>12</v>
      </c>
      <c r="B1573" s="29" t="s">
        <v>80</v>
      </c>
      <c r="C1573" s="29">
        <v>2690</v>
      </c>
      <c r="D1573" s="37" t="s">
        <v>2572</v>
      </c>
      <c r="E1573" s="29" t="s">
        <v>37</v>
      </c>
      <c r="F1573" s="29" t="s">
        <v>44</v>
      </c>
      <c r="G1573" s="29">
        <v>4.28</v>
      </c>
      <c r="H1573" s="71" t="s">
        <v>38</v>
      </c>
      <c r="I1573" s="37" t="s">
        <v>207</v>
      </c>
    </row>
    <row r="1574" spans="1:9" x14ac:dyDescent="0.25">
      <c r="A1574" s="29" t="s">
        <v>12</v>
      </c>
      <c r="B1574" s="29" t="s">
        <v>80</v>
      </c>
      <c r="C1574" s="29">
        <v>39243</v>
      </c>
      <c r="D1574" s="37" t="s">
        <v>2573</v>
      </c>
      <c r="E1574" s="29" t="s">
        <v>37</v>
      </c>
      <c r="F1574" s="29" t="s">
        <v>44</v>
      </c>
      <c r="G1574" s="29">
        <v>2.82</v>
      </c>
      <c r="H1574" s="71" t="s">
        <v>38</v>
      </c>
      <c r="I1574" s="37" t="s">
        <v>207</v>
      </c>
    </row>
    <row r="1575" spans="1:9" x14ac:dyDescent="0.25">
      <c r="A1575" s="29" t="s">
        <v>12</v>
      </c>
      <c r="B1575" s="29" t="s">
        <v>80</v>
      </c>
      <c r="C1575" s="29">
        <v>39244</v>
      </c>
      <c r="D1575" s="37" t="s">
        <v>2574</v>
      </c>
      <c r="E1575" s="29" t="s">
        <v>37</v>
      </c>
      <c r="F1575" s="29" t="s">
        <v>44</v>
      </c>
      <c r="G1575" s="29">
        <v>3.81</v>
      </c>
      <c r="H1575" s="71" t="s">
        <v>38</v>
      </c>
      <c r="I1575" s="37" t="s">
        <v>207</v>
      </c>
    </row>
    <row r="1576" spans="1:9" x14ac:dyDescent="0.25">
      <c r="A1576" s="29" t="s">
        <v>12</v>
      </c>
      <c r="B1576" s="29" t="s">
        <v>80</v>
      </c>
      <c r="C1576" s="29">
        <v>39245</v>
      </c>
      <c r="D1576" s="37" t="s">
        <v>2575</v>
      </c>
      <c r="E1576" s="29" t="s">
        <v>37</v>
      </c>
      <c r="F1576" s="29" t="s">
        <v>44</v>
      </c>
      <c r="G1576" s="29">
        <v>7.33</v>
      </c>
      <c r="H1576" s="71" t="s">
        <v>38</v>
      </c>
      <c r="I1576" s="37" t="s">
        <v>207</v>
      </c>
    </row>
    <row r="1577" spans="1:9" x14ac:dyDescent="0.25">
      <c r="A1577" s="29" t="s">
        <v>12</v>
      </c>
      <c r="B1577" s="29" t="s">
        <v>80</v>
      </c>
      <c r="C1577" s="29">
        <v>39255</v>
      </c>
      <c r="D1577" s="37" t="s">
        <v>2576</v>
      </c>
      <c r="E1577" s="29" t="s">
        <v>37</v>
      </c>
      <c r="F1577" s="29" t="s">
        <v>44</v>
      </c>
      <c r="G1577" s="29">
        <v>20.3</v>
      </c>
      <c r="H1577" s="71" t="s">
        <v>38</v>
      </c>
      <c r="I1577" s="37" t="s">
        <v>207</v>
      </c>
    </row>
    <row r="1578" spans="1:9" x14ac:dyDescent="0.25">
      <c r="A1578" s="29" t="s">
        <v>12</v>
      </c>
      <c r="B1578" s="29" t="s">
        <v>80</v>
      </c>
      <c r="C1578" s="29">
        <v>39254</v>
      </c>
      <c r="D1578" s="37" t="s">
        <v>2577</v>
      </c>
      <c r="E1578" s="29" t="s">
        <v>37</v>
      </c>
      <c r="F1578" s="29" t="s">
        <v>44</v>
      </c>
      <c r="G1578" s="29">
        <v>10.97</v>
      </c>
      <c r="H1578" s="71" t="s">
        <v>38</v>
      </c>
      <c r="I1578" s="37" t="s">
        <v>207</v>
      </c>
    </row>
    <row r="1579" spans="1:9" x14ac:dyDescent="0.25">
      <c r="A1579" s="29" t="s">
        <v>12</v>
      </c>
      <c r="B1579" s="29" t="s">
        <v>80</v>
      </c>
      <c r="C1579" s="29">
        <v>39253</v>
      </c>
      <c r="D1579" s="37" t="s">
        <v>2578</v>
      </c>
      <c r="E1579" s="29" t="s">
        <v>37</v>
      </c>
      <c r="F1579" s="29" t="s">
        <v>44</v>
      </c>
      <c r="G1579" s="29">
        <v>13.98</v>
      </c>
      <c r="H1579" s="71" t="s">
        <v>38</v>
      </c>
      <c r="I1579" s="37" t="s">
        <v>207</v>
      </c>
    </row>
    <row r="1580" spans="1:9" x14ac:dyDescent="0.25">
      <c r="A1580" s="29" t="s">
        <v>12</v>
      </c>
      <c r="B1580" s="29" t="s">
        <v>80</v>
      </c>
      <c r="C1580" s="29">
        <v>39246</v>
      </c>
      <c r="D1580" s="37" t="s">
        <v>1788</v>
      </c>
      <c r="E1580" s="29" t="s">
        <v>37</v>
      </c>
      <c r="F1580" s="29" t="s">
        <v>44</v>
      </c>
      <c r="G1580" s="29">
        <v>3.83</v>
      </c>
      <c r="H1580" s="71" t="s">
        <v>38</v>
      </c>
      <c r="I1580" s="37" t="s">
        <v>207</v>
      </c>
    </row>
    <row r="1581" spans="1:9" x14ac:dyDescent="0.25">
      <c r="A1581" s="29" t="s">
        <v>12</v>
      </c>
      <c r="B1581" s="29" t="s">
        <v>80</v>
      </c>
      <c r="C1581" s="29">
        <v>39247</v>
      </c>
      <c r="D1581" s="37" t="s">
        <v>1789</v>
      </c>
      <c r="E1581" s="29" t="s">
        <v>81</v>
      </c>
      <c r="F1581" s="29" t="s">
        <v>44</v>
      </c>
      <c r="G1581" s="29">
        <v>3.34</v>
      </c>
      <c r="H1581" s="71" t="s">
        <v>38</v>
      </c>
      <c r="I1581" s="37" t="s">
        <v>207</v>
      </c>
    </row>
    <row r="1582" spans="1:9" x14ac:dyDescent="0.25">
      <c r="A1582" s="29" t="s">
        <v>12</v>
      </c>
      <c r="B1582" s="29" t="s">
        <v>80</v>
      </c>
      <c r="C1582" s="29">
        <v>2446</v>
      </c>
      <c r="D1582" s="37" t="s">
        <v>1790</v>
      </c>
      <c r="E1582" s="29" t="s">
        <v>81</v>
      </c>
      <c r="F1582" s="29" t="s">
        <v>44</v>
      </c>
      <c r="G1582" s="29">
        <v>5.5</v>
      </c>
      <c r="H1582" s="71" t="s">
        <v>38</v>
      </c>
      <c r="I1582" s="37" t="s">
        <v>207</v>
      </c>
    </row>
    <row r="1583" spans="1:9" x14ac:dyDescent="0.25">
      <c r="A1583" s="29" t="s">
        <v>12</v>
      </c>
      <c r="B1583" s="29" t="s">
        <v>80</v>
      </c>
      <c r="C1583" s="29">
        <v>2442</v>
      </c>
      <c r="D1583" s="37" t="s">
        <v>1791</v>
      </c>
      <c r="E1583" s="29" t="s">
        <v>81</v>
      </c>
      <c r="F1583" s="29" t="s">
        <v>44</v>
      </c>
      <c r="G1583" s="29">
        <v>7.7</v>
      </c>
      <c r="H1583" s="71" t="s">
        <v>38</v>
      </c>
      <c r="I1583" s="37" t="s">
        <v>207</v>
      </c>
    </row>
    <row r="1584" spans="1:9" x14ac:dyDescent="0.25">
      <c r="A1584" s="29" t="s">
        <v>12</v>
      </c>
      <c r="B1584" s="29" t="s">
        <v>80</v>
      </c>
      <c r="C1584" s="29">
        <v>39248</v>
      </c>
      <c r="D1584" s="37" t="s">
        <v>1792</v>
      </c>
      <c r="E1584" s="29" t="s">
        <v>37</v>
      </c>
      <c r="F1584" s="29" t="s">
        <v>44</v>
      </c>
      <c r="G1584" s="29">
        <v>10.74</v>
      </c>
      <c r="H1584" s="71" t="s">
        <v>38</v>
      </c>
      <c r="I1584" s="37" t="s">
        <v>207</v>
      </c>
    </row>
    <row r="1585" spans="1:9" x14ac:dyDescent="0.25">
      <c r="A1585" s="29" t="s">
        <v>12</v>
      </c>
      <c r="B1585" s="29" t="s">
        <v>80</v>
      </c>
      <c r="C1585" s="29" t="s">
        <v>34</v>
      </c>
      <c r="D1585" s="37" t="s">
        <v>1004</v>
      </c>
      <c r="E1585" s="29" t="s">
        <v>81</v>
      </c>
      <c r="F1585" s="29" t="s">
        <v>36</v>
      </c>
      <c r="I1585" s="37" t="s">
        <v>37</v>
      </c>
    </row>
    <row r="1586" spans="1:9" x14ac:dyDescent="0.25">
      <c r="A1586" s="29" t="s">
        <v>12</v>
      </c>
      <c r="B1586" s="29" t="s">
        <v>80</v>
      </c>
      <c r="C1586" s="29" t="s">
        <v>34</v>
      </c>
      <c r="D1586" s="37" t="s">
        <v>1005</v>
      </c>
      <c r="E1586" s="29" t="s">
        <v>81</v>
      </c>
      <c r="F1586" s="29" t="s">
        <v>36</v>
      </c>
      <c r="I1586" s="37" t="s">
        <v>37</v>
      </c>
    </row>
    <row r="1587" spans="1:9" x14ac:dyDescent="0.25">
      <c r="A1587" s="29" t="s">
        <v>12</v>
      </c>
      <c r="B1587" s="29" t="s">
        <v>80</v>
      </c>
      <c r="C1587" s="29" t="s">
        <v>34</v>
      </c>
      <c r="D1587" s="37" t="s">
        <v>1006</v>
      </c>
      <c r="E1587" s="29" t="s">
        <v>81</v>
      </c>
      <c r="F1587" s="29" t="s">
        <v>36</v>
      </c>
      <c r="I1587" s="37" t="s">
        <v>37</v>
      </c>
    </row>
    <row r="1588" spans="1:9" x14ac:dyDescent="0.25">
      <c r="A1588" s="29" t="s">
        <v>12</v>
      </c>
      <c r="B1588" s="29" t="s">
        <v>80</v>
      </c>
      <c r="C1588" s="29" t="s">
        <v>34</v>
      </c>
      <c r="D1588" s="37" t="s">
        <v>1007</v>
      </c>
      <c r="E1588" s="29" t="s">
        <v>81</v>
      </c>
      <c r="F1588" s="29" t="s">
        <v>36</v>
      </c>
      <c r="I1588" s="37" t="s">
        <v>37</v>
      </c>
    </row>
    <row r="1589" spans="1:9" x14ac:dyDescent="0.25">
      <c r="A1589" s="29" t="s">
        <v>12</v>
      </c>
      <c r="B1589" s="29" t="s">
        <v>80</v>
      </c>
      <c r="C1589" s="29" t="s">
        <v>34</v>
      </c>
      <c r="D1589" s="37" t="s">
        <v>1008</v>
      </c>
      <c r="E1589" s="29" t="s">
        <v>81</v>
      </c>
      <c r="F1589" s="29" t="s">
        <v>36</v>
      </c>
      <c r="I1589" s="37" t="s">
        <v>37</v>
      </c>
    </row>
    <row r="1590" spans="1:9" x14ac:dyDescent="0.25">
      <c r="A1590" s="29" t="s">
        <v>12</v>
      </c>
      <c r="B1590" s="29" t="s">
        <v>80</v>
      </c>
      <c r="C1590" s="29" t="s">
        <v>34</v>
      </c>
      <c r="D1590" s="37" t="s">
        <v>1009</v>
      </c>
      <c r="E1590" s="29" t="s">
        <v>37</v>
      </c>
      <c r="F1590" s="29" t="s">
        <v>36</v>
      </c>
      <c r="I1590" s="37" t="s">
        <v>37</v>
      </c>
    </row>
    <row r="1591" spans="1:9" x14ac:dyDescent="0.25">
      <c r="A1591" s="29" t="s">
        <v>12</v>
      </c>
      <c r="B1591" s="29" t="s">
        <v>80</v>
      </c>
      <c r="C1591" s="29" t="s">
        <v>34</v>
      </c>
      <c r="D1591" s="37" t="s">
        <v>1600</v>
      </c>
      <c r="E1591" s="29" t="s">
        <v>37</v>
      </c>
      <c r="F1591" s="29" t="s">
        <v>36</v>
      </c>
      <c r="I1591" s="37" t="s">
        <v>37</v>
      </c>
    </row>
    <row r="1592" spans="1:9" x14ac:dyDescent="0.25">
      <c r="A1592" s="29" t="s">
        <v>12</v>
      </c>
      <c r="B1592" s="29" t="s">
        <v>80</v>
      </c>
      <c r="C1592" s="29">
        <v>1904</v>
      </c>
      <c r="D1592" s="37" t="s">
        <v>2579</v>
      </c>
      <c r="E1592" s="29" t="s">
        <v>37</v>
      </c>
      <c r="F1592" s="29" t="s">
        <v>36</v>
      </c>
      <c r="G1592" s="29">
        <v>1.05</v>
      </c>
      <c r="H1592" s="71" t="s">
        <v>38</v>
      </c>
      <c r="I1592" s="37" t="s">
        <v>207</v>
      </c>
    </row>
    <row r="1593" spans="1:9" x14ac:dyDescent="0.25">
      <c r="A1593" s="29" t="s">
        <v>12</v>
      </c>
      <c r="B1593" s="29" t="s">
        <v>80</v>
      </c>
      <c r="C1593" s="29">
        <v>1899</v>
      </c>
      <c r="D1593" s="37" t="s">
        <v>2580</v>
      </c>
      <c r="E1593" s="29" t="s">
        <v>37</v>
      </c>
      <c r="F1593" s="29" t="s">
        <v>36</v>
      </c>
      <c r="G1593" s="29">
        <v>1.19</v>
      </c>
      <c r="H1593" s="71" t="s">
        <v>38</v>
      </c>
      <c r="I1593" s="37" t="s">
        <v>207</v>
      </c>
    </row>
    <row r="1594" spans="1:9" x14ac:dyDescent="0.25">
      <c r="A1594" s="29" t="s">
        <v>12</v>
      </c>
      <c r="B1594" s="29" t="s">
        <v>80</v>
      </c>
      <c r="C1594" s="29">
        <v>1900</v>
      </c>
      <c r="D1594" s="37" t="s">
        <v>2581</v>
      </c>
      <c r="E1594" s="29" t="s">
        <v>37</v>
      </c>
      <c r="F1594" s="29" t="s">
        <v>36</v>
      </c>
      <c r="G1594" s="29">
        <v>1.92</v>
      </c>
      <c r="H1594" s="71" t="s">
        <v>38</v>
      </c>
      <c r="I1594" s="37" t="s">
        <v>207</v>
      </c>
    </row>
    <row r="1595" spans="1:9" x14ac:dyDescent="0.25">
      <c r="A1595" s="29" t="s">
        <v>12</v>
      </c>
      <c r="B1595" s="29" t="s">
        <v>80</v>
      </c>
      <c r="C1595" s="29" t="s">
        <v>34</v>
      </c>
      <c r="D1595" s="37" t="s">
        <v>2582</v>
      </c>
      <c r="E1595" s="29" t="s">
        <v>798</v>
      </c>
      <c r="F1595" s="29" t="s">
        <v>36</v>
      </c>
      <c r="G1595" s="29">
        <v>3.5</v>
      </c>
      <c r="H1595" s="71" t="s">
        <v>800</v>
      </c>
      <c r="I1595" s="37" t="str">
        <f t="shared" ref="I1595:I1610" si="24">"https://www.infraeletrocalhas.com.br/eletrodutos.asp?produto=Eletroduto-PVC"</f>
        <v>https://www.infraeletrocalhas.com.br/eletrodutos.asp?produto=Eletroduto-PVC</v>
      </c>
    </row>
    <row r="1596" spans="1:9" x14ac:dyDescent="0.25">
      <c r="A1596" s="29" t="s">
        <v>12</v>
      </c>
      <c r="B1596" s="29" t="s">
        <v>80</v>
      </c>
      <c r="C1596" s="29" t="s">
        <v>34</v>
      </c>
      <c r="D1596" s="37" t="s">
        <v>2583</v>
      </c>
      <c r="E1596" s="29" t="s">
        <v>798</v>
      </c>
      <c r="F1596" s="29" t="s">
        <v>36</v>
      </c>
      <c r="G1596" s="29">
        <v>2.9</v>
      </c>
      <c r="H1596" s="71" t="s">
        <v>800</v>
      </c>
      <c r="I1596" s="37" t="str">
        <f t="shared" si="24"/>
        <v>https://www.infraeletrocalhas.com.br/eletrodutos.asp?produto=Eletroduto-PVC</v>
      </c>
    </row>
    <row r="1597" spans="1:9" x14ac:dyDescent="0.25">
      <c r="A1597" s="29" t="s">
        <v>12</v>
      </c>
      <c r="B1597" s="29" t="s">
        <v>80</v>
      </c>
      <c r="C1597" s="29" t="s">
        <v>34</v>
      </c>
      <c r="D1597" s="37" t="s">
        <v>2584</v>
      </c>
      <c r="E1597" s="29" t="s">
        <v>798</v>
      </c>
      <c r="F1597" s="29" t="s">
        <v>36</v>
      </c>
      <c r="G1597" s="29">
        <v>3.5</v>
      </c>
      <c r="H1597" s="71" t="s">
        <v>800</v>
      </c>
      <c r="I1597" s="37" t="str">
        <f t="shared" si="24"/>
        <v>https://www.infraeletrocalhas.com.br/eletrodutos.asp?produto=Eletroduto-PVC</v>
      </c>
    </row>
    <row r="1598" spans="1:9" x14ac:dyDescent="0.25">
      <c r="A1598" s="29" t="s">
        <v>12</v>
      </c>
      <c r="B1598" s="29" t="s">
        <v>80</v>
      </c>
      <c r="C1598" s="29" t="s">
        <v>34</v>
      </c>
      <c r="D1598" s="37" t="s">
        <v>2585</v>
      </c>
      <c r="E1598" s="29" t="s">
        <v>798</v>
      </c>
      <c r="F1598" s="29" t="s">
        <v>36</v>
      </c>
      <c r="G1598" s="29">
        <v>2.5</v>
      </c>
      <c r="H1598" s="71" t="s">
        <v>800</v>
      </c>
      <c r="I1598" s="37" t="str">
        <f t="shared" si="24"/>
        <v>https://www.infraeletrocalhas.com.br/eletrodutos.asp?produto=Eletroduto-PVC</v>
      </c>
    </row>
    <row r="1599" spans="1:9" x14ac:dyDescent="0.25">
      <c r="A1599" s="29" t="s">
        <v>12</v>
      </c>
      <c r="B1599" s="29" t="s">
        <v>80</v>
      </c>
      <c r="C1599" s="29" t="s">
        <v>34</v>
      </c>
      <c r="D1599" s="37" t="s">
        <v>2586</v>
      </c>
      <c r="E1599" s="29" t="s">
        <v>798</v>
      </c>
      <c r="F1599" s="29" t="s">
        <v>36</v>
      </c>
      <c r="G1599" s="29">
        <v>2.9</v>
      </c>
      <c r="H1599" s="71" t="s">
        <v>800</v>
      </c>
      <c r="I1599" s="37" t="str">
        <f t="shared" si="24"/>
        <v>https://www.infraeletrocalhas.com.br/eletrodutos.asp?produto=Eletroduto-PVC</v>
      </c>
    </row>
    <row r="1600" spans="1:9" x14ac:dyDescent="0.25">
      <c r="A1600" s="29" t="s">
        <v>12</v>
      </c>
      <c r="B1600" s="29" t="s">
        <v>80</v>
      </c>
      <c r="C1600" s="29" t="s">
        <v>34</v>
      </c>
      <c r="D1600" s="37" t="s">
        <v>2587</v>
      </c>
      <c r="E1600" s="29" t="s">
        <v>798</v>
      </c>
      <c r="F1600" s="29" t="s">
        <v>36</v>
      </c>
      <c r="G1600" s="29">
        <v>1.9</v>
      </c>
      <c r="H1600" s="71" t="s">
        <v>800</v>
      </c>
      <c r="I1600" s="37" t="str">
        <f t="shared" si="24"/>
        <v>https://www.infraeletrocalhas.com.br/eletrodutos.asp?produto=Eletroduto-PVC</v>
      </c>
    </row>
    <row r="1601" spans="1:9" x14ac:dyDescent="0.25">
      <c r="A1601" s="29" t="s">
        <v>12</v>
      </c>
      <c r="B1601" s="29" t="s">
        <v>80</v>
      </c>
      <c r="C1601" s="29" t="s">
        <v>34</v>
      </c>
      <c r="D1601" s="37" t="s">
        <v>2588</v>
      </c>
      <c r="E1601" s="29" t="s">
        <v>798</v>
      </c>
      <c r="F1601" s="29" t="s">
        <v>36</v>
      </c>
      <c r="G1601" s="29">
        <v>3.9</v>
      </c>
      <c r="H1601" s="71" t="s">
        <v>800</v>
      </c>
      <c r="I1601" s="37" t="str">
        <f t="shared" si="24"/>
        <v>https://www.infraeletrocalhas.com.br/eletrodutos.asp?produto=Eletroduto-PVC</v>
      </c>
    </row>
    <row r="1602" spans="1:9" x14ac:dyDescent="0.25">
      <c r="A1602" s="29" t="s">
        <v>12</v>
      </c>
      <c r="B1602" s="29" t="s">
        <v>80</v>
      </c>
      <c r="C1602" s="29" t="s">
        <v>34</v>
      </c>
      <c r="D1602" s="37" t="s">
        <v>2589</v>
      </c>
      <c r="E1602" s="29" t="s">
        <v>798</v>
      </c>
      <c r="F1602" s="29" t="s">
        <v>36</v>
      </c>
      <c r="G1602" s="29">
        <v>3.2</v>
      </c>
      <c r="H1602" s="71" t="s">
        <v>800</v>
      </c>
      <c r="I1602" s="37" t="str">
        <f t="shared" si="24"/>
        <v>https://www.infraeletrocalhas.com.br/eletrodutos.asp?produto=Eletroduto-PVC</v>
      </c>
    </row>
    <row r="1603" spans="1:9" x14ac:dyDescent="0.25">
      <c r="A1603" s="29" t="s">
        <v>12</v>
      </c>
      <c r="B1603" s="29" t="s">
        <v>80</v>
      </c>
      <c r="C1603" s="29" t="s">
        <v>34</v>
      </c>
      <c r="D1603" s="37" t="s">
        <v>2590</v>
      </c>
      <c r="E1603" s="29" t="s">
        <v>798</v>
      </c>
      <c r="F1603" s="29" t="s">
        <v>36</v>
      </c>
      <c r="G1603" s="29">
        <v>1.2</v>
      </c>
      <c r="H1603" s="71" t="s">
        <v>800</v>
      </c>
      <c r="I1603" s="37" t="str">
        <f t="shared" si="24"/>
        <v>https://www.infraeletrocalhas.com.br/eletrodutos.asp?produto=Eletroduto-PVC</v>
      </c>
    </row>
    <row r="1604" spans="1:9" x14ac:dyDescent="0.25">
      <c r="A1604" s="29" t="s">
        <v>12</v>
      </c>
      <c r="B1604" s="29" t="s">
        <v>80</v>
      </c>
      <c r="C1604" s="29" t="s">
        <v>34</v>
      </c>
      <c r="D1604" s="37" t="s">
        <v>2591</v>
      </c>
      <c r="E1604" s="29" t="s">
        <v>798</v>
      </c>
      <c r="F1604" s="29" t="s">
        <v>36</v>
      </c>
      <c r="G1604" s="29">
        <v>4.9000000000000004</v>
      </c>
      <c r="H1604" s="71" t="s">
        <v>800</v>
      </c>
      <c r="I1604" s="37" t="str">
        <f t="shared" si="24"/>
        <v>https://www.infraeletrocalhas.com.br/eletrodutos.asp?produto=Eletroduto-PVC</v>
      </c>
    </row>
    <row r="1605" spans="1:9" x14ac:dyDescent="0.25">
      <c r="A1605" s="29" t="s">
        <v>12</v>
      </c>
      <c r="B1605" s="29" t="s">
        <v>80</v>
      </c>
      <c r="C1605" s="29" t="s">
        <v>34</v>
      </c>
      <c r="D1605" s="37" t="s">
        <v>2592</v>
      </c>
      <c r="E1605" s="29" t="s">
        <v>798</v>
      </c>
      <c r="F1605" s="29" t="s">
        <v>36</v>
      </c>
      <c r="G1605" s="29">
        <v>13.6</v>
      </c>
      <c r="H1605" s="71" t="s">
        <v>800</v>
      </c>
      <c r="I1605" s="37" t="str">
        <f t="shared" si="24"/>
        <v>https://www.infraeletrocalhas.com.br/eletrodutos.asp?produto=Eletroduto-PVC</v>
      </c>
    </row>
    <row r="1606" spans="1:9" x14ac:dyDescent="0.25">
      <c r="A1606" s="29" t="s">
        <v>12</v>
      </c>
      <c r="B1606" s="29" t="s">
        <v>80</v>
      </c>
      <c r="C1606" s="29" t="s">
        <v>34</v>
      </c>
      <c r="D1606" s="37" t="s">
        <v>2593</v>
      </c>
      <c r="E1606" s="29" t="s">
        <v>798</v>
      </c>
      <c r="F1606" s="29" t="s">
        <v>36</v>
      </c>
      <c r="G1606" s="29">
        <v>15.5</v>
      </c>
      <c r="H1606" s="71" t="s">
        <v>800</v>
      </c>
      <c r="I1606" s="37" t="str">
        <f t="shared" si="24"/>
        <v>https://www.infraeletrocalhas.com.br/eletrodutos.asp?produto=Eletroduto-PVC</v>
      </c>
    </row>
    <row r="1607" spans="1:9" x14ac:dyDescent="0.25">
      <c r="A1607" s="29" t="s">
        <v>12</v>
      </c>
      <c r="B1607" s="29" t="s">
        <v>80</v>
      </c>
      <c r="C1607" s="29" t="s">
        <v>34</v>
      </c>
      <c r="D1607" s="37" t="s">
        <v>2594</v>
      </c>
      <c r="E1607" s="29" t="s">
        <v>798</v>
      </c>
      <c r="F1607" s="29" t="s">
        <v>36</v>
      </c>
      <c r="G1607" s="29">
        <v>1.4</v>
      </c>
      <c r="H1607" s="71" t="s">
        <v>800</v>
      </c>
      <c r="I1607" s="37" t="str">
        <f t="shared" si="24"/>
        <v>https://www.infraeletrocalhas.com.br/eletrodutos.asp?produto=Eletroduto-PVC</v>
      </c>
    </row>
    <row r="1608" spans="1:9" x14ac:dyDescent="0.25">
      <c r="A1608" s="29" t="s">
        <v>12</v>
      </c>
      <c r="B1608" s="29" t="s">
        <v>80</v>
      </c>
      <c r="C1608" s="29" t="s">
        <v>34</v>
      </c>
      <c r="D1608" s="37" t="s">
        <v>2595</v>
      </c>
      <c r="E1608" s="29" t="s">
        <v>798</v>
      </c>
      <c r="F1608" s="29" t="s">
        <v>36</v>
      </c>
      <c r="G1608" s="29">
        <v>21.95</v>
      </c>
      <c r="H1608" s="71" t="s">
        <v>800</v>
      </c>
      <c r="I1608" s="37" t="str">
        <f t="shared" si="24"/>
        <v>https://www.infraeletrocalhas.com.br/eletrodutos.asp?produto=Eletroduto-PVC</v>
      </c>
    </row>
    <row r="1609" spans="1:9" x14ac:dyDescent="0.25">
      <c r="A1609" s="29" t="s">
        <v>12</v>
      </c>
      <c r="B1609" s="29" t="s">
        <v>80</v>
      </c>
      <c r="C1609" s="29" t="s">
        <v>34</v>
      </c>
      <c r="D1609" s="37" t="s">
        <v>2596</v>
      </c>
      <c r="E1609" s="29" t="s">
        <v>798</v>
      </c>
      <c r="F1609" s="29" t="s">
        <v>36</v>
      </c>
      <c r="G1609" s="29">
        <v>3.5</v>
      </c>
      <c r="H1609" s="71" t="s">
        <v>800</v>
      </c>
      <c r="I1609" s="37" t="str">
        <f t="shared" si="24"/>
        <v>https://www.infraeletrocalhas.com.br/eletrodutos.asp?produto=Eletroduto-PVC</v>
      </c>
    </row>
    <row r="1610" spans="1:9" x14ac:dyDescent="0.25">
      <c r="A1610" s="29" t="s">
        <v>12</v>
      </c>
      <c r="B1610" s="29" t="s">
        <v>80</v>
      </c>
      <c r="C1610" s="29" t="s">
        <v>34</v>
      </c>
      <c r="D1610" s="37" t="s">
        <v>2597</v>
      </c>
      <c r="E1610" s="29" t="s">
        <v>798</v>
      </c>
      <c r="F1610" s="29" t="s">
        <v>36</v>
      </c>
      <c r="G1610" s="29">
        <v>2.9</v>
      </c>
      <c r="H1610" s="71" t="s">
        <v>800</v>
      </c>
      <c r="I1610" s="37" t="str">
        <f t="shared" si="24"/>
        <v>https://www.infraeletrocalhas.com.br/eletrodutos.asp?produto=Eletroduto-PVC</v>
      </c>
    </row>
    <row r="1611" spans="1:9" x14ac:dyDescent="0.25">
      <c r="A1611" s="29" t="s">
        <v>12</v>
      </c>
      <c r="B1611" s="29" t="s">
        <v>80</v>
      </c>
      <c r="C1611" s="29">
        <v>1893</v>
      </c>
      <c r="D1611" s="37" t="s">
        <v>2598</v>
      </c>
      <c r="E1611" s="29" t="s">
        <v>37</v>
      </c>
      <c r="F1611" s="29" t="s">
        <v>36</v>
      </c>
      <c r="G1611" s="29">
        <v>3.95</v>
      </c>
      <c r="H1611" s="71" t="s">
        <v>38</v>
      </c>
      <c r="I1611" s="37" t="s">
        <v>207</v>
      </c>
    </row>
    <row r="1612" spans="1:9" x14ac:dyDescent="0.25">
      <c r="A1612" s="29" t="s">
        <v>12</v>
      </c>
      <c r="B1612" s="29" t="s">
        <v>80</v>
      </c>
      <c r="C1612" s="29">
        <v>1902</v>
      </c>
      <c r="D1612" s="37" t="s">
        <v>2599</v>
      </c>
      <c r="E1612" s="29" t="s">
        <v>37</v>
      </c>
      <c r="F1612" s="29" t="s">
        <v>36</v>
      </c>
      <c r="G1612" s="29">
        <v>2.87</v>
      </c>
      <c r="H1612" s="71" t="s">
        <v>38</v>
      </c>
      <c r="I1612" s="37" t="s">
        <v>207</v>
      </c>
    </row>
    <row r="1613" spans="1:9" x14ac:dyDescent="0.25">
      <c r="A1613" s="29" t="s">
        <v>12</v>
      </c>
      <c r="B1613" s="29" t="s">
        <v>80</v>
      </c>
      <c r="C1613" s="29">
        <v>1892</v>
      </c>
      <c r="D1613" s="37" t="s">
        <v>2600</v>
      </c>
      <c r="E1613" s="29" t="s">
        <v>37</v>
      </c>
      <c r="F1613" s="29" t="s">
        <v>36</v>
      </c>
      <c r="G1613" s="29">
        <v>1.85</v>
      </c>
      <c r="H1613" s="71" t="s">
        <v>38</v>
      </c>
      <c r="I1613" s="37" t="s">
        <v>207</v>
      </c>
    </row>
    <row r="1614" spans="1:9" x14ac:dyDescent="0.25">
      <c r="A1614" s="29" t="s">
        <v>12</v>
      </c>
      <c r="B1614" s="29" t="s">
        <v>80</v>
      </c>
      <c r="C1614" s="29">
        <v>1901</v>
      </c>
      <c r="D1614" s="37" t="s">
        <v>2601</v>
      </c>
      <c r="E1614" s="29" t="s">
        <v>37</v>
      </c>
      <c r="F1614" s="29" t="s">
        <v>36</v>
      </c>
      <c r="G1614" s="29">
        <v>0.9</v>
      </c>
      <c r="H1614" s="71" t="s">
        <v>38</v>
      </c>
      <c r="I1614" s="37" t="s">
        <v>207</v>
      </c>
    </row>
    <row r="1615" spans="1:9" x14ac:dyDescent="0.25">
      <c r="A1615" s="29" t="s">
        <v>12</v>
      </c>
      <c r="B1615" s="29" t="s">
        <v>80</v>
      </c>
      <c r="C1615" s="29">
        <v>1907</v>
      </c>
      <c r="D1615" s="37" t="s">
        <v>2602</v>
      </c>
      <c r="E1615" s="29" t="s">
        <v>37</v>
      </c>
      <c r="F1615" s="29" t="s">
        <v>36</v>
      </c>
      <c r="G1615" s="29">
        <v>12.72</v>
      </c>
      <c r="H1615" s="71" t="s">
        <v>38</v>
      </c>
      <c r="I1615" s="37" t="s">
        <v>207</v>
      </c>
    </row>
    <row r="1616" spans="1:9" x14ac:dyDescent="0.25">
      <c r="A1616" s="29" t="s">
        <v>12</v>
      </c>
      <c r="B1616" s="29" t="s">
        <v>80</v>
      </c>
      <c r="C1616" s="29">
        <v>1894</v>
      </c>
      <c r="D1616" s="37" t="s">
        <v>2603</v>
      </c>
      <c r="E1616" s="29" t="s">
        <v>37</v>
      </c>
      <c r="F1616" s="29" t="s">
        <v>36</v>
      </c>
      <c r="G1616" s="29">
        <v>5.72</v>
      </c>
      <c r="H1616" s="71" t="s">
        <v>38</v>
      </c>
      <c r="I1616" s="37" t="s">
        <v>207</v>
      </c>
    </row>
    <row r="1617" spans="1:9" x14ac:dyDescent="0.25">
      <c r="A1617" s="29" t="s">
        <v>12</v>
      </c>
      <c r="B1617" s="29" t="s">
        <v>80</v>
      </c>
      <c r="C1617" s="29">
        <v>1896</v>
      </c>
      <c r="D1617" s="37" t="s">
        <v>2604</v>
      </c>
      <c r="E1617" s="29" t="s">
        <v>37</v>
      </c>
      <c r="F1617" s="29" t="s">
        <v>36</v>
      </c>
      <c r="G1617" s="29">
        <v>17.079999999999998</v>
      </c>
      <c r="H1617" s="71" t="s">
        <v>38</v>
      </c>
      <c r="I1617" s="37" t="s">
        <v>207</v>
      </c>
    </row>
    <row r="1618" spans="1:9" x14ac:dyDescent="0.25">
      <c r="A1618" s="29" t="s">
        <v>12</v>
      </c>
      <c r="B1618" s="29" t="s">
        <v>80</v>
      </c>
      <c r="C1618" s="29">
        <v>1891</v>
      </c>
      <c r="D1618" s="37" t="s">
        <v>2605</v>
      </c>
      <c r="E1618" s="29" t="s">
        <v>37</v>
      </c>
      <c r="F1618" s="29" t="s">
        <v>36</v>
      </c>
      <c r="G1618" s="29">
        <v>1.33</v>
      </c>
      <c r="H1618" s="71" t="s">
        <v>38</v>
      </c>
      <c r="I1618" s="37" t="s">
        <v>207</v>
      </c>
    </row>
    <row r="1619" spans="1:9" x14ac:dyDescent="0.25">
      <c r="A1619" s="29" t="s">
        <v>12</v>
      </c>
      <c r="B1619" s="29" t="s">
        <v>80</v>
      </c>
      <c r="C1619" s="29">
        <v>1895</v>
      </c>
      <c r="D1619" s="37" t="s">
        <v>2606</v>
      </c>
      <c r="E1619" s="29" t="s">
        <v>37</v>
      </c>
      <c r="F1619" s="29" t="s">
        <v>36</v>
      </c>
      <c r="G1619" s="29">
        <v>30.02</v>
      </c>
      <c r="H1619" s="71" t="s">
        <v>38</v>
      </c>
      <c r="I1619" s="37" t="s">
        <v>207</v>
      </c>
    </row>
    <row r="1620" spans="1:9" x14ac:dyDescent="0.25">
      <c r="A1620" s="29" t="s">
        <v>12</v>
      </c>
      <c r="B1620" s="29" t="s">
        <v>80</v>
      </c>
      <c r="C1620" s="29">
        <v>2641</v>
      </c>
      <c r="D1620" s="37" t="s">
        <v>1970</v>
      </c>
      <c r="E1620" s="29" t="s">
        <v>37</v>
      </c>
      <c r="F1620" s="29" t="s">
        <v>36</v>
      </c>
      <c r="G1620" s="29">
        <v>43.46</v>
      </c>
      <c r="H1620" s="71" t="s">
        <v>38</v>
      </c>
      <c r="I1620" s="37" t="s">
        <v>207</v>
      </c>
    </row>
    <row r="1621" spans="1:9" x14ac:dyDescent="0.25">
      <c r="A1621" s="29" t="s">
        <v>12</v>
      </c>
      <c r="B1621" s="29" t="s">
        <v>80</v>
      </c>
      <c r="C1621" s="29">
        <v>2636</v>
      </c>
      <c r="D1621" s="37" t="s">
        <v>1971</v>
      </c>
      <c r="E1621" s="29" t="s">
        <v>37</v>
      </c>
      <c r="F1621" s="29" t="s">
        <v>36</v>
      </c>
      <c r="G1621" s="29">
        <v>2.8</v>
      </c>
      <c r="H1621" s="71" t="s">
        <v>38</v>
      </c>
      <c r="I1621" s="37" t="s">
        <v>207</v>
      </c>
    </row>
    <row r="1622" spans="1:9" x14ac:dyDescent="0.25">
      <c r="A1622" s="29" t="s">
        <v>12</v>
      </c>
      <c r="B1622" s="29" t="s">
        <v>80</v>
      </c>
      <c r="C1622" s="29">
        <v>2637</v>
      </c>
      <c r="D1622" s="37" t="s">
        <v>1972</v>
      </c>
      <c r="E1622" s="29" t="s">
        <v>37</v>
      </c>
      <c r="F1622" s="29" t="s">
        <v>36</v>
      </c>
      <c r="G1622" s="29">
        <v>2.98</v>
      </c>
      <c r="H1622" s="71" t="s">
        <v>38</v>
      </c>
      <c r="I1622" s="37" t="s">
        <v>207</v>
      </c>
    </row>
    <row r="1623" spans="1:9" x14ac:dyDescent="0.25">
      <c r="A1623" s="29" t="s">
        <v>12</v>
      </c>
      <c r="B1623" s="29" t="s">
        <v>80</v>
      </c>
      <c r="C1623" s="29">
        <v>2638</v>
      </c>
      <c r="D1623" s="37" t="s">
        <v>1973</v>
      </c>
      <c r="E1623" s="29" t="s">
        <v>37</v>
      </c>
      <c r="F1623" s="29" t="s">
        <v>36</v>
      </c>
      <c r="G1623" s="29">
        <v>3.46</v>
      </c>
      <c r="H1623" s="71" t="s">
        <v>38</v>
      </c>
      <c r="I1623" s="37" t="s">
        <v>207</v>
      </c>
    </row>
    <row r="1624" spans="1:9" x14ac:dyDescent="0.25">
      <c r="A1624" s="29" t="s">
        <v>12</v>
      </c>
      <c r="B1624" s="29" t="s">
        <v>80</v>
      </c>
      <c r="C1624" s="29">
        <v>2639</v>
      </c>
      <c r="D1624" s="37" t="s">
        <v>1974</v>
      </c>
      <c r="E1624" s="29" t="s">
        <v>37</v>
      </c>
      <c r="F1624" s="29" t="s">
        <v>36</v>
      </c>
      <c r="G1624" s="29">
        <v>6.14</v>
      </c>
      <c r="H1624" s="71" t="s">
        <v>38</v>
      </c>
      <c r="I1624" s="37" t="s">
        <v>207</v>
      </c>
    </row>
    <row r="1625" spans="1:9" x14ac:dyDescent="0.25">
      <c r="A1625" s="29" t="s">
        <v>12</v>
      </c>
      <c r="B1625" s="29" t="s">
        <v>80</v>
      </c>
      <c r="C1625" s="29">
        <v>2644</v>
      </c>
      <c r="D1625" s="37" t="s">
        <v>1975</v>
      </c>
      <c r="E1625" s="29" t="s">
        <v>37</v>
      </c>
      <c r="F1625" s="29" t="s">
        <v>36</v>
      </c>
      <c r="G1625" s="29">
        <v>8.89</v>
      </c>
      <c r="H1625" s="71" t="s">
        <v>38</v>
      </c>
      <c r="I1625" s="37" t="s">
        <v>207</v>
      </c>
    </row>
    <row r="1626" spans="1:9" x14ac:dyDescent="0.25">
      <c r="A1626" s="29" t="s">
        <v>12</v>
      </c>
      <c r="B1626" s="29" t="s">
        <v>80</v>
      </c>
      <c r="C1626" s="29">
        <v>2640</v>
      </c>
      <c r="D1626" s="37" t="s">
        <v>1976</v>
      </c>
      <c r="E1626" s="29" t="s">
        <v>37</v>
      </c>
      <c r="F1626" s="29" t="s">
        <v>36</v>
      </c>
      <c r="G1626" s="29">
        <v>18.09</v>
      </c>
      <c r="H1626" s="71" t="s">
        <v>38</v>
      </c>
      <c r="I1626" s="37" t="s">
        <v>207</v>
      </c>
    </row>
    <row r="1627" spans="1:9" x14ac:dyDescent="0.25">
      <c r="A1627" s="29" t="s">
        <v>12</v>
      </c>
      <c r="B1627" s="29" t="s">
        <v>80</v>
      </c>
      <c r="C1627" s="29">
        <v>2642</v>
      </c>
      <c r="D1627" s="37" t="s">
        <v>1977</v>
      </c>
      <c r="E1627" s="29" t="s">
        <v>37</v>
      </c>
      <c r="F1627" s="29" t="s">
        <v>36</v>
      </c>
      <c r="G1627" s="29">
        <v>27.54</v>
      </c>
      <c r="H1627" s="71" t="s">
        <v>38</v>
      </c>
      <c r="I1627" s="37" t="s">
        <v>207</v>
      </c>
    </row>
    <row r="1628" spans="1:9" x14ac:dyDescent="0.25">
      <c r="A1628" s="29" t="s">
        <v>12</v>
      </c>
      <c r="B1628" s="29" t="s">
        <v>80</v>
      </c>
      <c r="C1628" s="29">
        <v>2643</v>
      </c>
      <c r="D1628" s="37" t="s">
        <v>1978</v>
      </c>
      <c r="E1628" s="29" t="s">
        <v>37</v>
      </c>
      <c r="F1628" s="29" t="s">
        <v>36</v>
      </c>
      <c r="G1628" s="29">
        <v>12.39</v>
      </c>
      <c r="H1628" s="71" t="s">
        <v>38</v>
      </c>
      <c r="I1628" s="37" t="s">
        <v>207</v>
      </c>
    </row>
    <row r="1629" spans="1:9" x14ac:dyDescent="0.25">
      <c r="A1629" s="29" t="s">
        <v>12</v>
      </c>
      <c r="B1629" s="29" t="s">
        <v>80</v>
      </c>
      <c r="C1629" s="29" t="s">
        <v>34</v>
      </c>
      <c r="D1629" s="37" t="s">
        <v>1010</v>
      </c>
      <c r="E1629" s="29" t="s">
        <v>788</v>
      </c>
      <c r="F1629" s="29" t="s">
        <v>36</v>
      </c>
      <c r="G1629" s="29">
        <v>2.73</v>
      </c>
      <c r="H1629" s="71" t="s">
        <v>740</v>
      </c>
      <c r="I1629" s="37" t="str">
        <f>"https://www.eletrotrafo.com.br/eletrocalha-galv-38x38-saida-horizontal-p-eletroduto-1-2--bd-2051-1-19820014/p?skuId=17888"</f>
        <v>https://www.eletrotrafo.com.br/eletrocalha-galv-38x38-saida-horizontal-p-eletroduto-1-2--bd-2051-1-19820014/p?skuId=17888</v>
      </c>
    </row>
    <row r="1630" spans="1:9" x14ac:dyDescent="0.25">
      <c r="A1630" s="29" t="s">
        <v>12</v>
      </c>
      <c r="B1630" s="29" t="s">
        <v>80</v>
      </c>
      <c r="C1630" s="29" t="s">
        <v>34</v>
      </c>
      <c r="D1630" s="37" t="s">
        <v>1011</v>
      </c>
      <c r="E1630" s="29" t="s">
        <v>788</v>
      </c>
      <c r="F1630" s="29" t="s">
        <v>36</v>
      </c>
      <c r="G1630" s="29">
        <v>2.4500000000000002</v>
      </c>
      <c r="H1630" s="71" t="s">
        <v>740</v>
      </c>
      <c r="I1630" s="37" t="str">
        <f>"https://www.eletrotrafo.com.br/eletrocalha-galv-38x38-saida-horizontal-p-eletroduto-1-2--bd-2051-1-19820014/p?skuId=17888"</f>
        <v>https://www.eletrotrafo.com.br/eletrocalha-galv-38x38-saida-horizontal-p-eletroduto-1-2--bd-2051-1-19820014/p?skuId=17888</v>
      </c>
    </row>
    <row r="1631" spans="1:9" x14ac:dyDescent="0.25">
      <c r="A1631" s="29" t="s">
        <v>12</v>
      </c>
      <c r="B1631" s="29" t="s">
        <v>80</v>
      </c>
      <c r="C1631" s="29" t="s">
        <v>34</v>
      </c>
      <c r="D1631" s="37" t="s">
        <v>1012</v>
      </c>
      <c r="E1631" s="29" t="s">
        <v>788</v>
      </c>
      <c r="F1631" s="29" t="s">
        <v>36</v>
      </c>
      <c r="G1631" s="29">
        <v>16.16</v>
      </c>
      <c r="H1631" s="71" t="s">
        <v>740</v>
      </c>
      <c r="I1631" s="37" t="str">
        <f>"https://www.eletrotrafo.com.br/eletrocalha-galv-38x38-saida-horizontal-p-eletroduto-1-2--bd-2051-1-19820014/p?skuId=17888"</f>
        <v>https://www.eletrotrafo.com.br/eletrocalha-galv-38x38-saida-horizontal-p-eletroduto-1-2--bd-2051-1-19820014/p?skuId=17888</v>
      </c>
    </row>
    <row r="1632" spans="1:9" x14ac:dyDescent="0.25">
      <c r="A1632" s="29" t="s">
        <v>12</v>
      </c>
      <c r="B1632" s="29" t="s">
        <v>80</v>
      </c>
      <c r="C1632" s="29" t="s">
        <v>34</v>
      </c>
      <c r="D1632" s="37" t="s">
        <v>1013</v>
      </c>
      <c r="E1632" s="29" t="s">
        <v>788</v>
      </c>
      <c r="F1632" s="29" t="s">
        <v>36</v>
      </c>
      <c r="G1632" s="29">
        <v>2.98</v>
      </c>
      <c r="H1632" s="71" t="s">
        <v>740</v>
      </c>
      <c r="I1632" s="37" t="str">
        <f>"https://www.eletrotrafo.com.br/eletrocalha-galv-38x38-saida-simples-p-eletroduto-1--19820057/p?skuId=16509"</f>
        <v>https://www.eletrotrafo.com.br/eletrocalha-galv-38x38-saida-simples-p-eletroduto-1--19820057/p?skuId=16509</v>
      </c>
    </row>
    <row r="1633" spans="1:9" x14ac:dyDescent="0.25">
      <c r="A1633" s="29" t="s">
        <v>12</v>
      </c>
      <c r="B1633" s="29" t="s">
        <v>80</v>
      </c>
      <c r="C1633" s="29" t="s">
        <v>34</v>
      </c>
      <c r="D1633" s="37" t="s">
        <v>1014</v>
      </c>
      <c r="E1633" s="29" t="s">
        <v>788</v>
      </c>
      <c r="F1633" s="29" t="s">
        <v>36</v>
      </c>
      <c r="G1633" s="29">
        <v>2.4500000000000002</v>
      </c>
      <c r="H1633" s="71" t="s">
        <v>740</v>
      </c>
      <c r="I1633" s="37" t="str">
        <f>"https://www.eletrotrafo.com.br/eletrocalha-galv-38x38-saida-simples-p-eletroduto-1--19820057/p?skuId=16509"</f>
        <v>https://www.eletrotrafo.com.br/eletrocalha-galv-38x38-saida-simples-p-eletroduto-1--19820057/p?skuId=16509</v>
      </c>
    </row>
    <row r="1634" spans="1:9" x14ac:dyDescent="0.25">
      <c r="A1634" s="29" t="s">
        <v>12</v>
      </c>
      <c r="B1634" s="29" t="s">
        <v>80</v>
      </c>
      <c r="C1634" s="29" t="s">
        <v>34</v>
      </c>
      <c r="D1634" s="37" t="s">
        <v>1015</v>
      </c>
      <c r="E1634" s="29" t="s">
        <v>788</v>
      </c>
      <c r="F1634" s="29" t="s">
        <v>36</v>
      </c>
      <c r="G1634" s="29">
        <v>5.42</v>
      </c>
      <c r="H1634" s="71" t="s">
        <v>740</v>
      </c>
      <c r="I1634" s="37" t="str">
        <f>"https://www.eletrotrafo.com.br/eletrocalha-galv-38x38-saida-vertical-p-eletroduto-3-4--05050116/p?skuId=18622"</f>
        <v>https://www.eletrotrafo.com.br/eletrocalha-galv-38x38-saida-vertical-p-eletroduto-3-4--05050116/p?skuId=18622</v>
      </c>
    </row>
    <row r="1635" spans="1:9" x14ac:dyDescent="0.25">
      <c r="A1635" s="29" t="s">
        <v>12</v>
      </c>
      <c r="B1635" s="29" t="s">
        <v>80</v>
      </c>
      <c r="C1635" s="29" t="s">
        <v>34</v>
      </c>
      <c r="D1635" s="37" t="s">
        <v>1016</v>
      </c>
      <c r="E1635" s="29" t="s">
        <v>788</v>
      </c>
      <c r="F1635" s="29" t="s">
        <v>36</v>
      </c>
      <c r="G1635" s="29">
        <v>6.31</v>
      </c>
      <c r="H1635" s="71" t="s">
        <v>740</v>
      </c>
      <c r="I1635" s="37" t="str">
        <f>"https://www.eletrotrafo.com.br/eletrocalha-galv-38x38-saida-vertical-p-eletroduto-3-4--05050116/p?skuId=18622"</f>
        <v>https://www.eletrotrafo.com.br/eletrocalha-galv-38x38-saida-vertical-p-eletroduto-3-4--05050116/p?skuId=18622</v>
      </c>
    </row>
    <row r="1636" spans="1:9" x14ac:dyDescent="0.25">
      <c r="A1636" s="29" t="s">
        <v>12</v>
      </c>
      <c r="B1636" s="29" t="s">
        <v>80</v>
      </c>
      <c r="C1636" s="29" t="s">
        <v>34</v>
      </c>
      <c r="D1636" s="37" t="s">
        <v>1017</v>
      </c>
      <c r="E1636" s="29" t="s">
        <v>788</v>
      </c>
      <c r="F1636" s="29" t="s">
        <v>36</v>
      </c>
      <c r="G1636" s="29">
        <v>12.96</v>
      </c>
      <c r="H1636" s="71" t="s">
        <v>740</v>
      </c>
      <c r="I1636" s="37" t="str">
        <f>"https://www.eletrotrafo.com.br/eletrocalha-galv-38x38-saida-vertical-p-eletroduto-3-4--05050116/p?skuId=18622"</f>
        <v>https://www.eletrotrafo.com.br/eletrocalha-galv-38x38-saida-vertical-p-eletroduto-3-4--05050116/p?skuId=18622</v>
      </c>
    </row>
    <row r="1637" spans="1:9" x14ac:dyDescent="0.25">
      <c r="A1637" s="29" t="s">
        <v>12</v>
      </c>
      <c r="B1637" s="29" t="s">
        <v>80</v>
      </c>
      <c r="C1637" s="29" t="s">
        <v>34</v>
      </c>
      <c r="D1637" s="37" t="s">
        <v>1018</v>
      </c>
      <c r="E1637" s="29" t="s">
        <v>788</v>
      </c>
      <c r="F1637" s="29" t="s">
        <v>36</v>
      </c>
      <c r="G1637" s="29">
        <v>2.39</v>
      </c>
      <c r="H1637" s="71" t="s">
        <v>740</v>
      </c>
      <c r="I1637" s="37" t="str">
        <f>"https://www.eletrotrafo.com.br/eletrocalha-galv-38x38-saida-vertical-p-eletroduto-3-4--05050116/p?skuId=18622"</f>
        <v>https://www.eletrotrafo.com.br/eletrocalha-galv-38x38-saida-vertical-p-eletroduto-3-4--05050116/p?skuId=18622</v>
      </c>
    </row>
    <row r="1638" spans="1:9" x14ac:dyDescent="0.25">
      <c r="A1638" s="29" t="s">
        <v>12</v>
      </c>
      <c r="B1638" s="29" t="s">
        <v>80</v>
      </c>
      <c r="C1638" s="29" t="s">
        <v>34</v>
      </c>
      <c r="D1638" s="37" t="s">
        <v>1329</v>
      </c>
      <c r="E1638" s="29" t="s">
        <v>37</v>
      </c>
      <c r="F1638" s="29" t="s">
        <v>36</v>
      </c>
      <c r="I1638" s="37" t="s">
        <v>37</v>
      </c>
    </row>
    <row r="1639" spans="1:9" x14ac:dyDescent="0.25">
      <c r="A1639" s="29" t="s">
        <v>12</v>
      </c>
      <c r="B1639" s="29" t="s">
        <v>80</v>
      </c>
      <c r="C1639" s="29" t="s">
        <v>34</v>
      </c>
      <c r="D1639" s="37" t="s">
        <v>1979</v>
      </c>
      <c r="E1639" s="29" t="s">
        <v>814</v>
      </c>
      <c r="F1639" s="29" t="s">
        <v>36</v>
      </c>
      <c r="G1639" s="29">
        <v>4.38</v>
      </c>
      <c r="H1639" s="71" t="s">
        <v>813</v>
      </c>
      <c r="I1639" s="37" t="str">
        <f>"https://www.lojaeletrica.com.br/unidut-aluminio-press-o-conico-parafuso-1-56126-023-tramontina.html"</f>
        <v>https://www.lojaeletrica.com.br/unidut-aluminio-press-o-conico-parafuso-1-56126-023-tramontina.html</v>
      </c>
    </row>
    <row r="1640" spans="1:9" x14ac:dyDescent="0.25">
      <c r="A1640" s="29" t="s">
        <v>12</v>
      </c>
      <c r="B1640" s="29" t="s">
        <v>80</v>
      </c>
      <c r="C1640" s="29" t="s">
        <v>34</v>
      </c>
      <c r="D1640" s="37" t="s">
        <v>1980</v>
      </c>
      <c r="E1640" s="29" t="s">
        <v>814</v>
      </c>
      <c r="F1640" s="29" t="s">
        <v>36</v>
      </c>
      <c r="G1640" s="29">
        <v>9.31</v>
      </c>
      <c r="H1640" s="71" t="s">
        <v>813</v>
      </c>
      <c r="I1640" s="37" t="str">
        <f>"https://www.lojaeletrica.com.br/unidut-aluminio-press-o-conico-parafuso-1-1-2-56126-025-tramontina.html"</f>
        <v>https://www.lojaeletrica.com.br/unidut-aluminio-press-o-conico-parafuso-1-1-2-56126-025-tramontina.html</v>
      </c>
    </row>
    <row r="1641" spans="1:9" x14ac:dyDescent="0.25">
      <c r="A1641" s="29" t="s">
        <v>12</v>
      </c>
      <c r="B1641" s="29" t="s">
        <v>80</v>
      </c>
      <c r="C1641" s="29" t="s">
        <v>34</v>
      </c>
      <c r="D1641" s="37" t="s">
        <v>1981</v>
      </c>
      <c r="E1641" s="29" t="s">
        <v>814</v>
      </c>
      <c r="F1641" s="29" t="s">
        <v>36</v>
      </c>
      <c r="G1641" s="29">
        <v>7.94</v>
      </c>
      <c r="H1641" s="71" t="s">
        <v>813</v>
      </c>
      <c r="I1641" s="37" t="str">
        <f>"https://www.lojaeletrica.com.br/unidut-aluminio-press-o-conico-parafuso-1-1-4-56126-024-tramontina.html"</f>
        <v>https://www.lojaeletrica.com.br/unidut-aluminio-press-o-conico-parafuso-1-1-4-56126-024-tramontina.html</v>
      </c>
    </row>
    <row r="1642" spans="1:9" x14ac:dyDescent="0.25">
      <c r="A1642" s="29" t="s">
        <v>12</v>
      </c>
      <c r="B1642" s="29" t="s">
        <v>80</v>
      </c>
      <c r="C1642" s="29" t="s">
        <v>34</v>
      </c>
      <c r="D1642" s="37" t="s">
        <v>1982</v>
      </c>
      <c r="E1642" s="29" t="s">
        <v>814</v>
      </c>
      <c r="F1642" s="29" t="s">
        <v>36</v>
      </c>
      <c r="G1642" s="29">
        <v>3.38</v>
      </c>
      <c r="H1642" s="71" t="s">
        <v>813</v>
      </c>
      <c r="I1642" s="37" t="str">
        <f>"https://www.lojaeletrica.com.br/unidut-aluminio-press-o-conico-parafuso-1-2-56126-021-tramontina.html"</f>
        <v>https://www.lojaeletrica.com.br/unidut-aluminio-press-o-conico-parafuso-1-2-56126-021-tramontina.html</v>
      </c>
    </row>
    <row r="1643" spans="1:9" x14ac:dyDescent="0.25">
      <c r="A1643" s="29" t="s">
        <v>12</v>
      </c>
      <c r="B1643" s="29" t="s">
        <v>80</v>
      </c>
      <c r="C1643" s="29" t="s">
        <v>34</v>
      </c>
      <c r="D1643" s="37" t="s">
        <v>1983</v>
      </c>
      <c r="E1643" s="29" t="s">
        <v>814</v>
      </c>
      <c r="F1643" s="29" t="s">
        <v>36</v>
      </c>
      <c r="G1643" s="29">
        <v>13.04</v>
      </c>
      <c r="H1643" s="71" t="s">
        <v>813</v>
      </c>
      <c r="I1643" s="37" t="str">
        <f>"https://www.lojaeletrica.com.br/unidut-aluminio-press-o-conico-parafuso-2-56126-026-tramontina.html"</f>
        <v>https://www.lojaeletrica.com.br/unidut-aluminio-press-o-conico-parafuso-2-56126-026-tramontina.html</v>
      </c>
    </row>
    <row r="1644" spans="1:9" x14ac:dyDescent="0.25">
      <c r="A1644" s="29" t="s">
        <v>12</v>
      </c>
      <c r="B1644" s="29" t="s">
        <v>80</v>
      </c>
      <c r="C1644" s="29" t="s">
        <v>34</v>
      </c>
      <c r="D1644" s="37" t="s">
        <v>1984</v>
      </c>
      <c r="E1644" s="29" t="s">
        <v>814</v>
      </c>
      <c r="F1644" s="29" t="s">
        <v>36</v>
      </c>
      <c r="G1644" s="29">
        <v>38.409999999999997</v>
      </c>
      <c r="H1644" s="71" t="s">
        <v>813</v>
      </c>
      <c r="I1644" s="37" t="str">
        <f>"https://www.lojaeletrica.com.br/unidut-aluminio-press-o-conico-parafuso-2-1-2-56126-007-tramontina.html"</f>
        <v>https://www.lojaeletrica.com.br/unidut-aluminio-press-o-conico-parafuso-2-1-2-56126-007-tramontina.html</v>
      </c>
    </row>
    <row r="1645" spans="1:9" x14ac:dyDescent="0.25">
      <c r="A1645" s="29" t="s">
        <v>12</v>
      </c>
      <c r="B1645" s="29" t="s">
        <v>80</v>
      </c>
      <c r="C1645" s="29" t="s">
        <v>34</v>
      </c>
      <c r="D1645" s="37" t="s">
        <v>1985</v>
      </c>
      <c r="E1645" s="29" t="s">
        <v>814</v>
      </c>
      <c r="F1645" s="29" t="s">
        <v>36</v>
      </c>
      <c r="G1645" s="29">
        <v>50.24</v>
      </c>
      <c r="H1645" s="71" t="s">
        <v>813</v>
      </c>
      <c r="I1645" s="37" t="str">
        <f>"https://www.lojaeletrica.com.br/unidut-aluminio-press-o-conico-parafuso-3-56126-008-tramontina.html"</f>
        <v>https://www.lojaeletrica.com.br/unidut-aluminio-press-o-conico-parafuso-3-56126-008-tramontina.html</v>
      </c>
    </row>
    <row r="1646" spans="1:9" x14ac:dyDescent="0.25">
      <c r="A1646" s="29" t="s">
        <v>12</v>
      </c>
      <c r="B1646" s="29" t="s">
        <v>80</v>
      </c>
      <c r="C1646" s="29" t="s">
        <v>34</v>
      </c>
      <c r="D1646" s="37" t="s">
        <v>1986</v>
      </c>
      <c r="E1646" s="29" t="s">
        <v>814</v>
      </c>
      <c r="F1646" s="29" t="s">
        <v>36</v>
      </c>
      <c r="G1646" s="29">
        <v>3.33</v>
      </c>
      <c r="H1646" s="71" t="s">
        <v>813</v>
      </c>
      <c r="I1646" s="37" t="str">
        <f>"https://www.lojaeletrica.com.br/unidut-aluminio-press-o-conico-parafuso-3-4-56126-022-tramontina.html"</f>
        <v>https://www.lojaeletrica.com.br/unidut-aluminio-press-o-conico-parafuso-3-4-56126-022-tramontina.html</v>
      </c>
    </row>
    <row r="1647" spans="1:9" x14ac:dyDescent="0.25">
      <c r="A1647" s="29" t="s">
        <v>12</v>
      </c>
      <c r="B1647" s="29" t="s">
        <v>80</v>
      </c>
      <c r="C1647" s="29" t="s">
        <v>34</v>
      </c>
      <c r="D1647" s="37" t="s">
        <v>1987</v>
      </c>
      <c r="E1647" s="29" t="s">
        <v>814</v>
      </c>
      <c r="F1647" s="29" t="s">
        <v>36</v>
      </c>
      <c r="G1647" s="29">
        <v>67.540000000000006</v>
      </c>
      <c r="H1647" s="71" t="s">
        <v>813</v>
      </c>
      <c r="I1647" s="37" t="str">
        <f>"https://www.lojaeletrica.com.br/unidut-aluminio-press-o-conico-parafuso-4-56126-010-tramontina.html"</f>
        <v>https://www.lojaeletrica.com.br/unidut-aluminio-press-o-conico-parafuso-4-56126-010-tramontina.html</v>
      </c>
    </row>
    <row r="1648" spans="1:9" x14ac:dyDescent="0.25">
      <c r="A1648" s="29" t="s">
        <v>12</v>
      </c>
      <c r="B1648" s="29" t="s">
        <v>80</v>
      </c>
      <c r="C1648" s="29" t="s">
        <v>34</v>
      </c>
      <c r="D1648" s="37" t="s">
        <v>1988</v>
      </c>
      <c r="E1648" s="29" t="s">
        <v>815</v>
      </c>
      <c r="F1648" s="29" t="s">
        <v>36</v>
      </c>
      <c r="G1648" s="29">
        <v>18.36</v>
      </c>
      <c r="H1648" s="71" t="s">
        <v>813</v>
      </c>
      <c r="I1648" s="37" t="str">
        <f>"https://www.lojaeletrica.com.br/unilet-aluminio-press-o-curvo-com-janela-ul100-1-daisa.html"</f>
        <v>https://www.lojaeletrica.com.br/unilet-aluminio-press-o-curvo-com-janela-ul100-1-daisa.html</v>
      </c>
    </row>
    <row r="1649" spans="1:9" x14ac:dyDescent="0.25">
      <c r="A1649" s="29" t="s">
        <v>12</v>
      </c>
      <c r="B1649" s="29" t="s">
        <v>80</v>
      </c>
      <c r="C1649" s="29" t="s">
        <v>34</v>
      </c>
      <c r="D1649" s="37" t="s">
        <v>1989</v>
      </c>
      <c r="E1649" s="29" t="s">
        <v>815</v>
      </c>
      <c r="F1649" s="29" t="s">
        <v>36</v>
      </c>
      <c r="G1649" s="29">
        <v>9.83</v>
      </c>
      <c r="H1649" s="71" t="s">
        <v>813</v>
      </c>
      <c r="I1649" s="37" t="str">
        <f>"https://www.lojaeletrica.com.br/unilet-aluminio-press-o-curvo-com-janela-ul012-1-2-daisa.html"</f>
        <v>https://www.lojaeletrica.com.br/unilet-aluminio-press-o-curvo-com-janela-ul012-1-2-daisa.html</v>
      </c>
    </row>
    <row r="1650" spans="1:9" x14ac:dyDescent="0.25">
      <c r="A1650" s="29" t="s">
        <v>12</v>
      </c>
      <c r="B1650" s="29" t="s">
        <v>80</v>
      </c>
      <c r="C1650" s="29" t="s">
        <v>34</v>
      </c>
      <c r="D1650" s="37" t="s">
        <v>1990</v>
      </c>
      <c r="E1650" s="29" t="s">
        <v>815</v>
      </c>
      <c r="F1650" s="29" t="s">
        <v>36</v>
      </c>
      <c r="G1650" s="29">
        <v>13.14</v>
      </c>
      <c r="H1650" s="71" t="s">
        <v>813</v>
      </c>
      <c r="I1650" s="37" t="str">
        <f>"https://www.lojaeletrica.com.br/unilet-aluminio-press-o-curvo-com-janela-ul034-3-4-daisa.html"</f>
        <v>https://www.lojaeletrica.com.br/unilet-aluminio-press-o-curvo-com-janela-ul034-3-4-daisa.html</v>
      </c>
    </row>
    <row r="1651" spans="1:9" x14ac:dyDescent="0.25">
      <c r="A1651" s="29" t="s">
        <v>12</v>
      </c>
      <c r="B1651" s="29" t="s">
        <v>80</v>
      </c>
      <c r="C1651" s="29" t="s">
        <v>34</v>
      </c>
      <c r="D1651" s="37" t="s">
        <v>1019</v>
      </c>
      <c r="E1651" s="29" t="s">
        <v>798</v>
      </c>
      <c r="F1651" s="29" t="s">
        <v>36</v>
      </c>
      <c r="G1651" s="29">
        <v>4.95</v>
      </c>
      <c r="H1651" s="71" t="s">
        <v>800</v>
      </c>
      <c r="I1651" s="37" t="str">
        <f t="shared" ref="I1651:I1659" si="25">"https://www.infraeletrocalhas.com.br/eletrodutos_galv.asp?produto=Eletrodutos-galvanizados"</f>
        <v>https://www.infraeletrocalhas.com.br/eletrodutos_galv.asp?produto=Eletrodutos-galvanizados</v>
      </c>
    </row>
    <row r="1652" spans="1:9" x14ac:dyDescent="0.25">
      <c r="A1652" s="29" t="s">
        <v>12</v>
      </c>
      <c r="B1652" s="29" t="s">
        <v>80</v>
      </c>
      <c r="C1652" s="29" t="s">
        <v>34</v>
      </c>
      <c r="D1652" s="37" t="s">
        <v>1020</v>
      </c>
      <c r="E1652" s="29" t="s">
        <v>798</v>
      </c>
      <c r="F1652" s="29" t="s">
        <v>36</v>
      </c>
      <c r="G1652" s="29">
        <v>11.85</v>
      </c>
      <c r="H1652" s="71" t="s">
        <v>800</v>
      </c>
      <c r="I1652" s="37" t="str">
        <f t="shared" si="25"/>
        <v>https://www.infraeletrocalhas.com.br/eletrodutos_galv.asp?produto=Eletrodutos-galvanizados</v>
      </c>
    </row>
    <row r="1653" spans="1:9" x14ac:dyDescent="0.25">
      <c r="A1653" s="29" t="s">
        <v>12</v>
      </c>
      <c r="B1653" s="29" t="s">
        <v>80</v>
      </c>
      <c r="C1653" s="29" t="s">
        <v>34</v>
      </c>
      <c r="D1653" s="37" t="s">
        <v>1021</v>
      </c>
      <c r="E1653" s="29" t="s">
        <v>798</v>
      </c>
      <c r="F1653" s="29" t="s">
        <v>36</v>
      </c>
      <c r="G1653" s="29">
        <v>9.1999999999999993</v>
      </c>
      <c r="H1653" s="71" t="s">
        <v>800</v>
      </c>
      <c r="I1653" s="37" t="str">
        <f t="shared" si="25"/>
        <v>https://www.infraeletrocalhas.com.br/eletrodutos_galv.asp?produto=Eletrodutos-galvanizados</v>
      </c>
    </row>
    <row r="1654" spans="1:9" x14ac:dyDescent="0.25">
      <c r="A1654" s="29" t="s">
        <v>12</v>
      </c>
      <c r="B1654" s="29" t="s">
        <v>80</v>
      </c>
      <c r="C1654" s="29" t="s">
        <v>34</v>
      </c>
      <c r="D1654" s="37" t="s">
        <v>1022</v>
      </c>
      <c r="E1654" s="29" t="s">
        <v>798</v>
      </c>
      <c r="F1654" s="29" t="s">
        <v>36</v>
      </c>
      <c r="G1654" s="29">
        <v>3.15</v>
      </c>
      <c r="H1654" s="71" t="s">
        <v>800</v>
      </c>
      <c r="I1654" s="37" t="str">
        <f t="shared" si="25"/>
        <v>https://www.infraeletrocalhas.com.br/eletrodutos_galv.asp?produto=Eletrodutos-galvanizados</v>
      </c>
    </row>
    <row r="1655" spans="1:9" x14ac:dyDescent="0.25">
      <c r="A1655" s="29" t="s">
        <v>12</v>
      </c>
      <c r="B1655" s="29" t="s">
        <v>80</v>
      </c>
      <c r="C1655" s="29" t="s">
        <v>34</v>
      </c>
      <c r="D1655" s="37" t="s">
        <v>1023</v>
      </c>
      <c r="E1655" s="29" t="s">
        <v>798</v>
      </c>
      <c r="F1655" s="29" t="s">
        <v>36</v>
      </c>
      <c r="G1655" s="29">
        <v>16.95</v>
      </c>
      <c r="H1655" s="71" t="s">
        <v>800</v>
      </c>
      <c r="I1655" s="37" t="str">
        <f t="shared" si="25"/>
        <v>https://www.infraeletrocalhas.com.br/eletrodutos_galv.asp?produto=Eletrodutos-galvanizados</v>
      </c>
    </row>
    <row r="1656" spans="1:9" x14ac:dyDescent="0.25">
      <c r="A1656" s="29" t="s">
        <v>12</v>
      </c>
      <c r="B1656" s="29" t="s">
        <v>80</v>
      </c>
      <c r="C1656" s="29" t="s">
        <v>34</v>
      </c>
      <c r="D1656" s="37" t="s">
        <v>1024</v>
      </c>
      <c r="E1656" s="29" t="s">
        <v>798</v>
      </c>
      <c r="F1656" s="29" t="s">
        <v>36</v>
      </c>
      <c r="G1656" s="29">
        <v>32.5</v>
      </c>
      <c r="H1656" s="71" t="s">
        <v>800</v>
      </c>
      <c r="I1656" s="37" t="str">
        <f t="shared" si="25"/>
        <v>https://www.infraeletrocalhas.com.br/eletrodutos_galv.asp?produto=Eletrodutos-galvanizados</v>
      </c>
    </row>
    <row r="1657" spans="1:9" x14ac:dyDescent="0.25">
      <c r="A1657" s="29" t="s">
        <v>12</v>
      </c>
      <c r="B1657" s="29" t="s">
        <v>80</v>
      </c>
      <c r="C1657" s="29" t="s">
        <v>34</v>
      </c>
      <c r="D1657" s="37" t="s">
        <v>1025</v>
      </c>
      <c r="E1657" s="29" t="s">
        <v>798</v>
      </c>
      <c r="F1657" s="29" t="s">
        <v>36</v>
      </c>
      <c r="G1657" s="29">
        <v>35</v>
      </c>
      <c r="H1657" s="71" t="s">
        <v>800</v>
      </c>
      <c r="I1657" s="37" t="str">
        <f t="shared" si="25"/>
        <v>https://www.infraeletrocalhas.com.br/eletrodutos_galv.asp?produto=Eletrodutos-galvanizados</v>
      </c>
    </row>
    <row r="1658" spans="1:9" x14ac:dyDescent="0.25">
      <c r="A1658" s="29" t="s">
        <v>12</v>
      </c>
      <c r="B1658" s="29" t="s">
        <v>80</v>
      </c>
      <c r="C1658" s="29" t="s">
        <v>34</v>
      </c>
      <c r="D1658" s="37" t="s">
        <v>1026</v>
      </c>
      <c r="E1658" s="29" t="s">
        <v>798</v>
      </c>
      <c r="F1658" s="29" t="s">
        <v>36</v>
      </c>
      <c r="G1658" s="29">
        <v>2.95</v>
      </c>
      <c r="H1658" s="71" t="s">
        <v>800</v>
      </c>
      <c r="I1658" s="37" t="str">
        <f t="shared" si="25"/>
        <v>https://www.infraeletrocalhas.com.br/eletrodutos_galv.asp?produto=Eletrodutos-galvanizados</v>
      </c>
    </row>
    <row r="1659" spans="1:9" x14ac:dyDescent="0.25">
      <c r="A1659" s="29" t="s">
        <v>12</v>
      </c>
      <c r="B1659" s="29" t="s">
        <v>80</v>
      </c>
      <c r="C1659" s="29" t="s">
        <v>34</v>
      </c>
      <c r="D1659" s="37" t="s">
        <v>1027</v>
      </c>
      <c r="E1659" s="29" t="s">
        <v>798</v>
      </c>
      <c r="F1659" s="29" t="s">
        <v>36</v>
      </c>
      <c r="G1659" s="29">
        <v>49.95</v>
      </c>
      <c r="H1659" s="71" t="s">
        <v>800</v>
      </c>
      <c r="I1659" s="37" t="str">
        <f t="shared" si="25"/>
        <v>https://www.infraeletrocalhas.com.br/eletrodutos_galv.asp?produto=Eletrodutos-galvanizados</v>
      </c>
    </row>
    <row r="1660" spans="1:9" x14ac:dyDescent="0.25">
      <c r="A1660" s="29" t="s">
        <v>12</v>
      </c>
      <c r="B1660" s="29" t="s">
        <v>85</v>
      </c>
      <c r="C1660" s="29">
        <v>44397</v>
      </c>
      <c r="D1660" s="37" t="s">
        <v>2973</v>
      </c>
      <c r="E1660" s="29" t="s">
        <v>37</v>
      </c>
      <c r="F1660" s="29" t="s">
        <v>44</v>
      </c>
      <c r="G1660" s="29">
        <v>2.56</v>
      </c>
      <c r="H1660" s="71" t="s">
        <v>38</v>
      </c>
      <c r="I1660" s="37" t="s">
        <v>207</v>
      </c>
    </row>
    <row r="1661" spans="1:9" x14ac:dyDescent="0.25">
      <c r="A1661" s="29" t="s">
        <v>12</v>
      </c>
      <c r="B1661" s="29" t="s">
        <v>85</v>
      </c>
      <c r="C1661" s="29">
        <v>406</v>
      </c>
      <c r="D1661" s="37" t="s">
        <v>2974</v>
      </c>
      <c r="E1661" s="29" t="s">
        <v>37</v>
      </c>
      <c r="F1661" s="29" t="s">
        <v>36</v>
      </c>
      <c r="G1661" s="29">
        <v>77.11</v>
      </c>
      <c r="H1661" s="71" t="s">
        <v>38</v>
      </c>
      <c r="I1661" s="37" t="s">
        <v>207</v>
      </c>
    </row>
    <row r="1662" spans="1:9" x14ac:dyDescent="0.25">
      <c r="A1662" s="29" t="s">
        <v>12</v>
      </c>
      <c r="B1662" s="29" t="s">
        <v>85</v>
      </c>
      <c r="C1662" s="29">
        <v>20111</v>
      </c>
      <c r="D1662" s="37" t="s">
        <v>1991</v>
      </c>
      <c r="E1662" s="29" t="s">
        <v>37</v>
      </c>
      <c r="F1662" s="29" t="s">
        <v>36</v>
      </c>
      <c r="G1662" s="29">
        <v>10.25</v>
      </c>
      <c r="H1662" s="71" t="s">
        <v>38</v>
      </c>
      <c r="I1662" s="37" t="s">
        <v>207</v>
      </c>
    </row>
    <row r="1663" spans="1:9" x14ac:dyDescent="0.25">
      <c r="A1663" s="29" t="s">
        <v>12</v>
      </c>
      <c r="B1663" s="29" t="s">
        <v>85</v>
      </c>
      <c r="C1663" s="29">
        <v>21127</v>
      </c>
      <c r="D1663" s="37" t="s">
        <v>1992</v>
      </c>
      <c r="E1663" s="29" t="s">
        <v>37</v>
      </c>
      <c r="F1663" s="29" t="s">
        <v>36</v>
      </c>
      <c r="G1663" s="29">
        <v>3.87</v>
      </c>
      <c r="H1663" s="71" t="s">
        <v>38</v>
      </c>
      <c r="I1663" s="37" t="s">
        <v>207</v>
      </c>
    </row>
    <row r="1664" spans="1:9" x14ac:dyDescent="0.25">
      <c r="A1664" s="29" t="s">
        <v>12</v>
      </c>
      <c r="B1664" s="29" t="s">
        <v>85</v>
      </c>
      <c r="C1664" s="29">
        <v>404</v>
      </c>
      <c r="D1664" s="37" t="s">
        <v>3277</v>
      </c>
      <c r="E1664" s="29" t="s">
        <v>37</v>
      </c>
      <c r="F1664" s="29" t="s">
        <v>44</v>
      </c>
      <c r="G1664" s="29">
        <v>1.39</v>
      </c>
      <c r="H1664" s="71" t="s">
        <v>38</v>
      </c>
      <c r="I1664" s="37" t="s">
        <v>207</v>
      </c>
    </row>
    <row r="1665" spans="1:9" x14ac:dyDescent="0.25">
      <c r="A1665" s="29" t="s">
        <v>12</v>
      </c>
      <c r="B1665" s="29" t="s">
        <v>85</v>
      </c>
      <c r="C1665" s="29">
        <v>14153</v>
      </c>
      <c r="D1665" s="37" t="s">
        <v>3278</v>
      </c>
      <c r="E1665" s="29" t="s">
        <v>37</v>
      </c>
      <c r="F1665" s="29" t="s">
        <v>36</v>
      </c>
      <c r="G1665" s="29">
        <v>60.92</v>
      </c>
      <c r="H1665" s="71" t="s">
        <v>38</v>
      </c>
      <c r="I1665" s="37" t="s">
        <v>207</v>
      </c>
    </row>
    <row r="1666" spans="1:9" x14ac:dyDescent="0.25">
      <c r="A1666" s="29" t="s">
        <v>12</v>
      </c>
      <c r="B1666" s="29" t="s">
        <v>85</v>
      </c>
      <c r="C1666" s="29">
        <v>14152</v>
      </c>
      <c r="D1666" s="37" t="s">
        <v>3279</v>
      </c>
      <c r="E1666" s="29" t="s">
        <v>37</v>
      </c>
      <c r="F1666" s="29" t="s">
        <v>36</v>
      </c>
      <c r="G1666" s="29">
        <v>46.76</v>
      </c>
      <c r="H1666" s="71" t="s">
        <v>38</v>
      </c>
      <c r="I1666" s="37" t="s">
        <v>207</v>
      </c>
    </row>
    <row r="1667" spans="1:9" x14ac:dyDescent="0.25">
      <c r="A1667" s="29" t="s">
        <v>12</v>
      </c>
      <c r="B1667" s="29" t="s">
        <v>85</v>
      </c>
      <c r="C1667" s="29">
        <v>14154</v>
      </c>
      <c r="D1667" s="37" t="s">
        <v>3280</v>
      </c>
      <c r="E1667" s="29" t="s">
        <v>37</v>
      </c>
      <c r="F1667" s="29" t="s">
        <v>36</v>
      </c>
      <c r="G1667" s="29">
        <v>163.69</v>
      </c>
      <c r="H1667" s="71" t="s">
        <v>38</v>
      </c>
      <c r="I1667" s="37" t="s">
        <v>207</v>
      </c>
    </row>
    <row r="1668" spans="1:9" x14ac:dyDescent="0.25">
      <c r="A1668" s="29" t="s">
        <v>12</v>
      </c>
      <c r="B1668" s="29" t="s">
        <v>84</v>
      </c>
      <c r="C1668" s="29">
        <v>12344</v>
      </c>
      <c r="D1668" s="37" t="s">
        <v>3281</v>
      </c>
      <c r="E1668" s="29" t="s">
        <v>37</v>
      </c>
      <c r="F1668" s="29" t="s">
        <v>36</v>
      </c>
      <c r="G1668" s="29">
        <v>4.49</v>
      </c>
      <c r="H1668" s="71" t="s">
        <v>38</v>
      </c>
      <c r="I1668" s="37" t="s">
        <v>207</v>
      </c>
    </row>
    <row r="1669" spans="1:9" x14ac:dyDescent="0.25">
      <c r="A1669" s="29" t="s">
        <v>12</v>
      </c>
      <c r="B1669" s="29" t="s">
        <v>84</v>
      </c>
      <c r="C1669" s="29">
        <v>12343</v>
      </c>
      <c r="D1669" s="37" t="s">
        <v>3282</v>
      </c>
      <c r="E1669" s="29" t="s">
        <v>37</v>
      </c>
      <c r="F1669" s="29" t="s">
        <v>36</v>
      </c>
      <c r="G1669" s="29">
        <v>6.96</v>
      </c>
      <c r="H1669" s="71" t="s">
        <v>38</v>
      </c>
      <c r="I1669" s="37" t="s">
        <v>207</v>
      </c>
    </row>
    <row r="1670" spans="1:9" x14ac:dyDescent="0.25">
      <c r="A1670" s="29" t="s">
        <v>12</v>
      </c>
      <c r="B1670" s="29" t="s">
        <v>84</v>
      </c>
      <c r="C1670" s="29">
        <v>3295</v>
      </c>
      <c r="D1670" s="37" t="s">
        <v>3283</v>
      </c>
      <c r="E1670" s="29" t="s">
        <v>37</v>
      </c>
      <c r="F1670" s="29" t="s">
        <v>36</v>
      </c>
      <c r="G1670" s="29">
        <v>24.33</v>
      </c>
      <c r="H1670" s="71" t="s">
        <v>38</v>
      </c>
      <c r="I1670" s="37" t="s">
        <v>207</v>
      </c>
    </row>
    <row r="1671" spans="1:9" x14ac:dyDescent="0.25">
      <c r="A1671" s="29" t="s">
        <v>12</v>
      </c>
      <c r="B1671" s="29" t="s">
        <v>84</v>
      </c>
      <c r="C1671" s="29">
        <v>3302</v>
      </c>
      <c r="D1671" s="37" t="s">
        <v>3284</v>
      </c>
      <c r="E1671" s="29" t="s">
        <v>37</v>
      </c>
      <c r="F1671" s="29" t="s">
        <v>36</v>
      </c>
      <c r="G1671" s="29">
        <v>25.44</v>
      </c>
      <c r="H1671" s="71" t="s">
        <v>38</v>
      </c>
      <c r="I1671" s="37" t="s">
        <v>207</v>
      </c>
    </row>
    <row r="1672" spans="1:9" x14ac:dyDescent="0.25">
      <c r="A1672" s="29" t="s">
        <v>12</v>
      </c>
      <c r="B1672" s="29" t="s">
        <v>84</v>
      </c>
      <c r="C1672" s="29">
        <v>3297</v>
      </c>
      <c r="D1672" s="37" t="s">
        <v>3285</v>
      </c>
      <c r="E1672" s="29" t="s">
        <v>37</v>
      </c>
      <c r="F1672" s="29" t="s">
        <v>36</v>
      </c>
      <c r="G1672" s="29">
        <v>27.15</v>
      </c>
      <c r="H1672" s="71" t="s">
        <v>38</v>
      </c>
      <c r="I1672" s="37" t="s">
        <v>207</v>
      </c>
    </row>
    <row r="1673" spans="1:9" x14ac:dyDescent="0.25">
      <c r="A1673" s="29" t="s">
        <v>12</v>
      </c>
      <c r="B1673" s="29" t="s">
        <v>84</v>
      </c>
      <c r="C1673" s="29">
        <v>3294</v>
      </c>
      <c r="D1673" s="37" t="s">
        <v>3286</v>
      </c>
      <c r="E1673" s="29" t="s">
        <v>37</v>
      </c>
      <c r="F1673" s="29" t="s">
        <v>36</v>
      </c>
      <c r="G1673" s="29">
        <v>27.57</v>
      </c>
      <c r="H1673" s="71" t="s">
        <v>38</v>
      </c>
      <c r="I1673" s="37" t="s">
        <v>207</v>
      </c>
    </row>
    <row r="1674" spans="1:9" x14ac:dyDescent="0.25">
      <c r="A1674" s="29" t="s">
        <v>12</v>
      </c>
      <c r="B1674" s="29" t="s">
        <v>84</v>
      </c>
      <c r="C1674" s="29">
        <v>3292</v>
      </c>
      <c r="D1674" s="37" t="s">
        <v>3287</v>
      </c>
      <c r="E1674" s="29" t="s">
        <v>37</v>
      </c>
      <c r="F1674" s="29" t="s">
        <v>36</v>
      </c>
      <c r="G1674" s="29">
        <v>25.9</v>
      </c>
      <c r="H1674" s="71" t="s">
        <v>38</v>
      </c>
      <c r="I1674" s="37" t="s">
        <v>207</v>
      </c>
    </row>
    <row r="1675" spans="1:9" x14ac:dyDescent="0.25">
      <c r="A1675" s="29" t="s">
        <v>12</v>
      </c>
      <c r="B1675" s="29" t="s">
        <v>84</v>
      </c>
      <c r="C1675" s="29">
        <v>3298</v>
      </c>
      <c r="D1675" s="37" t="s">
        <v>3288</v>
      </c>
      <c r="E1675" s="29" t="s">
        <v>37</v>
      </c>
      <c r="F1675" s="29" t="s">
        <v>36</v>
      </c>
      <c r="G1675" s="29">
        <v>60.7</v>
      </c>
      <c r="H1675" s="71" t="s">
        <v>38</v>
      </c>
      <c r="I1675" s="37" t="s">
        <v>207</v>
      </c>
    </row>
    <row r="1676" spans="1:9" x14ac:dyDescent="0.25">
      <c r="A1676" s="29" t="s">
        <v>12</v>
      </c>
      <c r="B1676" s="29" t="s">
        <v>88</v>
      </c>
      <c r="C1676" s="29" t="s">
        <v>34</v>
      </c>
      <c r="D1676" s="37" t="s">
        <v>3578</v>
      </c>
      <c r="E1676" s="29" t="s">
        <v>3577</v>
      </c>
      <c r="F1676" s="29" t="s">
        <v>36</v>
      </c>
      <c r="G1676" s="29">
        <v>94.49</v>
      </c>
      <c r="H1676" s="71" t="s">
        <v>3452</v>
      </c>
      <c r="I1676" s="37" t="str">
        <f>"https://www.dimensional.com.br/grampo-linha-viva-glv-68-r-intelli/p"</f>
        <v>https://www.dimensional.com.br/grampo-linha-viva-glv-68-r-intelli/p</v>
      </c>
    </row>
    <row r="1677" spans="1:9" x14ac:dyDescent="0.25">
      <c r="A1677" s="29" t="s">
        <v>12</v>
      </c>
      <c r="B1677" s="29" t="s">
        <v>88</v>
      </c>
      <c r="C1677" s="29" t="s">
        <v>34</v>
      </c>
      <c r="D1677" s="37" t="s">
        <v>3582</v>
      </c>
      <c r="E1677" s="29" t="s">
        <v>3581</v>
      </c>
      <c r="F1677" s="29" t="s">
        <v>36</v>
      </c>
      <c r="G1677" s="29">
        <v>59.39</v>
      </c>
      <c r="H1677" s="71" t="s">
        <v>3452</v>
      </c>
      <c r="I1677" s="37" t="str">
        <f>"https://www.dimensional.com.br/grampo-linha-viva-simples-latao-6-250awg-glv68-intelli/p"</f>
        <v>https://www.dimensional.com.br/grampo-linha-viva-simples-latao-6-250awg-glv68-intelli/p</v>
      </c>
    </row>
    <row r="1678" spans="1:9" x14ac:dyDescent="0.25">
      <c r="A1678" s="29" t="s">
        <v>12</v>
      </c>
      <c r="B1678" s="29" t="s">
        <v>88</v>
      </c>
      <c r="C1678" s="29" t="s">
        <v>34</v>
      </c>
      <c r="D1678" s="37" t="s">
        <v>3580</v>
      </c>
      <c r="E1678" s="29" t="s">
        <v>3579</v>
      </c>
      <c r="F1678" s="29" t="s">
        <v>36</v>
      </c>
      <c r="G1678" s="29">
        <v>30.59</v>
      </c>
      <c r="H1678" s="71" t="s">
        <v>3452</v>
      </c>
      <c r="I1678" s="37" t="str">
        <f>"https://www.dimensional.com.br/grampo-linha-viva-simples-6-250awg-glv68a-intelli/p"</f>
        <v>https://www.dimensional.com.br/grampo-linha-viva-simples-6-250awg-glv68a-intelli/p</v>
      </c>
    </row>
    <row r="1679" spans="1:9" x14ac:dyDescent="0.25">
      <c r="A1679" s="29" t="s">
        <v>12</v>
      </c>
      <c r="B1679" s="29" t="s">
        <v>88</v>
      </c>
      <c r="C1679" s="29" t="s">
        <v>34</v>
      </c>
      <c r="D1679" s="37" t="s">
        <v>3652</v>
      </c>
      <c r="E1679" s="29" t="s">
        <v>3651</v>
      </c>
      <c r="F1679" s="29" t="s">
        <v>36</v>
      </c>
      <c r="G1679" s="29">
        <v>12.57</v>
      </c>
      <c r="H1679" s="71" t="s">
        <v>3650</v>
      </c>
      <c r="I1679" s="37" t="str">
        <f>"https://www.eletrotrafo.com.br/conector-tapit-pequeno-grampo-paralelo-de-aluminio-10-1-0-gpal-44-1-intelli-02150002/p?skuId=4425"</f>
        <v>https://www.eletrotrafo.com.br/conector-tapit-pequeno-grampo-paralelo-de-aluminio-10-1-0-gpal-44-1-intelli-02150002/p?skuId=4425</v>
      </c>
    </row>
    <row r="1680" spans="1:9" x14ac:dyDescent="0.25">
      <c r="A1680" s="29" t="s">
        <v>12</v>
      </c>
      <c r="B1680" s="29" t="s">
        <v>88</v>
      </c>
      <c r="C1680" s="29" t="s">
        <v>34</v>
      </c>
      <c r="D1680" s="37" t="s">
        <v>3633</v>
      </c>
      <c r="E1680" s="29" t="s">
        <v>3632</v>
      </c>
      <c r="F1680" s="29" t="s">
        <v>36</v>
      </c>
      <c r="G1680" s="29">
        <v>17.989999999999998</v>
      </c>
      <c r="H1680" s="71" t="s">
        <v>3625</v>
      </c>
      <c r="I1680" s="37" t="str">
        <f>"https://www.dimensional.com.br/grampo-terra-paralelo-al-9-47-14-3mm-gpal601-intelli/p"</f>
        <v>https://www.dimensional.com.br/grampo-terra-paralelo-al-9-47-14-3mm-gpal601-intelli/p</v>
      </c>
    </row>
    <row r="1681" spans="1:9" x14ac:dyDescent="0.25">
      <c r="A1681" s="29" t="s">
        <v>12</v>
      </c>
      <c r="B1681" s="29" t="s">
        <v>88</v>
      </c>
      <c r="C1681" s="29" t="s">
        <v>34</v>
      </c>
      <c r="D1681" s="37" t="s">
        <v>3637</v>
      </c>
      <c r="E1681" s="29" t="s">
        <v>3636</v>
      </c>
      <c r="F1681" s="29" t="s">
        <v>36</v>
      </c>
      <c r="G1681" s="29">
        <v>17.09</v>
      </c>
      <c r="H1681" s="71" t="s">
        <v>3625</v>
      </c>
      <c r="I1681" s="37" t="str">
        <f>"https://www.dimensional.com.br/grampo-terra-paralelo-al-6-2-0awg-1paraf-gpal801-intelli/p"</f>
        <v>https://www.dimensional.com.br/grampo-terra-paralelo-al-6-2-0awg-1paraf-gpal801-intelli/p</v>
      </c>
    </row>
    <row r="1682" spans="1:9" x14ac:dyDescent="0.25">
      <c r="A1682" s="29" t="s">
        <v>12</v>
      </c>
      <c r="B1682" s="29" t="s">
        <v>88</v>
      </c>
      <c r="C1682" s="29" t="s">
        <v>34</v>
      </c>
      <c r="D1682" s="37" t="s">
        <v>3641</v>
      </c>
      <c r="E1682" s="29" t="s">
        <v>3640</v>
      </c>
      <c r="F1682" s="29" t="s">
        <v>36</v>
      </c>
      <c r="G1682" s="29">
        <v>15.29</v>
      </c>
      <c r="H1682" s="71" t="s">
        <v>3625</v>
      </c>
      <c r="I1682" s="37" t="str">
        <f>"https://www.dimensional.com.br/grampo-terra-paralelo-aluminio-1-0-awg-2-parafusos-2003-intelli/p"</f>
        <v>https://www.dimensional.com.br/grampo-terra-paralelo-aluminio-1-0-awg-2-parafusos-2003-intelli/p</v>
      </c>
    </row>
    <row r="1683" spans="1:9" x14ac:dyDescent="0.25">
      <c r="A1683" s="29" t="s">
        <v>12</v>
      </c>
      <c r="B1683" s="29" t="s">
        <v>88</v>
      </c>
      <c r="C1683" s="29" t="s">
        <v>34</v>
      </c>
      <c r="D1683" s="37" t="s">
        <v>3631</v>
      </c>
      <c r="E1683" s="29" t="s">
        <v>3630</v>
      </c>
      <c r="F1683" s="29" t="s">
        <v>36</v>
      </c>
      <c r="G1683" s="29">
        <v>31.99</v>
      </c>
      <c r="H1683" s="71" t="s">
        <v>3625</v>
      </c>
      <c r="I1683" s="37" t="str">
        <f>"https://www.dimensional.com.br/grampo-terra-paralelo-al-9-47-14-3mm-gpal602-intelli/p"</f>
        <v>https://www.dimensional.com.br/grampo-terra-paralelo-al-9-47-14-3mm-gpal602-intelli/p</v>
      </c>
    </row>
    <row r="1684" spans="1:9" x14ac:dyDescent="0.25">
      <c r="A1684" s="29" t="s">
        <v>12</v>
      </c>
      <c r="B1684" s="29" t="s">
        <v>88</v>
      </c>
      <c r="C1684" s="29" t="s">
        <v>34</v>
      </c>
      <c r="D1684" s="37" t="s">
        <v>3635</v>
      </c>
      <c r="E1684" s="29" t="s">
        <v>3634</v>
      </c>
      <c r="F1684" s="29" t="s">
        <v>36</v>
      </c>
      <c r="G1684" s="29">
        <v>60.29</v>
      </c>
      <c r="H1684" s="71" t="s">
        <v>3625</v>
      </c>
      <c r="I1684" s="37" t="str">
        <f>"https://www.dimensional.com.br/grampo-terra-paralelo-aluminio-936-a-2044-mm-2014-intelli/p"</f>
        <v>https://www.dimensional.com.br/grampo-terra-paralelo-aluminio-936-a-2044-mm-2014-intelli/p</v>
      </c>
    </row>
    <row r="1685" spans="1:9" x14ac:dyDescent="0.25">
      <c r="A1685" s="29" t="s">
        <v>12</v>
      </c>
      <c r="B1685" s="29" t="s">
        <v>88</v>
      </c>
      <c r="C1685" s="29">
        <v>1564</v>
      </c>
      <c r="D1685" s="37" t="s">
        <v>2317</v>
      </c>
      <c r="E1685" s="29" t="s">
        <v>37</v>
      </c>
      <c r="F1685" s="29" t="s">
        <v>36</v>
      </c>
      <c r="G1685" s="29">
        <v>12.54</v>
      </c>
      <c r="H1685" s="71" t="s">
        <v>38</v>
      </c>
      <c r="I1685" s="37" t="s">
        <v>207</v>
      </c>
    </row>
    <row r="1686" spans="1:9" x14ac:dyDescent="0.25">
      <c r="A1686" s="29" t="s">
        <v>12</v>
      </c>
      <c r="B1686" s="29" t="s">
        <v>88</v>
      </c>
      <c r="C1686" s="29">
        <v>11032</v>
      </c>
      <c r="D1686" s="37" t="s">
        <v>1993</v>
      </c>
      <c r="E1686" s="29" t="s">
        <v>37</v>
      </c>
      <c r="F1686" s="29" t="s">
        <v>36</v>
      </c>
      <c r="G1686" s="29">
        <v>12.88</v>
      </c>
      <c r="H1686" s="71" t="s">
        <v>38</v>
      </c>
      <c r="I1686" s="37" t="s">
        <v>207</v>
      </c>
    </row>
    <row r="1687" spans="1:9" x14ac:dyDescent="0.25">
      <c r="A1687" s="29" t="s">
        <v>12</v>
      </c>
      <c r="B1687" s="29" t="s">
        <v>122</v>
      </c>
      <c r="C1687" s="29">
        <v>38194</v>
      </c>
      <c r="D1687" s="37" t="s">
        <v>1028</v>
      </c>
      <c r="E1687" s="29" t="s">
        <v>37</v>
      </c>
      <c r="F1687" s="29" t="s">
        <v>36</v>
      </c>
      <c r="G1687" s="29">
        <v>4.9000000000000004</v>
      </c>
      <c r="H1687" s="71" t="s">
        <v>38</v>
      </c>
      <c r="I1687" s="37" t="s">
        <v>207</v>
      </c>
    </row>
    <row r="1688" spans="1:9" x14ac:dyDescent="0.25">
      <c r="A1688" s="29" t="s">
        <v>12</v>
      </c>
      <c r="B1688" s="29" t="s">
        <v>122</v>
      </c>
      <c r="C1688" s="29">
        <v>38193</v>
      </c>
      <c r="D1688" s="37" t="s">
        <v>1029</v>
      </c>
      <c r="E1688" s="29" t="s">
        <v>37</v>
      </c>
      <c r="F1688" s="29" t="s">
        <v>36</v>
      </c>
      <c r="G1688" s="29">
        <v>4.25</v>
      </c>
      <c r="H1688" s="71" t="s">
        <v>38</v>
      </c>
      <c r="I1688" s="37" t="s">
        <v>207</v>
      </c>
    </row>
    <row r="1689" spans="1:9" x14ac:dyDescent="0.25">
      <c r="A1689" s="29" t="s">
        <v>12</v>
      </c>
      <c r="B1689" s="29" t="s">
        <v>122</v>
      </c>
      <c r="C1689" s="29" t="s">
        <v>34</v>
      </c>
      <c r="D1689" s="37" t="s">
        <v>3289</v>
      </c>
      <c r="E1689" s="29" t="s">
        <v>37</v>
      </c>
      <c r="F1689" s="29" t="s">
        <v>36</v>
      </c>
      <c r="G1689" s="29">
        <v>143.06</v>
      </c>
      <c r="H1689" s="71" t="s">
        <v>793</v>
      </c>
      <c r="I1689" s="37" t="str">
        <f>"https://www.leroymerlin.com.br/lampada-led-bulbo-100w-e27-branco-frio-6500k-alta-potencia_1572281688?msockid=1b223b79009e6d3b00a82d0101f56cec"</f>
        <v>https://www.leroymerlin.com.br/lampada-led-bulbo-100w-e27-branco-frio-6500k-alta-potencia_1572281688?msockid=1b223b79009e6d3b00a82d0101f56cec</v>
      </c>
    </row>
    <row r="1690" spans="1:9" x14ac:dyDescent="0.25">
      <c r="A1690" s="29" t="s">
        <v>12</v>
      </c>
      <c r="B1690" s="29" t="s">
        <v>122</v>
      </c>
      <c r="C1690" s="29">
        <v>39388</v>
      </c>
      <c r="D1690" s="37" t="s">
        <v>1030</v>
      </c>
      <c r="E1690" s="29" t="s">
        <v>37</v>
      </c>
      <c r="F1690" s="29" t="s">
        <v>36</v>
      </c>
      <c r="G1690" s="29">
        <v>6.02</v>
      </c>
      <c r="H1690" s="71" t="s">
        <v>38</v>
      </c>
      <c r="I1690" s="37" t="s">
        <v>207</v>
      </c>
    </row>
    <row r="1691" spans="1:9" x14ac:dyDescent="0.25">
      <c r="A1691" s="29" t="s">
        <v>12</v>
      </c>
      <c r="B1691" s="29" t="s">
        <v>122</v>
      </c>
      <c r="C1691" s="29">
        <v>39387</v>
      </c>
      <c r="D1691" s="37" t="s">
        <v>1031</v>
      </c>
      <c r="E1691" s="29" t="s">
        <v>37</v>
      </c>
      <c r="F1691" s="29" t="s">
        <v>36</v>
      </c>
      <c r="G1691" s="29">
        <v>9.39</v>
      </c>
      <c r="H1691" s="71" t="s">
        <v>38</v>
      </c>
      <c r="I1691" s="37" t="s">
        <v>207</v>
      </c>
    </row>
    <row r="1692" spans="1:9" x14ac:dyDescent="0.25">
      <c r="A1692" s="29" t="s">
        <v>12</v>
      </c>
      <c r="B1692" s="29" t="s">
        <v>122</v>
      </c>
      <c r="C1692" s="29">
        <v>39386</v>
      </c>
      <c r="D1692" s="37" t="s">
        <v>1032</v>
      </c>
      <c r="E1692" s="29" t="s">
        <v>37</v>
      </c>
      <c r="F1692" s="29" t="s">
        <v>36</v>
      </c>
      <c r="G1692" s="29">
        <v>6.55</v>
      </c>
      <c r="H1692" s="71" t="s">
        <v>38</v>
      </c>
      <c r="I1692" s="37" t="s">
        <v>207</v>
      </c>
    </row>
    <row r="1693" spans="1:9" x14ac:dyDescent="0.25">
      <c r="A1693" s="29" t="s">
        <v>12</v>
      </c>
      <c r="B1693" s="29" t="s">
        <v>122</v>
      </c>
      <c r="C1693" s="29">
        <v>3798</v>
      </c>
      <c r="D1693" s="37" t="s">
        <v>1812</v>
      </c>
      <c r="E1693" s="29" t="s">
        <v>37</v>
      </c>
      <c r="F1693" s="29" t="s">
        <v>36</v>
      </c>
      <c r="G1693" s="29">
        <v>83.57</v>
      </c>
      <c r="H1693" s="71" t="s">
        <v>38</v>
      </c>
      <c r="I1693" s="37" t="s">
        <v>207</v>
      </c>
    </row>
    <row r="1694" spans="1:9" x14ac:dyDescent="0.25">
      <c r="A1694" s="29" t="s">
        <v>12</v>
      </c>
      <c r="B1694" s="29" t="s">
        <v>122</v>
      </c>
      <c r="C1694" s="29">
        <v>38769</v>
      </c>
      <c r="D1694" s="37" t="s">
        <v>1778</v>
      </c>
      <c r="E1694" s="29" t="s">
        <v>37</v>
      </c>
      <c r="F1694" s="29" t="s">
        <v>36</v>
      </c>
      <c r="G1694" s="29">
        <v>65.27</v>
      </c>
      <c r="H1694" s="71" t="s">
        <v>38</v>
      </c>
      <c r="I1694" s="37" t="s">
        <v>207</v>
      </c>
    </row>
    <row r="1695" spans="1:9" x14ac:dyDescent="0.25">
      <c r="A1695" s="29" t="s">
        <v>12</v>
      </c>
      <c r="B1695" s="29" t="s">
        <v>122</v>
      </c>
      <c r="C1695" s="29">
        <v>38774</v>
      </c>
      <c r="D1695" s="37" t="s">
        <v>1601</v>
      </c>
      <c r="E1695" s="29" t="s">
        <v>37</v>
      </c>
      <c r="F1695" s="29" t="s">
        <v>36</v>
      </c>
      <c r="G1695" s="29">
        <v>12.31</v>
      </c>
      <c r="H1695" s="71" t="s">
        <v>38</v>
      </c>
      <c r="I1695" s="37" t="s">
        <v>207</v>
      </c>
    </row>
    <row r="1696" spans="1:9" x14ac:dyDescent="0.25">
      <c r="A1696" s="29" t="s">
        <v>12</v>
      </c>
      <c r="B1696" s="29" t="s">
        <v>122</v>
      </c>
      <c r="C1696" s="29">
        <v>42247</v>
      </c>
      <c r="D1696" s="37" t="s">
        <v>1994</v>
      </c>
      <c r="E1696" s="29" t="s">
        <v>37</v>
      </c>
      <c r="F1696" s="29" t="s">
        <v>36</v>
      </c>
      <c r="G1696" s="29">
        <v>420.17</v>
      </c>
      <c r="H1696" s="71" t="s">
        <v>38</v>
      </c>
      <c r="I1696" s="37" t="s">
        <v>207</v>
      </c>
    </row>
    <row r="1697" spans="1:9" x14ac:dyDescent="0.25">
      <c r="A1697" s="29" t="s">
        <v>12</v>
      </c>
      <c r="B1697" s="29" t="s">
        <v>122</v>
      </c>
      <c r="C1697" s="29">
        <v>42248</v>
      </c>
      <c r="D1697" s="37" t="s">
        <v>1995</v>
      </c>
      <c r="E1697" s="29" t="s">
        <v>37</v>
      </c>
      <c r="F1697" s="29" t="s">
        <v>36</v>
      </c>
      <c r="G1697" s="29">
        <v>488.05</v>
      </c>
      <c r="H1697" s="71" t="s">
        <v>38</v>
      </c>
      <c r="I1697" s="37" t="s">
        <v>207</v>
      </c>
    </row>
    <row r="1698" spans="1:9" x14ac:dyDescent="0.25">
      <c r="A1698" s="29" t="s">
        <v>12</v>
      </c>
      <c r="B1698" s="29" t="s">
        <v>122</v>
      </c>
      <c r="C1698" s="29">
        <v>42249</v>
      </c>
      <c r="D1698" s="37" t="s">
        <v>1996</v>
      </c>
      <c r="E1698" s="29" t="s">
        <v>37</v>
      </c>
      <c r="F1698" s="29" t="s">
        <v>36</v>
      </c>
      <c r="G1698" s="29">
        <v>808.54</v>
      </c>
      <c r="H1698" s="71" t="s">
        <v>38</v>
      </c>
      <c r="I1698" s="37" t="s">
        <v>207</v>
      </c>
    </row>
    <row r="1699" spans="1:9" x14ac:dyDescent="0.25">
      <c r="A1699" s="29" t="s">
        <v>12</v>
      </c>
      <c r="B1699" s="29" t="s">
        <v>122</v>
      </c>
      <c r="C1699" s="29">
        <v>42244</v>
      </c>
      <c r="D1699" s="37" t="s">
        <v>1997</v>
      </c>
      <c r="E1699" s="29" t="s">
        <v>37</v>
      </c>
      <c r="F1699" s="29" t="s">
        <v>36</v>
      </c>
      <c r="G1699" s="29">
        <v>126.27</v>
      </c>
      <c r="H1699" s="71" t="s">
        <v>38</v>
      </c>
      <c r="I1699" s="37" t="s">
        <v>207</v>
      </c>
    </row>
    <row r="1700" spans="1:9" x14ac:dyDescent="0.25">
      <c r="A1700" s="29" t="s">
        <v>12</v>
      </c>
      <c r="B1700" s="29" t="s">
        <v>122</v>
      </c>
      <c r="C1700" s="29">
        <v>42245</v>
      </c>
      <c r="D1700" s="37" t="s">
        <v>1998</v>
      </c>
      <c r="E1700" s="29" t="s">
        <v>37</v>
      </c>
      <c r="F1700" s="29" t="s">
        <v>36</v>
      </c>
      <c r="G1700" s="29">
        <v>233</v>
      </c>
      <c r="H1700" s="71" t="s">
        <v>38</v>
      </c>
      <c r="I1700" s="37" t="s">
        <v>207</v>
      </c>
    </row>
    <row r="1701" spans="1:9" x14ac:dyDescent="0.25">
      <c r="A1701" s="29" t="s">
        <v>12</v>
      </c>
      <c r="B1701" s="29" t="s">
        <v>122</v>
      </c>
      <c r="C1701" s="29">
        <v>42246</v>
      </c>
      <c r="D1701" s="37" t="s">
        <v>1999</v>
      </c>
      <c r="E1701" s="29" t="s">
        <v>37</v>
      </c>
      <c r="F1701" s="29" t="s">
        <v>36</v>
      </c>
      <c r="G1701" s="29">
        <v>257.92</v>
      </c>
      <c r="H1701" s="71" t="s">
        <v>38</v>
      </c>
      <c r="I1701" s="37" t="s">
        <v>207</v>
      </c>
    </row>
    <row r="1702" spans="1:9" x14ac:dyDescent="0.25">
      <c r="A1702" s="29" t="s">
        <v>12</v>
      </c>
      <c r="B1702" s="29" t="s">
        <v>122</v>
      </c>
      <c r="C1702" s="29">
        <v>42243</v>
      </c>
      <c r="D1702" s="37" t="s">
        <v>2000</v>
      </c>
      <c r="E1702" s="29" t="s">
        <v>37</v>
      </c>
      <c r="F1702" s="29" t="s">
        <v>36</v>
      </c>
      <c r="G1702" s="29">
        <v>311.01</v>
      </c>
      <c r="H1702" s="71" t="s">
        <v>38</v>
      </c>
      <c r="I1702" s="37" t="s">
        <v>207</v>
      </c>
    </row>
    <row r="1703" spans="1:9" x14ac:dyDescent="0.25">
      <c r="A1703" s="29" t="s">
        <v>12</v>
      </c>
      <c r="B1703" s="29" t="s">
        <v>122</v>
      </c>
      <c r="C1703" s="29">
        <v>38889</v>
      </c>
      <c r="D1703" s="37" t="s">
        <v>2001</v>
      </c>
      <c r="E1703" s="29" t="s">
        <v>37</v>
      </c>
      <c r="F1703" s="29" t="s">
        <v>36</v>
      </c>
      <c r="G1703" s="29">
        <v>50.02</v>
      </c>
      <c r="H1703" s="71" t="s">
        <v>38</v>
      </c>
      <c r="I1703" s="37" t="s">
        <v>207</v>
      </c>
    </row>
    <row r="1704" spans="1:9" x14ac:dyDescent="0.25">
      <c r="A1704" s="29" t="s">
        <v>12</v>
      </c>
      <c r="B1704" s="29" t="s">
        <v>122</v>
      </c>
      <c r="C1704" s="29">
        <v>38784</v>
      </c>
      <c r="D1704" s="37" t="s">
        <v>2002</v>
      </c>
      <c r="E1704" s="29" t="s">
        <v>37</v>
      </c>
      <c r="F1704" s="29" t="s">
        <v>36</v>
      </c>
      <c r="G1704" s="29">
        <v>66.92</v>
      </c>
      <c r="H1704" s="71" t="s">
        <v>38</v>
      </c>
      <c r="I1704" s="37" t="s">
        <v>207</v>
      </c>
    </row>
    <row r="1705" spans="1:9" x14ac:dyDescent="0.25">
      <c r="A1705" s="29" t="s">
        <v>12</v>
      </c>
      <c r="B1705" s="29" t="s">
        <v>122</v>
      </c>
      <c r="C1705" s="29">
        <v>3780</v>
      </c>
      <c r="D1705" s="37" t="s">
        <v>2167</v>
      </c>
      <c r="E1705" s="29" t="s">
        <v>37</v>
      </c>
      <c r="F1705" s="29" t="s">
        <v>36</v>
      </c>
      <c r="G1705" s="29">
        <v>102.9</v>
      </c>
      <c r="H1705" s="71" t="s">
        <v>38</v>
      </c>
      <c r="I1705" s="37" t="s">
        <v>207</v>
      </c>
    </row>
    <row r="1706" spans="1:9" x14ac:dyDescent="0.25">
      <c r="A1706" s="29" t="s">
        <v>12</v>
      </c>
      <c r="B1706" s="29" t="s">
        <v>122</v>
      </c>
      <c r="C1706" s="29">
        <v>38773</v>
      </c>
      <c r="D1706" s="37" t="s">
        <v>2003</v>
      </c>
      <c r="E1706" s="29" t="s">
        <v>37</v>
      </c>
      <c r="F1706" s="29" t="s">
        <v>36</v>
      </c>
      <c r="G1706" s="29">
        <v>6.56</v>
      </c>
      <c r="H1706" s="71" t="s">
        <v>38</v>
      </c>
      <c r="I1706" s="37" t="s">
        <v>207</v>
      </c>
    </row>
    <row r="1707" spans="1:9" x14ac:dyDescent="0.25">
      <c r="A1707" s="29" t="s">
        <v>12</v>
      </c>
      <c r="B1707" s="29" t="s">
        <v>122</v>
      </c>
      <c r="C1707" s="29">
        <v>12271</v>
      </c>
      <c r="D1707" s="37" t="s">
        <v>1813</v>
      </c>
      <c r="E1707" s="29" t="s">
        <v>37</v>
      </c>
      <c r="F1707" s="29" t="s">
        <v>36</v>
      </c>
      <c r="G1707" s="29">
        <v>365.99</v>
      </c>
      <c r="H1707" s="71" t="s">
        <v>38</v>
      </c>
      <c r="I1707" s="37" t="s">
        <v>207</v>
      </c>
    </row>
    <row r="1708" spans="1:9" x14ac:dyDescent="0.25">
      <c r="A1708" s="29" t="s">
        <v>12</v>
      </c>
      <c r="B1708" s="29" t="s">
        <v>122</v>
      </c>
      <c r="C1708" s="29">
        <v>39385</v>
      </c>
      <c r="D1708" s="37" t="s">
        <v>1779</v>
      </c>
      <c r="E1708" s="29" t="s">
        <v>37</v>
      </c>
      <c r="F1708" s="29" t="s">
        <v>36</v>
      </c>
      <c r="G1708" s="29">
        <v>11.26</v>
      </c>
      <c r="H1708" s="71" t="s">
        <v>38</v>
      </c>
      <c r="I1708" s="37" t="s">
        <v>207</v>
      </c>
    </row>
    <row r="1709" spans="1:9" x14ac:dyDescent="0.25">
      <c r="A1709" s="29" t="s">
        <v>12</v>
      </c>
      <c r="B1709" s="29" t="s">
        <v>122</v>
      </c>
      <c r="C1709" s="29">
        <v>39389</v>
      </c>
      <c r="D1709" s="37" t="s">
        <v>1033</v>
      </c>
      <c r="E1709" s="29" t="s">
        <v>37</v>
      </c>
      <c r="F1709" s="29" t="s">
        <v>36</v>
      </c>
      <c r="G1709" s="29">
        <v>12.21</v>
      </c>
      <c r="H1709" s="71" t="s">
        <v>38</v>
      </c>
      <c r="I1709" s="37" t="s">
        <v>207</v>
      </c>
    </row>
    <row r="1710" spans="1:9" x14ac:dyDescent="0.25">
      <c r="A1710" s="29" t="s">
        <v>12</v>
      </c>
      <c r="B1710" s="29" t="s">
        <v>122</v>
      </c>
      <c r="C1710" s="29">
        <v>39390</v>
      </c>
      <c r="D1710" s="37" t="s">
        <v>1034</v>
      </c>
      <c r="E1710" s="29" t="s">
        <v>37</v>
      </c>
      <c r="F1710" s="29" t="s">
        <v>36</v>
      </c>
      <c r="G1710" s="29">
        <v>25.6</v>
      </c>
      <c r="H1710" s="71" t="s">
        <v>38</v>
      </c>
      <c r="I1710" s="37" t="s">
        <v>207</v>
      </c>
    </row>
    <row r="1711" spans="1:9" x14ac:dyDescent="0.25">
      <c r="A1711" s="29" t="s">
        <v>12</v>
      </c>
      <c r="B1711" s="29" t="s">
        <v>122</v>
      </c>
      <c r="C1711" s="29">
        <v>39391</v>
      </c>
      <c r="D1711" s="37" t="s">
        <v>1035</v>
      </c>
      <c r="E1711" s="29" t="s">
        <v>37</v>
      </c>
      <c r="F1711" s="29" t="s">
        <v>36</v>
      </c>
      <c r="G1711" s="29">
        <v>28.74</v>
      </c>
      <c r="H1711" s="71" t="s">
        <v>38</v>
      </c>
      <c r="I1711" s="37" t="s">
        <v>207</v>
      </c>
    </row>
    <row r="1712" spans="1:9" x14ac:dyDescent="0.25">
      <c r="A1712" s="29" t="s">
        <v>12</v>
      </c>
      <c r="B1712" s="29" t="s">
        <v>122</v>
      </c>
      <c r="C1712" s="29">
        <v>3803</v>
      </c>
      <c r="D1712" s="37" t="s">
        <v>1780</v>
      </c>
      <c r="E1712" s="29" t="s">
        <v>37</v>
      </c>
      <c r="F1712" s="29" t="s">
        <v>36</v>
      </c>
      <c r="G1712" s="29">
        <v>61.89</v>
      </c>
      <c r="H1712" s="71" t="s">
        <v>38</v>
      </c>
      <c r="I1712" s="37" t="s">
        <v>207</v>
      </c>
    </row>
    <row r="1713" spans="1:9" x14ac:dyDescent="0.25">
      <c r="A1713" s="29" t="s">
        <v>12</v>
      </c>
      <c r="B1713" s="29" t="s">
        <v>122</v>
      </c>
      <c r="C1713" s="29">
        <v>38770</v>
      </c>
      <c r="D1713" s="37" t="s">
        <v>1781</v>
      </c>
      <c r="E1713" s="29" t="s">
        <v>37</v>
      </c>
      <c r="F1713" s="29" t="s">
        <v>36</v>
      </c>
      <c r="G1713" s="29">
        <v>71.66</v>
      </c>
      <c r="H1713" s="71" t="s">
        <v>38</v>
      </c>
      <c r="I1713" s="37" t="s">
        <v>207</v>
      </c>
    </row>
    <row r="1714" spans="1:9" x14ac:dyDescent="0.25">
      <c r="A1714" s="29" t="s">
        <v>12</v>
      </c>
      <c r="B1714" s="29" t="s">
        <v>122</v>
      </c>
      <c r="C1714" s="29">
        <v>43265</v>
      </c>
      <c r="D1714" s="37" t="s">
        <v>2318</v>
      </c>
      <c r="E1714" s="29" t="s">
        <v>37</v>
      </c>
      <c r="F1714" s="29" t="s">
        <v>36</v>
      </c>
      <c r="G1714" s="29">
        <v>35.21</v>
      </c>
      <c r="H1714" s="71" t="s">
        <v>38</v>
      </c>
      <c r="I1714" s="37" t="s">
        <v>207</v>
      </c>
    </row>
    <row r="1715" spans="1:9" x14ac:dyDescent="0.25">
      <c r="A1715" s="29" t="s">
        <v>12</v>
      </c>
      <c r="B1715" s="29" t="s">
        <v>122</v>
      </c>
      <c r="C1715" s="29">
        <v>12266</v>
      </c>
      <c r="D1715" s="37" t="s">
        <v>2004</v>
      </c>
      <c r="E1715" s="29" t="s">
        <v>37</v>
      </c>
      <c r="F1715" s="29" t="s">
        <v>36</v>
      </c>
      <c r="G1715" s="29">
        <v>107.48</v>
      </c>
      <c r="H1715" s="71" t="s">
        <v>38</v>
      </c>
      <c r="I1715" s="37" t="s">
        <v>207</v>
      </c>
    </row>
    <row r="1716" spans="1:9" x14ac:dyDescent="0.25">
      <c r="A1716" s="29" t="s">
        <v>12</v>
      </c>
      <c r="B1716" s="29" t="s">
        <v>122</v>
      </c>
      <c r="C1716" s="29">
        <v>39378</v>
      </c>
      <c r="D1716" s="37" t="s">
        <v>2005</v>
      </c>
      <c r="E1716" s="29" t="s">
        <v>37</v>
      </c>
      <c r="F1716" s="29" t="s">
        <v>36</v>
      </c>
      <c r="G1716" s="29">
        <v>76.2</v>
      </c>
      <c r="H1716" s="71" t="s">
        <v>38</v>
      </c>
      <c r="I1716" s="37" t="s">
        <v>207</v>
      </c>
    </row>
    <row r="1717" spans="1:9" x14ac:dyDescent="0.25">
      <c r="A1717" s="29" t="s">
        <v>12</v>
      </c>
      <c r="B1717" s="29" t="s">
        <v>122</v>
      </c>
      <c r="C1717" s="29">
        <v>43543</v>
      </c>
      <c r="D1717" s="37" t="s">
        <v>2319</v>
      </c>
      <c r="E1717" s="29" t="s">
        <v>37</v>
      </c>
      <c r="F1717" s="29" t="s">
        <v>36</v>
      </c>
      <c r="G1717" s="29">
        <v>158.76</v>
      </c>
      <c r="H1717" s="71" t="s">
        <v>38</v>
      </c>
      <c r="I1717" s="37" t="s">
        <v>207</v>
      </c>
    </row>
    <row r="1718" spans="1:9" x14ac:dyDescent="0.25">
      <c r="A1718" s="29" t="s">
        <v>12</v>
      </c>
      <c r="B1718" s="29" t="s">
        <v>122</v>
      </c>
      <c r="C1718" s="29">
        <v>38775</v>
      </c>
      <c r="D1718" s="37" t="s">
        <v>2006</v>
      </c>
      <c r="E1718" s="29" t="s">
        <v>37</v>
      </c>
      <c r="F1718" s="29" t="s">
        <v>36</v>
      </c>
      <c r="G1718" s="29">
        <v>80.790000000000006</v>
      </c>
      <c r="H1718" s="71" t="s">
        <v>38</v>
      </c>
      <c r="I1718" s="37" t="s">
        <v>207</v>
      </c>
    </row>
    <row r="1719" spans="1:9" x14ac:dyDescent="0.25">
      <c r="A1719" s="29" t="s">
        <v>12</v>
      </c>
      <c r="B1719" s="29" t="s">
        <v>122</v>
      </c>
      <c r="C1719" s="29" t="s">
        <v>34</v>
      </c>
      <c r="D1719" s="37" t="s">
        <v>1036</v>
      </c>
      <c r="E1719" s="29" t="s">
        <v>37</v>
      </c>
      <c r="F1719" s="29" t="s">
        <v>36</v>
      </c>
      <c r="G1719" s="29">
        <v>11.99</v>
      </c>
      <c r="H1719" s="71" t="s">
        <v>829</v>
      </c>
      <c r="I1719" s="37" t="str">
        <f>"https://www.leroymerlin.com.br/plafonier-1-lampada-branco-plastico-round-inspire_89291433?referrer=category-page"</f>
        <v>https://www.leroymerlin.com.br/plafonier-1-lampada-branco-plastico-round-inspire_89291433?referrer=category-page</v>
      </c>
    </row>
    <row r="1720" spans="1:9" x14ac:dyDescent="0.25">
      <c r="A1720" s="29" t="s">
        <v>12</v>
      </c>
      <c r="B1720" s="29" t="s">
        <v>122</v>
      </c>
      <c r="C1720" s="29" t="s">
        <v>34</v>
      </c>
      <c r="D1720" s="37" t="s">
        <v>3290</v>
      </c>
      <c r="E1720" s="29" t="s">
        <v>37</v>
      </c>
      <c r="F1720" s="29" t="s">
        <v>36</v>
      </c>
      <c r="G1720" s="29">
        <v>59.9</v>
      </c>
      <c r="H1720" s="71" t="s">
        <v>800</v>
      </c>
      <c r="I1720" s="37" t="str">
        <f>"https://www.sodimac.com.br/sodimac-br/product/854700/refletor-ip65-led-100w-6500k/854700/"</f>
        <v>https://www.sodimac.com.br/sodimac-br/product/854700/refletor-ip65-led-100w-6500k/854700/</v>
      </c>
    </row>
    <row r="1721" spans="1:9" x14ac:dyDescent="0.25">
      <c r="A1721" s="29" t="s">
        <v>12</v>
      </c>
      <c r="B1721" s="29" t="s">
        <v>122</v>
      </c>
      <c r="C1721" s="29" t="s">
        <v>34</v>
      </c>
      <c r="D1721" s="37" t="s">
        <v>1037</v>
      </c>
      <c r="E1721" s="29" t="s">
        <v>788</v>
      </c>
      <c r="F1721" s="29" t="s">
        <v>36</v>
      </c>
      <c r="G1721" s="29">
        <v>3.33</v>
      </c>
      <c r="H1721" s="71" t="s">
        <v>740</v>
      </c>
      <c r="I1721" s="37" t="str">
        <f>"https://www.eletrotrafo.com.br/eletrocalha-galv-38x38-suporte-p-lum--curto-03030007/p?skuId=18432"</f>
        <v>https://www.eletrotrafo.com.br/eletrocalha-galv-38x38-suporte-p-lum--curto-03030007/p?skuId=18432</v>
      </c>
    </row>
    <row r="1722" spans="1:9" x14ac:dyDescent="0.25">
      <c r="A1722" s="29" t="s">
        <v>12</v>
      </c>
      <c r="B1722" s="29" t="s">
        <v>122</v>
      </c>
      <c r="C1722" s="29" t="s">
        <v>34</v>
      </c>
      <c r="D1722" s="37" t="s">
        <v>1038</v>
      </c>
      <c r="E1722" s="29" t="s">
        <v>788</v>
      </c>
      <c r="F1722" s="29" t="s">
        <v>36</v>
      </c>
      <c r="G1722" s="29">
        <v>3.71</v>
      </c>
      <c r="H1722" s="71" t="s">
        <v>740</v>
      </c>
      <c r="I1722" s="37" t="str">
        <f>"https://www.eletrotrafo.com.br/eletrocalha-galv-38x38-suporte-p-lum--93-6110-longo-07120037/p?skuId=18434"</f>
        <v>https://www.eletrotrafo.com.br/eletrocalha-galv-38x38-suporte-p-lum--93-6110-longo-07120037/p?skuId=18434</v>
      </c>
    </row>
    <row r="1723" spans="1:9" x14ac:dyDescent="0.25">
      <c r="A1723" s="29" t="s">
        <v>12</v>
      </c>
      <c r="B1723" s="29" t="s">
        <v>86</v>
      </c>
      <c r="C1723" s="29">
        <v>38064</v>
      </c>
      <c r="D1723" s="37" t="s">
        <v>1039</v>
      </c>
      <c r="E1723" s="29" t="s">
        <v>37</v>
      </c>
      <c r="F1723" s="29" t="s">
        <v>36</v>
      </c>
      <c r="G1723" s="29">
        <v>20.67</v>
      </c>
      <c r="H1723" s="71" t="s">
        <v>38</v>
      </c>
      <c r="I1723" s="37" t="s">
        <v>207</v>
      </c>
    </row>
    <row r="1724" spans="1:9" x14ac:dyDescent="0.25">
      <c r="A1724" s="29" t="s">
        <v>12</v>
      </c>
      <c r="B1724" s="29" t="s">
        <v>86</v>
      </c>
      <c r="C1724" s="29">
        <v>38114</v>
      </c>
      <c r="D1724" s="37" t="s">
        <v>1040</v>
      </c>
      <c r="E1724" s="29" t="s">
        <v>37</v>
      </c>
      <c r="F1724" s="29" t="s">
        <v>36</v>
      </c>
      <c r="G1724" s="29">
        <v>18.48</v>
      </c>
      <c r="H1724" s="71" t="s">
        <v>38</v>
      </c>
      <c r="I1724" s="37" t="s">
        <v>207</v>
      </c>
    </row>
    <row r="1725" spans="1:9" x14ac:dyDescent="0.25">
      <c r="A1725" s="29" t="s">
        <v>12</v>
      </c>
      <c r="B1725" s="29" t="s">
        <v>86</v>
      </c>
      <c r="C1725" s="29">
        <v>38115</v>
      </c>
      <c r="D1725" s="37" t="s">
        <v>1041</v>
      </c>
      <c r="E1725" s="29" t="s">
        <v>37</v>
      </c>
      <c r="F1725" s="29" t="s">
        <v>36</v>
      </c>
      <c r="G1725" s="29">
        <v>19.73</v>
      </c>
      <c r="H1725" s="71" t="s">
        <v>38</v>
      </c>
      <c r="I1725" s="37" t="s">
        <v>207</v>
      </c>
    </row>
    <row r="1726" spans="1:9" x14ac:dyDescent="0.25">
      <c r="A1726" s="29" t="s">
        <v>12</v>
      </c>
      <c r="B1726" s="29" t="s">
        <v>86</v>
      </c>
      <c r="C1726" s="29">
        <v>38065</v>
      </c>
      <c r="D1726" s="37" t="s">
        <v>1042</v>
      </c>
      <c r="E1726" s="29" t="s">
        <v>37</v>
      </c>
      <c r="F1726" s="29" t="s">
        <v>36</v>
      </c>
      <c r="G1726" s="29">
        <v>29.32</v>
      </c>
      <c r="H1726" s="71" t="s">
        <v>38</v>
      </c>
      <c r="I1726" s="37" t="s">
        <v>207</v>
      </c>
    </row>
    <row r="1727" spans="1:9" x14ac:dyDescent="0.25">
      <c r="A1727" s="29" t="s">
        <v>12</v>
      </c>
      <c r="B1727" s="29" t="s">
        <v>86</v>
      </c>
      <c r="C1727" s="29">
        <v>38078</v>
      </c>
      <c r="D1727" s="37" t="s">
        <v>1043</v>
      </c>
      <c r="E1727" s="29" t="s">
        <v>37</v>
      </c>
      <c r="F1727" s="29" t="s">
        <v>36</v>
      </c>
      <c r="G1727" s="29">
        <v>17.11</v>
      </c>
      <c r="H1727" s="71" t="s">
        <v>38</v>
      </c>
      <c r="I1727" s="37" t="s">
        <v>207</v>
      </c>
    </row>
    <row r="1728" spans="1:9" x14ac:dyDescent="0.25">
      <c r="A1728" s="29" t="s">
        <v>12</v>
      </c>
      <c r="B1728" s="29" t="s">
        <v>86</v>
      </c>
      <c r="C1728" s="29">
        <v>38113</v>
      </c>
      <c r="D1728" s="37" t="s">
        <v>1044</v>
      </c>
      <c r="E1728" s="29" t="s">
        <v>37</v>
      </c>
      <c r="F1728" s="29" t="s">
        <v>36</v>
      </c>
      <c r="G1728" s="29">
        <v>9.2899999999999991</v>
      </c>
      <c r="H1728" s="71" t="s">
        <v>38</v>
      </c>
      <c r="I1728" s="37" t="s">
        <v>207</v>
      </c>
    </row>
    <row r="1729" spans="1:9" x14ac:dyDescent="0.25">
      <c r="A1729" s="29" t="s">
        <v>12</v>
      </c>
      <c r="B1729" s="29" t="s">
        <v>86</v>
      </c>
      <c r="C1729" s="29">
        <v>38063</v>
      </c>
      <c r="D1729" s="37" t="s">
        <v>1045</v>
      </c>
      <c r="E1729" s="29" t="s">
        <v>37</v>
      </c>
      <c r="F1729" s="29" t="s">
        <v>36</v>
      </c>
      <c r="G1729" s="29">
        <v>9.9700000000000006</v>
      </c>
      <c r="H1729" s="71" t="s">
        <v>38</v>
      </c>
      <c r="I1729" s="37" t="s">
        <v>207</v>
      </c>
    </row>
    <row r="1730" spans="1:9" x14ac:dyDescent="0.25">
      <c r="A1730" s="29" t="s">
        <v>12</v>
      </c>
      <c r="B1730" s="29" t="s">
        <v>86</v>
      </c>
      <c r="C1730" s="29">
        <v>38073</v>
      </c>
      <c r="D1730" s="37" t="s">
        <v>1046</v>
      </c>
      <c r="E1730" s="29" t="s">
        <v>37</v>
      </c>
      <c r="F1730" s="29" t="s">
        <v>36</v>
      </c>
      <c r="G1730" s="29">
        <v>24.19</v>
      </c>
      <c r="H1730" s="71" t="s">
        <v>38</v>
      </c>
      <c r="I1730" s="37" t="s">
        <v>207</v>
      </c>
    </row>
    <row r="1731" spans="1:9" x14ac:dyDescent="0.25">
      <c r="A1731" s="29" t="s">
        <v>12</v>
      </c>
      <c r="B1731" s="29" t="s">
        <v>86</v>
      </c>
      <c r="C1731" s="29">
        <v>38080</v>
      </c>
      <c r="D1731" s="37" t="s">
        <v>1047</v>
      </c>
      <c r="E1731" s="29" t="s">
        <v>37</v>
      </c>
      <c r="F1731" s="29" t="s">
        <v>36</v>
      </c>
      <c r="G1731" s="29">
        <v>29.71</v>
      </c>
      <c r="H1731" s="71" t="s">
        <v>38</v>
      </c>
      <c r="I1731" s="37" t="s">
        <v>207</v>
      </c>
    </row>
    <row r="1732" spans="1:9" x14ac:dyDescent="0.25">
      <c r="A1732" s="29" t="s">
        <v>12</v>
      </c>
      <c r="B1732" s="29" t="s">
        <v>86</v>
      </c>
      <c r="C1732" s="29">
        <v>38069</v>
      </c>
      <c r="D1732" s="37" t="s">
        <v>1048</v>
      </c>
      <c r="E1732" s="29" t="s">
        <v>37</v>
      </c>
      <c r="F1732" s="29" t="s">
        <v>36</v>
      </c>
      <c r="G1732" s="29">
        <v>16.25</v>
      </c>
      <c r="H1732" s="71" t="s">
        <v>38</v>
      </c>
      <c r="I1732" s="37" t="s">
        <v>207</v>
      </c>
    </row>
    <row r="1733" spans="1:9" x14ac:dyDescent="0.25">
      <c r="A1733" s="29" t="s">
        <v>12</v>
      </c>
      <c r="B1733" s="29" t="s">
        <v>86</v>
      </c>
      <c r="C1733" s="29">
        <v>38077</v>
      </c>
      <c r="D1733" s="37" t="s">
        <v>1049</v>
      </c>
      <c r="E1733" s="29" t="s">
        <v>37</v>
      </c>
      <c r="F1733" s="29" t="s">
        <v>36</v>
      </c>
      <c r="G1733" s="29">
        <v>15.88</v>
      </c>
      <c r="H1733" s="71" t="s">
        <v>38</v>
      </c>
      <c r="I1733" s="37" t="s">
        <v>207</v>
      </c>
    </row>
    <row r="1734" spans="1:9" x14ac:dyDescent="0.25">
      <c r="A1734" s="29" t="s">
        <v>12</v>
      </c>
      <c r="B1734" s="29" t="s">
        <v>86</v>
      </c>
      <c r="C1734" s="29">
        <v>38112</v>
      </c>
      <c r="D1734" s="37" t="s">
        <v>1050</v>
      </c>
      <c r="E1734" s="29" t="s">
        <v>37</v>
      </c>
      <c r="F1734" s="29" t="s">
        <v>36</v>
      </c>
      <c r="G1734" s="29">
        <v>7.13</v>
      </c>
      <c r="H1734" s="71" t="s">
        <v>38</v>
      </c>
      <c r="I1734" s="37" t="s">
        <v>207</v>
      </c>
    </row>
    <row r="1735" spans="1:9" x14ac:dyDescent="0.25">
      <c r="A1735" s="29" t="s">
        <v>12</v>
      </c>
      <c r="B1735" s="29" t="s">
        <v>86</v>
      </c>
      <c r="C1735" s="29">
        <v>38062</v>
      </c>
      <c r="D1735" s="37" t="s">
        <v>1051</v>
      </c>
      <c r="E1735" s="29" t="s">
        <v>37</v>
      </c>
      <c r="F1735" s="29" t="s">
        <v>36</v>
      </c>
      <c r="G1735" s="29">
        <v>7.32</v>
      </c>
      <c r="H1735" s="71" t="s">
        <v>38</v>
      </c>
      <c r="I1735" s="37" t="s">
        <v>207</v>
      </c>
    </row>
    <row r="1736" spans="1:9" x14ac:dyDescent="0.25">
      <c r="A1736" s="29" t="s">
        <v>12</v>
      </c>
      <c r="B1736" s="29" t="s">
        <v>86</v>
      </c>
      <c r="C1736" s="29">
        <v>12129</v>
      </c>
      <c r="D1736" s="37" t="s">
        <v>1052</v>
      </c>
      <c r="E1736" s="29" t="s">
        <v>37</v>
      </c>
      <c r="F1736" s="29" t="s">
        <v>36</v>
      </c>
      <c r="G1736" s="29">
        <v>12.94</v>
      </c>
      <c r="H1736" s="71" t="s">
        <v>38</v>
      </c>
      <c r="I1736" s="37" t="s">
        <v>207</v>
      </c>
    </row>
    <row r="1737" spans="1:9" x14ac:dyDescent="0.25">
      <c r="A1737" s="29" t="s">
        <v>12</v>
      </c>
      <c r="B1737" s="29" t="s">
        <v>86</v>
      </c>
      <c r="C1737" s="29">
        <v>12128</v>
      </c>
      <c r="D1737" s="37" t="s">
        <v>1053</v>
      </c>
      <c r="E1737" s="29" t="s">
        <v>37</v>
      </c>
      <c r="F1737" s="29" t="s">
        <v>36</v>
      </c>
      <c r="G1737" s="29">
        <v>9.7899999999999991</v>
      </c>
      <c r="H1737" s="71" t="s">
        <v>38</v>
      </c>
      <c r="I1737" s="37" t="s">
        <v>207</v>
      </c>
    </row>
    <row r="1738" spans="1:9" x14ac:dyDescent="0.25">
      <c r="A1738" s="29" t="s">
        <v>12</v>
      </c>
      <c r="B1738" s="29" t="s">
        <v>86</v>
      </c>
      <c r="C1738" s="29">
        <v>38081</v>
      </c>
      <c r="D1738" s="37" t="s">
        <v>1054</v>
      </c>
      <c r="E1738" s="29" t="s">
        <v>37</v>
      </c>
      <c r="F1738" s="29" t="s">
        <v>36</v>
      </c>
      <c r="G1738" s="29">
        <v>25.2</v>
      </c>
      <c r="H1738" s="71" t="s">
        <v>38</v>
      </c>
      <c r="I1738" s="37" t="s">
        <v>207</v>
      </c>
    </row>
    <row r="1739" spans="1:9" x14ac:dyDescent="0.25">
      <c r="A1739" s="29" t="s">
        <v>12</v>
      </c>
      <c r="B1739" s="29" t="s">
        <v>86</v>
      </c>
      <c r="C1739" s="29">
        <v>38070</v>
      </c>
      <c r="D1739" s="37" t="s">
        <v>1055</v>
      </c>
      <c r="E1739" s="29" t="s">
        <v>37</v>
      </c>
      <c r="F1739" s="29" t="s">
        <v>36</v>
      </c>
      <c r="G1739" s="29">
        <v>17.36</v>
      </c>
      <c r="H1739" s="71" t="s">
        <v>38</v>
      </c>
      <c r="I1739" s="37" t="s">
        <v>207</v>
      </c>
    </row>
    <row r="1740" spans="1:9" x14ac:dyDescent="0.25">
      <c r="A1740" s="29" t="s">
        <v>12</v>
      </c>
      <c r="B1740" s="29" t="s">
        <v>86</v>
      </c>
      <c r="C1740" s="29">
        <v>38074</v>
      </c>
      <c r="D1740" s="37" t="s">
        <v>1056</v>
      </c>
      <c r="E1740" s="29" t="s">
        <v>37</v>
      </c>
      <c r="F1740" s="29" t="s">
        <v>36</v>
      </c>
      <c r="G1740" s="29">
        <v>26.4</v>
      </c>
      <c r="H1740" s="71" t="s">
        <v>38</v>
      </c>
      <c r="I1740" s="37" t="s">
        <v>207</v>
      </c>
    </row>
    <row r="1741" spans="1:9" x14ac:dyDescent="0.25">
      <c r="A1741" s="29" t="s">
        <v>12</v>
      </c>
      <c r="B1741" s="29" t="s">
        <v>86</v>
      </c>
      <c r="C1741" s="29">
        <v>38072</v>
      </c>
      <c r="D1741" s="37" t="s">
        <v>1057</v>
      </c>
      <c r="E1741" s="29" t="s">
        <v>37</v>
      </c>
      <c r="F1741" s="29" t="s">
        <v>36</v>
      </c>
      <c r="G1741" s="29">
        <v>21.78</v>
      </c>
      <c r="H1741" s="71" t="s">
        <v>38</v>
      </c>
      <c r="I1741" s="37" t="s">
        <v>207</v>
      </c>
    </row>
    <row r="1742" spans="1:9" x14ac:dyDescent="0.25">
      <c r="A1742" s="29" t="s">
        <v>12</v>
      </c>
      <c r="B1742" s="29" t="s">
        <v>86</v>
      </c>
      <c r="C1742" s="29">
        <v>38079</v>
      </c>
      <c r="D1742" s="37" t="s">
        <v>1058</v>
      </c>
      <c r="E1742" s="29" t="s">
        <v>37</v>
      </c>
      <c r="F1742" s="29" t="s">
        <v>36</v>
      </c>
      <c r="G1742" s="29">
        <v>22.66</v>
      </c>
      <c r="H1742" s="71" t="s">
        <v>38</v>
      </c>
      <c r="I1742" s="37" t="s">
        <v>207</v>
      </c>
    </row>
    <row r="1743" spans="1:9" x14ac:dyDescent="0.25">
      <c r="A1743" s="29" t="s">
        <v>12</v>
      </c>
      <c r="B1743" s="29" t="s">
        <v>86</v>
      </c>
      <c r="C1743" s="29">
        <v>38068</v>
      </c>
      <c r="D1743" s="37" t="s">
        <v>1059</v>
      </c>
      <c r="E1743" s="29" t="s">
        <v>37</v>
      </c>
      <c r="F1743" s="29" t="s">
        <v>36</v>
      </c>
      <c r="G1743" s="29">
        <v>15.03</v>
      </c>
      <c r="H1743" s="71" t="s">
        <v>38</v>
      </c>
      <c r="I1743" s="37" t="s">
        <v>207</v>
      </c>
    </row>
    <row r="1744" spans="1:9" x14ac:dyDescent="0.25">
      <c r="A1744" s="29" t="s">
        <v>12</v>
      </c>
      <c r="B1744" s="29" t="s">
        <v>86</v>
      </c>
      <c r="C1744" s="29">
        <v>38071</v>
      </c>
      <c r="D1744" s="37" t="s">
        <v>1060</v>
      </c>
      <c r="E1744" s="29" t="s">
        <v>37</v>
      </c>
      <c r="F1744" s="29" t="s">
        <v>36</v>
      </c>
      <c r="G1744" s="29">
        <v>17.97</v>
      </c>
      <c r="H1744" s="71" t="s">
        <v>38</v>
      </c>
      <c r="I1744" s="37" t="s">
        <v>207</v>
      </c>
    </row>
    <row r="1745" spans="1:9" x14ac:dyDescent="0.25">
      <c r="A1745" s="29" t="s">
        <v>12</v>
      </c>
      <c r="B1745" s="29" t="s">
        <v>95</v>
      </c>
      <c r="C1745" s="29">
        <v>3405</v>
      </c>
      <c r="D1745" s="37" t="s">
        <v>3291</v>
      </c>
      <c r="E1745" s="29" t="s">
        <v>37</v>
      </c>
      <c r="F1745" s="29" t="s">
        <v>36</v>
      </c>
      <c r="G1745" s="29">
        <v>76.930000000000007</v>
      </c>
      <c r="H1745" s="71" t="s">
        <v>38</v>
      </c>
      <c r="I1745" s="37" t="s">
        <v>207</v>
      </c>
    </row>
    <row r="1746" spans="1:9" x14ac:dyDescent="0.25">
      <c r="A1746" s="29" t="s">
        <v>12</v>
      </c>
      <c r="B1746" s="29" t="s">
        <v>95</v>
      </c>
      <c r="C1746" s="29">
        <v>3394</v>
      </c>
      <c r="D1746" s="37" t="s">
        <v>3292</v>
      </c>
      <c r="E1746" s="29" t="s">
        <v>37</v>
      </c>
      <c r="F1746" s="29" t="s">
        <v>36</v>
      </c>
      <c r="G1746" s="29">
        <v>406.13</v>
      </c>
      <c r="H1746" s="71" t="s">
        <v>38</v>
      </c>
      <c r="I1746" s="37" t="s">
        <v>207</v>
      </c>
    </row>
    <row r="1747" spans="1:9" x14ac:dyDescent="0.25">
      <c r="A1747" s="29" t="s">
        <v>12</v>
      </c>
      <c r="B1747" s="29" t="s">
        <v>95</v>
      </c>
      <c r="C1747" s="29">
        <v>3393</v>
      </c>
      <c r="D1747" s="37" t="s">
        <v>3293</v>
      </c>
      <c r="E1747" s="29" t="s">
        <v>37</v>
      </c>
      <c r="F1747" s="29" t="s">
        <v>36</v>
      </c>
      <c r="G1747" s="29">
        <v>691.48</v>
      </c>
      <c r="H1747" s="71" t="s">
        <v>38</v>
      </c>
      <c r="I1747" s="37" t="s">
        <v>207</v>
      </c>
    </row>
    <row r="1748" spans="1:9" x14ac:dyDescent="0.25">
      <c r="A1748" s="29" t="s">
        <v>12</v>
      </c>
      <c r="B1748" s="29" t="s">
        <v>95</v>
      </c>
      <c r="C1748" s="29">
        <v>3406</v>
      </c>
      <c r="D1748" s="37" t="s">
        <v>3294</v>
      </c>
      <c r="E1748" s="29" t="s">
        <v>37</v>
      </c>
      <c r="F1748" s="29" t="s">
        <v>36</v>
      </c>
      <c r="G1748" s="29">
        <v>23.55</v>
      </c>
      <c r="H1748" s="71" t="s">
        <v>38</v>
      </c>
      <c r="I1748" s="37" t="s">
        <v>207</v>
      </c>
    </row>
    <row r="1749" spans="1:9" x14ac:dyDescent="0.25">
      <c r="A1749" s="29" t="s">
        <v>12</v>
      </c>
      <c r="B1749" s="29" t="s">
        <v>95</v>
      </c>
      <c r="C1749" s="29">
        <v>3395</v>
      </c>
      <c r="D1749" s="37" t="s">
        <v>3295</v>
      </c>
      <c r="E1749" s="29" t="s">
        <v>37</v>
      </c>
      <c r="F1749" s="29" t="s">
        <v>36</v>
      </c>
      <c r="G1749" s="29">
        <v>99.34</v>
      </c>
      <c r="H1749" s="71" t="s">
        <v>38</v>
      </c>
      <c r="I1749" s="37" t="s">
        <v>207</v>
      </c>
    </row>
    <row r="1750" spans="1:9" x14ac:dyDescent="0.25">
      <c r="A1750" s="29" t="s">
        <v>12</v>
      </c>
      <c r="B1750" s="29" t="s">
        <v>95</v>
      </c>
      <c r="C1750" s="29">
        <v>3398</v>
      </c>
      <c r="D1750" s="37" t="s">
        <v>2007</v>
      </c>
      <c r="E1750" s="29" t="s">
        <v>37</v>
      </c>
      <c r="F1750" s="29" t="s">
        <v>36</v>
      </c>
      <c r="G1750" s="29">
        <v>4.72</v>
      </c>
      <c r="H1750" s="71" t="s">
        <v>38</v>
      </c>
      <c r="I1750" s="37" t="s">
        <v>207</v>
      </c>
    </row>
    <row r="1751" spans="1:9" x14ac:dyDescent="0.25">
      <c r="A1751" s="29" t="s">
        <v>12</v>
      </c>
      <c r="B1751" s="29" t="s">
        <v>805</v>
      </c>
      <c r="C1751" s="29" t="s">
        <v>34</v>
      </c>
      <c r="D1751" s="37" t="s">
        <v>1330</v>
      </c>
      <c r="E1751" s="29" t="s">
        <v>798</v>
      </c>
      <c r="F1751" s="29" t="s">
        <v>36</v>
      </c>
      <c r="G1751" s="29">
        <v>25.95</v>
      </c>
      <c r="H1751" s="71" t="s">
        <v>800</v>
      </c>
      <c r="I1751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1752" spans="1:9" x14ac:dyDescent="0.25">
      <c r="A1752" s="29" t="s">
        <v>12</v>
      </c>
      <c r="B1752" s="29" t="s">
        <v>805</v>
      </c>
      <c r="C1752" s="29" t="s">
        <v>34</v>
      </c>
      <c r="D1752" s="37" t="s">
        <v>1331</v>
      </c>
      <c r="E1752" s="29" t="s">
        <v>798</v>
      </c>
      <c r="F1752" s="29" t="s">
        <v>36</v>
      </c>
      <c r="G1752" s="29">
        <v>36.75</v>
      </c>
      <c r="H1752" s="71" t="s">
        <v>800</v>
      </c>
      <c r="I1752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1753" spans="1:9" x14ac:dyDescent="0.25">
      <c r="A1753" s="29" t="s">
        <v>12</v>
      </c>
      <c r="B1753" s="29" t="s">
        <v>805</v>
      </c>
      <c r="C1753" s="29" t="s">
        <v>34</v>
      </c>
      <c r="D1753" s="37" t="s">
        <v>1332</v>
      </c>
      <c r="E1753" s="29" t="s">
        <v>798</v>
      </c>
      <c r="F1753" s="29" t="s">
        <v>36</v>
      </c>
      <c r="G1753" s="29">
        <v>57.6</v>
      </c>
      <c r="H1753" s="71" t="s">
        <v>800</v>
      </c>
      <c r="I1753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1754" spans="1:9" x14ac:dyDescent="0.25">
      <c r="A1754" s="29" t="s">
        <v>12</v>
      </c>
      <c r="B1754" s="29" t="s">
        <v>805</v>
      </c>
      <c r="C1754" s="29" t="s">
        <v>34</v>
      </c>
      <c r="D1754" s="37" t="s">
        <v>1333</v>
      </c>
      <c r="E1754" s="29" t="s">
        <v>798</v>
      </c>
      <c r="F1754" s="29" t="s">
        <v>36</v>
      </c>
      <c r="G1754" s="29">
        <v>68.45</v>
      </c>
      <c r="H1754" s="71" t="s">
        <v>800</v>
      </c>
      <c r="I1754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1755" spans="1:9" x14ac:dyDescent="0.25">
      <c r="A1755" s="29" t="s">
        <v>12</v>
      </c>
      <c r="B1755" s="29" t="s">
        <v>805</v>
      </c>
      <c r="C1755" s="29" t="s">
        <v>34</v>
      </c>
      <c r="D1755" s="37" t="s">
        <v>1334</v>
      </c>
      <c r="E1755" s="29" t="s">
        <v>792</v>
      </c>
      <c r="F1755" s="29" t="s">
        <v>36</v>
      </c>
      <c r="G1755" s="29">
        <v>18.399999999999999</v>
      </c>
      <c r="H1755" s="71" t="s">
        <v>740</v>
      </c>
      <c r="I1755" s="37" t="str">
        <f>"https://www.marmota.com.br/mao-francesa-reforcada-200mm-perfilex-p49443?pp=/182.1443/"</f>
        <v>https://www.marmota.com.br/mao-francesa-reforcada-200mm-perfilex-p49443?pp=/182.1443/</v>
      </c>
    </row>
    <row r="1756" spans="1:9" x14ac:dyDescent="0.25">
      <c r="A1756" s="29" t="s">
        <v>12</v>
      </c>
      <c r="B1756" s="29" t="s">
        <v>805</v>
      </c>
      <c r="C1756" s="29" t="s">
        <v>34</v>
      </c>
      <c r="D1756" s="37" t="s">
        <v>1335</v>
      </c>
      <c r="E1756" s="29" t="s">
        <v>792</v>
      </c>
      <c r="F1756" s="29" t="s">
        <v>36</v>
      </c>
      <c r="G1756" s="29">
        <v>23.69</v>
      </c>
      <c r="H1756" s="71" t="s">
        <v>740</v>
      </c>
      <c r="I1756" s="37" t="str">
        <f>"https://www.marmota.com.br/mao-francesa-reforcada-300mm-perfilex-p52923?pp=/182.1443/"</f>
        <v>https://www.marmota.com.br/mao-francesa-reforcada-300mm-perfilex-p52923?pp=/182.1443/</v>
      </c>
    </row>
    <row r="1757" spans="1:9" x14ac:dyDescent="0.25">
      <c r="A1757" s="29" t="s">
        <v>12</v>
      </c>
      <c r="B1757" s="29" t="s">
        <v>805</v>
      </c>
      <c r="C1757" s="29" t="s">
        <v>34</v>
      </c>
      <c r="D1757" s="37" t="s">
        <v>1336</v>
      </c>
      <c r="E1757" s="29" t="s">
        <v>792</v>
      </c>
      <c r="F1757" s="29" t="s">
        <v>36</v>
      </c>
      <c r="G1757" s="29">
        <v>45.88</v>
      </c>
      <c r="H1757" s="71" t="s">
        <v>793</v>
      </c>
      <c r="I1757" s="37" t="str">
        <f>"https://www.marmota.com.br/mao-francesa-reforcada-500mm-perfilex-p52932?pp=/182.1443/"</f>
        <v>https://www.marmota.com.br/mao-francesa-reforcada-500mm-perfilex-p52932?pp=/182.1443/</v>
      </c>
    </row>
    <row r="1758" spans="1:9" x14ac:dyDescent="0.25">
      <c r="A1758" s="29" t="s">
        <v>12</v>
      </c>
      <c r="B1758" s="29" t="s">
        <v>805</v>
      </c>
      <c r="C1758" s="29" t="s">
        <v>34</v>
      </c>
      <c r="D1758" s="37" t="s">
        <v>1337</v>
      </c>
      <c r="E1758" s="29" t="s">
        <v>798</v>
      </c>
      <c r="F1758" s="29" t="s">
        <v>36</v>
      </c>
      <c r="G1758" s="29">
        <v>6.9</v>
      </c>
      <c r="H1758" s="71" t="s">
        <v>800</v>
      </c>
      <c r="I1758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1759" spans="1:9" x14ac:dyDescent="0.25">
      <c r="A1759" s="29" t="s">
        <v>12</v>
      </c>
      <c r="B1759" s="29" t="s">
        <v>805</v>
      </c>
      <c r="C1759" s="29" t="s">
        <v>34</v>
      </c>
      <c r="D1759" s="37" t="s">
        <v>1338</v>
      </c>
      <c r="E1759" s="29" t="s">
        <v>798</v>
      </c>
      <c r="F1759" s="29" t="s">
        <v>36</v>
      </c>
      <c r="G1759" s="29">
        <v>9.3000000000000007</v>
      </c>
      <c r="H1759" s="71" t="s">
        <v>800</v>
      </c>
      <c r="I1759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1760" spans="1:9" x14ac:dyDescent="0.25">
      <c r="A1760" s="29" t="s">
        <v>12</v>
      </c>
      <c r="B1760" s="29" t="s">
        <v>805</v>
      </c>
      <c r="C1760" s="29" t="s">
        <v>34</v>
      </c>
      <c r="D1760" s="37" t="s">
        <v>1339</v>
      </c>
      <c r="E1760" s="29" t="s">
        <v>798</v>
      </c>
      <c r="F1760" s="29" t="s">
        <v>36</v>
      </c>
      <c r="G1760" s="29">
        <v>9.65</v>
      </c>
      <c r="H1760" s="71" t="s">
        <v>800</v>
      </c>
      <c r="I1760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1761" spans="1:9" x14ac:dyDescent="0.25">
      <c r="A1761" s="29" t="s">
        <v>12</v>
      </c>
      <c r="B1761" s="29" t="s">
        <v>805</v>
      </c>
      <c r="C1761" s="29" t="s">
        <v>34</v>
      </c>
      <c r="D1761" s="37" t="s">
        <v>1340</v>
      </c>
      <c r="E1761" s="29" t="s">
        <v>798</v>
      </c>
      <c r="F1761" s="29" t="s">
        <v>36</v>
      </c>
      <c r="G1761" s="29">
        <v>15.1</v>
      </c>
      <c r="H1761" s="71" t="s">
        <v>800</v>
      </c>
      <c r="I1761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1762" spans="1:9" x14ac:dyDescent="0.25">
      <c r="A1762" s="29" t="s">
        <v>12</v>
      </c>
      <c r="B1762" s="29" t="s">
        <v>805</v>
      </c>
      <c r="C1762" s="29" t="s">
        <v>34</v>
      </c>
      <c r="D1762" s="37" t="s">
        <v>1341</v>
      </c>
      <c r="E1762" s="29" t="s">
        <v>798</v>
      </c>
      <c r="F1762" s="29" t="s">
        <v>36</v>
      </c>
      <c r="G1762" s="29">
        <v>21.5</v>
      </c>
      <c r="H1762" s="71" t="s">
        <v>800</v>
      </c>
      <c r="I1762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1763" spans="1:9" x14ac:dyDescent="0.25">
      <c r="A1763" s="29" t="s">
        <v>12</v>
      </c>
      <c r="B1763" s="29" t="s">
        <v>805</v>
      </c>
      <c r="C1763" s="29" t="s">
        <v>34</v>
      </c>
      <c r="D1763" s="37" t="s">
        <v>1342</v>
      </c>
      <c r="E1763" s="29" t="s">
        <v>792</v>
      </c>
      <c r="F1763" s="29" t="s">
        <v>36</v>
      </c>
      <c r="G1763" s="29">
        <v>5.21</v>
      </c>
      <c r="H1763" s="71" t="s">
        <v>793</v>
      </c>
      <c r="I1763" s="37" t="str">
        <f>"https://www.marmota.com.br/mao-francesa-simples-100mm-perfilex-p49146?pp=/182.1443/"</f>
        <v>https://www.marmota.com.br/mao-francesa-simples-100mm-perfilex-p49146?pp=/182.1443/</v>
      </c>
    </row>
    <row r="1764" spans="1:9" x14ac:dyDescent="0.25">
      <c r="A1764" s="29" t="s">
        <v>12</v>
      </c>
      <c r="B1764" s="29" t="s">
        <v>805</v>
      </c>
      <c r="C1764" s="29" t="s">
        <v>34</v>
      </c>
      <c r="D1764" s="37" t="s">
        <v>1343</v>
      </c>
      <c r="E1764" s="29" t="s">
        <v>792</v>
      </c>
      <c r="F1764" s="29" t="s">
        <v>36</v>
      </c>
      <c r="G1764" s="29">
        <v>6.61</v>
      </c>
      <c r="H1764" s="71" t="s">
        <v>793</v>
      </c>
      <c r="I1764" s="37" t="str">
        <f>"https://www.marmota.com.br/mao-francesa-simples-150mm-perfilex-p51248?pp=/182.1443/"</f>
        <v>https://www.marmota.com.br/mao-francesa-simples-150mm-perfilex-p51248?pp=/182.1443/</v>
      </c>
    </row>
    <row r="1765" spans="1:9" x14ac:dyDescent="0.25">
      <c r="A1765" s="29" t="s">
        <v>12</v>
      </c>
      <c r="B1765" s="29" t="s">
        <v>805</v>
      </c>
      <c r="C1765" s="29" t="s">
        <v>34</v>
      </c>
      <c r="D1765" s="37" t="s">
        <v>1344</v>
      </c>
      <c r="E1765" s="29" t="s">
        <v>792</v>
      </c>
      <c r="F1765" s="29" t="s">
        <v>36</v>
      </c>
      <c r="G1765" s="29">
        <v>7.88</v>
      </c>
      <c r="H1765" s="71" t="s">
        <v>793</v>
      </c>
      <c r="I1765" s="37" t="str">
        <f>"https://www.marmota.com.br/mao-francesa-simples-200mm-perfilex-p51176?pp=/182.1443/"</f>
        <v>https://www.marmota.com.br/mao-francesa-simples-200mm-perfilex-p51176?pp=/182.1443/</v>
      </c>
    </row>
    <row r="1766" spans="1:9" x14ac:dyDescent="0.25">
      <c r="A1766" s="29" t="s">
        <v>12</v>
      </c>
      <c r="B1766" s="29" t="s">
        <v>805</v>
      </c>
      <c r="C1766" s="29" t="s">
        <v>34</v>
      </c>
      <c r="D1766" s="37" t="s">
        <v>1345</v>
      </c>
      <c r="E1766" s="29" t="s">
        <v>792</v>
      </c>
      <c r="F1766" s="29" t="s">
        <v>36</v>
      </c>
      <c r="G1766" s="29">
        <v>10.7</v>
      </c>
      <c r="H1766" s="71" t="s">
        <v>793</v>
      </c>
      <c r="I1766" s="37" t="str">
        <f>"https://www.marmota.com.br/mao-francesa-simples-300mm-perfilex-p50475?pp=/182.1443/"</f>
        <v>https://www.marmota.com.br/mao-francesa-simples-300mm-perfilex-p50475?pp=/182.1443/</v>
      </c>
    </row>
    <row r="1767" spans="1:9" x14ac:dyDescent="0.25">
      <c r="A1767" s="29" t="s">
        <v>12</v>
      </c>
      <c r="B1767" s="29" t="s">
        <v>805</v>
      </c>
      <c r="C1767" s="29" t="s">
        <v>34</v>
      </c>
      <c r="D1767" s="37" t="s">
        <v>1346</v>
      </c>
      <c r="E1767" s="29" t="s">
        <v>792</v>
      </c>
      <c r="F1767" s="29" t="s">
        <v>36</v>
      </c>
      <c r="G1767" s="29">
        <v>19.2</v>
      </c>
      <c r="H1767" s="71" t="s">
        <v>793</v>
      </c>
      <c r="I1767" s="37" t="str">
        <f>"https://www.marmota.com.br/mao-francesa-simples-400mm-perfilex-pr-13145-338ms0400-p53840?pp=/182.1443/"</f>
        <v>https://www.marmota.com.br/mao-francesa-simples-400mm-perfilex-pr-13145-338ms0400-p53840?pp=/182.1443/</v>
      </c>
    </row>
    <row r="1768" spans="1:9" x14ac:dyDescent="0.25">
      <c r="A1768" s="29" t="s">
        <v>12</v>
      </c>
      <c r="B1768" s="29" t="s">
        <v>805</v>
      </c>
      <c r="C1768" s="29" t="s">
        <v>34</v>
      </c>
      <c r="D1768" s="37" t="s">
        <v>1347</v>
      </c>
      <c r="E1768" s="29" t="s">
        <v>792</v>
      </c>
      <c r="F1768" s="29" t="s">
        <v>36</v>
      </c>
      <c r="G1768" s="29">
        <v>28.86</v>
      </c>
      <c r="H1768" s="71" t="s">
        <v>793</v>
      </c>
      <c r="I1768" s="37" t="str">
        <f>"https://www.marmota.com.br/mao-francesa-simples-500mm-perfilex-p52919?pp=/182.1443/"</f>
        <v>https://www.marmota.com.br/mao-francesa-simples-500mm-perfilex-p52919?pp=/182.1443/</v>
      </c>
    </row>
    <row r="1769" spans="1:9" x14ac:dyDescent="0.25">
      <c r="A1769" s="29" t="s">
        <v>12</v>
      </c>
      <c r="B1769" s="29" t="s">
        <v>805</v>
      </c>
      <c r="C1769" s="29" t="s">
        <v>34</v>
      </c>
      <c r="D1769" s="37" t="s">
        <v>1348</v>
      </c>
      <c r="E1769" s="29" t="s">
        <v>792</v>
      </c>
      <c r="F1769" s="29" t="s">
        <v>36</v>
      </c>
      <c r="G1769" s="29">
        <v>4.2300000000000004</v>
      </c>
      <c r="H1769" s="71" t="s">
        <v>793</v>
      </c>
      <c r="I1769" s="37" t="str">
        <f>"https://www.marmota.com.br/mao-francesa-simples-50mm-perfilex-p50966?pp=/182.1443/"</f>
        <v>https://www.marmota.com.br/mao-francesa-simples-50mm-perfilex-p50966?pp=/182.1443/</v>
      </c>
    </row>
    <row r="1770" spans="1:9" x14ac:dyDescent="0.25">
      <c r="A1770" s="29" t="s">
        <v>12</v>
      </c>
      <c r="B1770" s="29" t="s">
        <v>805</v>
      </c>
      <c r="C1770" s="29" t="s">
        <v>34</v>
      </c>
      <c r="D1770" s="37" t="s">
        <v>1349</v>
      </c>
      <c r="E1770" s="29" t="s">
        <v>792</v>
      </c>
      <c r="F1770" s="29" t="s">
        <v>36</v>
      </c>
      <c r="G1770" s="29">
        <v>33.18</v>
      </c>
      <c r="H1770" s="71" t="s">
        <v>793</v>
      </c>
      <c r="I1770" s="37" t="str">
        <f>"https://www.marmota.com.br/mao-francesa-simples-600mm-perfilex-p52935?pp=/182.1443/"</f>
        <v>https://www.marmota.com.br/mao-francesa-simples-600mm-perfilex-p52935?pp=/182.1443/</v>
      </c>
    </row>
    <row r="1771" spans="1:9" x14ac:dyDescent="0.25">
      <c r="A1771" s="29" t="s">
        <v>12</v>
      </c>
      <c r="B1771" s="29" t="s">
        <v>96</v>
      </c>
      <c r="C1771" s="29" t="s">
        <v>34</v>
      </c>
      <c r="D1771" s="37" t="s">
        <v>1061</v>
      </c>
      <c r="E1771" s="29" t="s">
        <v>109</v>
      </c>
      <c r="F1771" s="29" t="s">
        <v>36</v>
      </c>
      <c r="G1771" s="29">
        <v>1697</v>
      </c>
      <c r="H1771" s="71" t="s">
        <v>800</v>
      </c>
      <c r="I1771" s="37" t="str">
        <f>"https://www.avantistore.com.br/nobreak-2000-va-ups-new-orion-premium-entrada-bivolt-e-saida-115v-2-baterias-9-tomadas-010202111-x19-lacerda"</f>
        <v>https://www.avantistore.com.br/nobreak-2000-va-ups-new-orion-premium-entrada-bivolt-e-saida-115v-2-baterias-9-tomadas-010202111-x19-lacerda</v>
      </c>
    </row>
    <row r="1772" spans="1:9" x14ac:dyDescent="0.25">
      <c r="A1772" s="29" t="s">
        <v>12</v>
      </c>
      <c r="B1772" s="29" t="s">
        <v>96</v>
      </c>
      <c r="C1772" s="29">
        <v>39609</v>
      </c>
      <c r="D1772" s="37" t="s">
        <v>3296</v>
      </c>
      <c r="E1772" s="29" t="s">
        <v>37</v>
      </c>
      <c r="F1772" s="29" t="s">
        <v>36</v>
      </c>
      <c r="G1772" s="29">
        <v>65502.04</v>
      </c>
      <c r="H1772" s="71" t="s">
        <v>38</v>
      </c>
      <c r="I1772" s="37" t="s">
        <v>207</v>
      </c>
    </row>
    <row r="1773" spans="1:9" x14ac:dyDescent="0.25">
      <c r="A1773" s="29" t="s">
        <v>12</v>
      </c>
      <c r="B1773" s="29" t="s">
        <v>96</v>
      </c>
      <c r="C1773" s="29">
        <v>39610</v>
      </c>
      <c r="D1773" s="37" t="s">
        <v>3297</v>
      </c>
      <c r="E1773" s="29" t="s">
        <v>37</v>
      </c>
      <c r="F1773" s="29" t="s">
        <v>36</v>
      </c>
      <c r="G1773" s="29">
        <v>95612.54</v>
      </c>
      <c r="H1773" s="71" t="s">
        <v>38</v>
      </c>
      <c r="I1773" s="37" t="s">
        <v>207</v>
      </c>
    </row>
    <row r="1774" spans="1:9" x14ac:dyDescent="0.25">
      <c r="A1774" s="29" t="s">
        <v>12</v>
      </c>
      <c r="B1774" s="29" t="s">
        <v>96</v>
      </c>
      <c r="C1774" s="29">
        <v>39611</v>
      </c>
      <c r="D1774" s="37" t="s">
        <v>3298</v>
      </c>
      <c r="E1774" s="29" t="s">
        <v>37</v>
      </c>
      <c r="F1774" s="29" t="s">
        <v>36</v>
      </c>
      <c r="G1774" s="29">
        <v>115706.82</v>
      </c>
      <c r="H1774" s="71" t="s">
        <v>38</v>
      </c>
      <c r="I1774" s="37" t="s">
        <v>207</v>
      </c>
    </row>
    <row r="1775" spans="1:9" x14ac:dyDescent="0.25">
      <c r="A1775" s="29" t="s">
        <v>12</v>
      </c>
      <c r="B1775" s="29" t="s">
        <v>96</v>
      </c>
      <c r="C1775" s="29">
        <v>39612</v>
      </c>
      <c r="D1775" s="37" t="s">
        <v>3299</v>
      </c>
      <c r="E1775" s="29" t="s">
        <v>37</v>
      </c>
      <c r="F1775" s="29" t="s">
        <v>36</v>
      </c>
      <c r="G1775" s="29">
        <v>181257.34</v>
      </c>
      <c r="H1775" s="71" t="s">
        <v>38</v>
      </c>
      <c r="I1775" s="37" t="s">
        <v>207</v>
      </c>
    </row>
    <row r="1776" spans="1:9" x14ac:dyDescent="0.25">
      <c r="A1776" s="29" t="s">
        <v>12</v>
      </c>
      <c r="B1776" s="29" t="s">
        <v>96</v>
      </c>
      <c r="C1776" s="29">
        <v>39608</v>
      </c>
      <c r="D1776" s="37" t="s">
        <v>3300</v>
      </c>
      <c r="E1776" s="29" t="s">
        <v>37</v>
      </c>
      <c r="F1776" s="29" t="s">
        <v>36</v>
      </c>
      <c r="G1776" s="29">
        <v>52374.74</v>
      </c>
      <c r="H1776" s="71" t="s">
        <v>38</v>
      </c>
      <c r="I1776" s="37" t="s">
        <v>207</v>
      </c>
    </row>
    <row r="1777" spans="1:9" x14ac:dyDescent="0.25">
      <c r="A1777" s="29" t="s">
        <v>12</v>
      </c>
      <c r="B1777" s="29" t="s">
        <v>121</v>
      </c>
      <c r="C1777" s="29" t="s">
        <v>34</v>
      </c>
      <c r="D1777" s="37" t="s">
        <v>1062</v>
      </c>
      <c r="E1777" s="29" t="s">
        <v>37</v>
      </c>
      <c r="F1777" s="29" t="s">
        <v>36</v>
      </c>
      <c r="G1777" s="29">
        <v>36.799999999999997</v>
      </c>
      <c r="H1777" s="71" t="s">
        <v>800</v>
      </c>
      <c r="I1777" s="37" t="str">
        <f>"https://loja.steck.com.br/barramento-neutro-08-term-azul-fixa-890mm-steck-sbn8/p; https://www.telhanorte.com.br/barramento-neutro-8-terminais-89mm-azul-steck-1597817/p"</f>
        <v>https://loja.steck.com.br/barramento-neutro-08-term-azul-fixa-890mm-steck-sbn8/p; https://www.telhanorte.com.br/barramento-neutro-8-terminais-89mm-azul-steck-1597817/p</v>
      </c>
    </row>
    <row r="1778" spans="1:9" x14ac:dyDescent="0.25">
      <c r="A1778" s="29" t="s">
        <v>12</v>
      </c>
      <c r="B1778" s="29" t="s">
        <v>121</v>
      </c>
      <c r="C1778" s="29" t="s">
        <v>34</v>
      </c>
      <c r="D1778" s="37" t="s">
        <v>1063</v>
      </c>
      <c r="E1778" s="29" t="s">
        <v>37</v>
      </c>
      <c r="F1778" s="29" t="s">
        <v>36</v>
      </c>
      <c r="G1778" s="29">
        <v>27.81</v>
      </c>
      <c r="H1778" s="71" t="s">
        <v>800</v>
      </c>
      <c r="I1778" s="37" t="str">
        <f>"https://loja.steck.com.br/barramento-terra-08-term-verde-fixa-890mm-steck-sbt8/p; https://www.telhanorte.com.br/barramento-terra-8-terminais-89mm-verde-steck-1597825/p"</f>
        <v>https://loja.steck.com.br/barramento-terra-08-term-verde-fixa-890mm-steck-sbt8/p; https://www.telhanorte.com.br/barramento-terra-8-terminais-89mm-verde-steck-1597825/p</v>
      </c>
    </row>
    <row r="1779" spans="1:9" x14ac:dyDescent="0.25">
      <c r="A1779" s="29" t="s">
        <v>12</v>
      </c>
      <c r="B1779" s="29" t="s">
        <v>121</v>
      </c>
      <c r="C1779" s="29">
        <v>1613</v>
      </c>
      <c r="D1779" s="37" t="s">
        <v>2168</v>
      </c>
      <c r="E1779" s="29" t="s">
        <v>37</v>
      </c>
      <c r="F1779" s="29" t="s">
        <v>36</v>
      </c>
      <c r="G1779" s="29">
        <v>1362.96</v>
      </c>
      <c r="H1779" s="71" t="s">
        <v>38</v>
      </c>
      <c r="I1779" s="37" t="s">
        <v>207</v>
      </c>
    </row>
    <row r="1780" spans="1:9" x14ac:dyDescent="0.25">
      <c r="A1780" s="29" t="s">
        <v>12</v>
      </c>
      <c r="B1780" s="29" t="s">
        <v>121</v>
      </c>
      <c r="C1780" s="29">
        <v>1626</v>
      </c>
      <c r="D1780" s="37" t="s">
        <v>2169</v>
      </c>
      <c r="E1780" s="29" t="s">
        <v>37</v>
      </c>
      <c r="F1780" s="29" t="s">
        <v>36</v>
      </c>
      <c r="G1780" s="29">
        <v>2038.48</v>
      </c>
      <c r="H1780" s="71" t="s">
        <v>38</v>
      </c>
      <c r="I1780" s="37" t="s">
        <v>207</v>
      </c>
    </row>
    <row r="1781" spans="1:9" x14ac:dyDescent="0.25">
      <c r="A1781" s="29" t="s">
        <v>12</v>
      </c>
      <c r="B1781" s="29" t="s">
        <v>121</v>
      </c>
      <c r="C1781" s="29">
        <v>1625</v>
      </c>
      <c r="D1781" s="37" t="s">
        <v>2170</v>
      </c>
      <c r="E1781" s="29" t="s">
        <v>37</v>
      </c>
      <c r="F1781" s="29" t="s">
        <v>36</v>
      </c>
      <c r="G1781" s="29">
        <v>142.38</v>
      </c>
      <c r="H1781" s="71" t="s">
        <v>38</v>
      </c>
      <c r="I1781" s="37" t="s">
        <v>207</v>
      </c>
    </row>
    <row r="1782" spans="1:9" x14ac:dyDescent="0.25">
      <c r="A1782" s="29" t="s">
        <v>12</v>
      </c>
      <c r="B1782" s="29" t="s">
        <v>121</v>
      </c>
      <c r="C1782" s="29">
        <v>1622</v>
      </c>
      <c r="D1782" s="37" t="s">
        <v>2171</v>
      </c>
      <c r="E1782" s="29" t="s">
        <v>37</v>
      </c>
      <c r="F1782" s="29" t="s">
        <v>36</v>
      </c>
      <c r="G1782" s="29">
        <v>4600.0200000000004</v>
      </c>
      <c r="H1782" s="71" t="s">
        <v>38</v>
      </c>
      <c r="I1782" s="37" t="s">
        <v>207</v>
      </c>
    </row>
    <row r="1783" spans="1:9" x14ac:dyDescent="0.25">
      <c r="A1783" s="29" t="s">
        <v>12</v>
      </c>
      <c r="B1783" s="29" t="s">
        <v>121</v>
      </c>
      <c r="C1783" s="29">
        <v>1620</v>
      </c>
      <c r="D1783" s="37" t="s">
        <v>2172</v>
      </c>
      <c r="E1783" s="29" t="s">
        <v>37</v>
      </c>
      <c r="F1783" s="29" t="s">
        <v>36</v>
      </c>
      <c r="G1783" s="29">
        <v>299.93</v>
      </c>
      <c r="H1783" s="71" t="s">
        <v>38</v>
      </c>
      <c r="I1783" s="37" t="s">
        <v>207</v>
      </c>
    </row>
    <row r="1784" spans="1:9" x14ac:dyDescent="0.25">
      <c r="A1784" s="29" t="s">
        <v>12</v>
      </c>
      <c r="B1784" s="29" t="s">
        <v>121</v>
      </c>
      <c r="C1784" s="29">
        <v>1629</v>
      </c>
      <c r="D1784" s="37" t="s">
        <v>2173</v>
      </c>
      <c r="E1784" s="29" t="s">
        <v>37</v>
      </c>
      <c r="F1784" s="29" t="s">
        <v>36</v>
      </c>
      <c r="G1784" s="29">
        <v>11195.35</v>
      </c>
      <c r="H1784" s="71" t="s">
        <v>38</v>
      </c>
      <c r="I1784" s="37" t="s">
        <v>207</v>
      </c>
    </row>
    <row r="1785" spans="1:9" x14ac:dyDescent="0.25">
      <c r="A1785" s="29" t="s">
        <v>12</v>
      </c>
      <c r="B1785" s="29" t="s">
        <v>121</v>
      </c>
      <c r="C1785" s="29">
        <v>1627</v>
      </c>
      <c r="D1785" s="37" t="s">
        <v>2174</v>
      </c>
      <c r="E1785" s="29" t="s">
        <v>37</v>
      </c>
      <c r="F1785" s="29" t="s">
        <v>36</v>
      </c>
      <c r="G1785" s="29">
        <v>573.29999999999995</v>
      </c>
      <c r="H1785" s="71" t="s">
        <v>38</v>
      </c>
      <c r="I1785" s="37" t="s">
        <v>207</v>
      </c>
    </row>
    <row r="1786" spans="1:9" x14ac:dyDescent="0.25">
      <c r="A1786" s="29" t="s">
        <v>12</v>
      </c>
      <c r="B1786" s="29" t="s">
        <v>121</v>
      </c>
      <c r="C1786" s="29">
        <v>1623</v>
      </c>
      <c r="D1786" s="37" t="s">
        <v>2175</v>
      </c>
      <c r="E1786" s="29" t="s">
        <v>37</v>
      </c>
      <c r="F1786" s="29" t="s">
        <v>36</v>
      </c>
      <c r="G1786" s="29">
        <v>116.11</v>
      </c>
      <c r="H1786" s="71" t="s">
        <v>38</v>
      </c>
      <c r="I1786" s="37" t="s">
        <v>207</v>
      </c>
    </row>
    <row r="1787" spans="1:9" x14ac:dyDescent="0.25">
      <c r="A1787" s="29" t="s">
        <v>12</v>
      </c>
      <c r="B1787" s="29" t="s">
        <v>121</v>
      </c>
      <c r="C1787" s="29">
        <v>1619</v>
      </c>
      <c r="D1787" s="37" t="s">
        <v>2176</v>
      </c>
      <c r="E1787" s="29" t="s">
        <v>37</v>
      </c>
      <c r="F1787" s="29" t="s">
        <v>36</v>
      </c>
      <c r="G1787" s="29">
        <v>159.72</v>
      </c>
      <c r="H1787" s="71" t="s">
        <v>38</v>
      </c>
      <c r="I1787" s="37" t="s">
        <v>207</v>
      </c>
    </row>
    <row r="1788" spans="1:9" x14ac:dyDescent="0.25">
      <c r="A1788" s="29" t="s">
        <v>12</v>
      </c>
      <c r="B1788" s="29" t="s">
        <v>121</v>
      </c>
      <c r="C1788" s="29">
        <v>1630</v>
      </c>
      <c r="D1788" s="37" t="s">
        <v>1602</v>
      </c>
      <c r="E1788" s="29" t="s">
        <v>37</v>
      </c>
      <c r="F1788" s="29" t="s">
        <v>36</v>
      </c>
      <c r="G1788" s="29">
        <v>3516.81</v>
      </c>
      <c r="H1788" s="71" t="s">
        <v>38</v>
      </c>
      <c r="I1788" s="37" t="s">
        <v>207</v>
      </c>
    </row>
    <row r="1789" spans="1:9" x14ac:dyDescent="0.25">
      <c r="A1789" s="29" t="s">
        <v>12</v>
      </c>
      <c r="B1789" s="29" t="s">
        <v>121</v>
      </c>
      <c r="C1789" s="29">
        <v>1616</v>
      </c>
      <c r="D1789" s="37" t="s">
        <v>2177</v>
      </c>
      <c r="E1789" s="29" t="s">
        <v>37</v>
      </c>
      <c r="F1789" s="29" t="s">
        <v>36</v>
      </c>
      <c r="G1789" s="29">
        <v>5408.91</v>
      </c>
      <c r="H1789" s="71" t="s">
        <v>38</v>
      </c>
      <c r="I1789" s="37" t="s">
        <v>207</v>
      </c>
    </row>
    <row r="1790" spans="1:9" x14ac:dyDescent="0.25">
      <c r="A1790" s="29" t="s">
        <v>12</v>
      </c>
      <c r="B1790" s="29" t="s">
        <v>121</v>
      </c>
      <c r="C1790" s="29">
        <v>1614</v>
      </c>
      <c r="D1790" s="37" t="s">
        <v>2178</v>
      </c>
      <c r="E1790" s="29" t="s">
        <v>37</v>
      </c>
      <c r="F1790" s="29" t="s">
        <v>36</v>
      </c>
      <c r="G1790" s="29">
        <v>247.2</v>
      </c>
      <c r="H1790" s="71" t="s">
        <v>38</v>
      </c>
      <c r="I1790" s="37" t="s">
        <v>207</v>
      </c>
    </row>
    <row r="1791" spans="1:9" x14ac:dyDescent="0.25">
      <c r="A1791" s="29" t="s">
        <v>12</v>
      </c>
      <c r="B1791" s="29" t="s">
        <v>121</v>
      </c>
      <c r="C1791" s="29">
        <v>1617</v>
      </c>
      <c r="D1791" s="37" t="s">
        <v>2179</v>
      </c>
      <c r="E1791" s="29" t="s">
        <v>37</v>
      </c>
      <c r="F1791" s="29" t="s">
        <v>36</v>
      </c>
      <c r="G1791" s="29">
        <v>6457.07</v>
      </c>
      <c r="H1791" s="71" t="s">
        <v>38</v>
      </c>
      <c r="I1791" s="37" t="s">
        <v>207</v>
      </c>
    </row>
    <row r="1792" spans="1:9" x14ac:dyDescent="0.25">
      <c r="A1792" s="29" t="s">
        <v>12</v>
      </c>
      <c r="B1792" s="29" t="s">
        <v>121</v>
      </c>
      <c r="C1792" s="29">
        <v>1621</v>
      </c>
      <c r="D1792" s="37" t="s">
        <v>2180</v>
      </c>
      <c r="E1792" s="29" t="s">
        <v>37</v>
      </c>
      <c r="F1792" s="29" t="s">
        <v>36</v>
      </c>
      <c r="G1792" s="29">
        <v>442.12</v>
      </c>
      <c r="H1792" s="71" t="s">
        <v>38</v>
      </c>
      <c r="I1792" s="37" t="s">
        <v>207</v>
      </c>
    </row>
    <row r="1793" spans="1:9" x14ac:dyDescent="0.25">
      <c r="A1793" s="29" t="s">
        <v>12</v>
      </c>
      <c r="B1793" s="29" t="s">
        <v>121</v>
      </c>
      <c r="C1793" s="29">
        <v>1624</v>
      </c>
      <c r="D1793" s="37" t="s">
        <v>2181</v>
      </c>
      <c r="E1793" s="29" t="s">
        <v>37</v>
      </c>
      <c r="F1793" s="29" t="s">
        <v>36</v>
      </c>
      <c r="G1793" s="29">
        <v>15871.8</v>
      </c>
      <c r="H1793" s="71" t="s">
        <v>38</v>
      </c>
      <c r="I1793" s="37" t="s">
        <v>207</v>
      </c>
    </row>
    <row r="1794" spans="1:9" x14ac:dyDescent="0.25">
      <c r="A1794" s="29" t="s">
        <v>12</v>
      </c>
      <c r="B1794" s="29" t="s">
        <v>121</v>
      </c>
      <c r="C1794" s="29">
        <v>1615</v>
      </c>
      <c r="D1794" s="37" t="s">
        <v>2182</v>
      </c>
      <c r="E1794" s="29" t="s">
        <v>37</v>
      </c>
      <c r="F1794" s="29" t="s">
        <v>36</v>
      </c>
      <c r="G1794" s="29">
        <v>830.23</v>
      </c>
      <c r="H1794" s="71" t="s">
        <v>38</v>
      </c>
      <c r="I1794" s="37" t="s">
        <v>207</v>
      </c>
    </row>
    <row r="1795" spans="1:9" x14ac:dyDescent="0.25">
      <c r="A1795" s="29" t="s">
        <v>12</v>
      </c>
      <c r="B1795" s="29" t="s">
        <v>121</v>
      </c>
      <c r="C1795" s="29">
        <v>1612</v>
      </c>
      <c r="D1795" s="37" t="s">
        <v>2183</v>
      </c>
      <c r="E1795" s="29" t="s">
        <v>37</v>
      </c>
      <c r="F1795" s="29" t="s">
        <v>36</v>
      </c>
      <c r="G1795" s="29">
        <v>109.35</v>
      </c>
      <c r="H1795" s="71" t="s">
        <v>38</v>
      </c>
      <c r="I1795" s="37" t="s">
        <v>207</v>
      </c>
    </row>
    <row r="1796" spans="1:9" x14ac:dyDescent="0.25">
      <c r="A1796" s="29" t="s">
        <v>12</v>
      </c>
      <c r="B1796" s="29" t="s">
        <v>121</v>
      </c>
      <c r="C1796" s="29">
        <v>1618</v>
      </c>
      <c r="D1796" s="37" t="s">
        <v>2184</v>
      </c>
      <c r="E1796" s="29" t="s">
        <v>37</v>
      </c>
      <c r="F1796" s="29" t="s">
        <v>36</v>
      </c>
      <c r="G1796" s="29">
        <v>1140.8699999999999</v>
      </c>
      <c r="H1796" s="71" t="s">
        <v>38</v>
      </c>
      <c r="I1796" s="37" t="s">
        <v>207</v>
      </c>
    </row>
    <row r="1797" spans="1:9" x14ac:dyDescent="0.25">
      <c r="A1797" s="29" t="s">
        <v>12</v>
      </c>
      <c r="B1797" s="29" t="s">
        <v>121</v>
      </c>
      <c r="C1797" s="29" t="s">
        <v>34</v>
      </c>
      <c r="D1797" s="37" t="s">
        <v>2975</v>
      </c>
      <c r="E1797" s="29" t="s">
        <v>66</v>
      </c>
      <c r="F1797" s="29" t="s">
        <v>36</v>
      </c>
      <c r="G1797" s="29">
        <v>151.5</v>
      </c>
      <c r="H1797" s="71" t="s">
        <v>800</v>
      </c>
      <c r="I1797" s="37" t="str">
        <f>"https://www.anhangueraferramentas.com.br/produto/contator-tripolar-12a-220v-1na-1nf-cwb12-11-30-d23-weg-108211"</f>
        <v>https://www.anhangueraferramentas.com.br/produto/contator-tripolar-12a-220v-1na-1nf-cwb12-11-30-d23-weg-108211</v>
      </c>
    </row>
    <row r="1798" spans="1:9" x14ac:dyDescent="0.25">
      <c r="A1798" s="29" t="s">
        <v>12</v>
      </c>
      <c r="B1798" s="29" t="s">
        <v>121</v>
      </c>
      <c r="C1798" s="29" t="s">
        <v>34</v>
      </c>
      <c r="D1798" s="37" t="s">
        <v>1064</v>
      </c>
      <c r="E1798" s="29" t="s">
        <v>66</v>
      </c>
      <c r="F1798" s="29" t="s">
        <v>36</v>
      </c>
      <c r="G1798" s="29">
        <v>540.96</v>
      </c>
      <c r="H1798" s="71" t="s">
        <v>800</v>
      </c>
      <c r="I1798" s="37" t="str">
        <f>"https://www.lojaeletrica.com.br/contator-potencia-40a-1na-1nf-220vac-cwb40-11-30d23-weg.html"</f>
        <v>https://www.lojaeletrica.com.br/contator-potencia-40a-1na-1nf-220vac-cwb40-11-30d23-weg.html</v>
      </c>
    </row>
    <row r="1799" spans="1:9" x14ac:dyDescent="0.25">
      <c r="A1799" s="29" t="s">
        <v>12</v>
      </c>
      <c r="B1799" s="29" t="s">
        <v>121</v>
      </c>
      <c r="C1799" s="29" t="s">
        <v>34</v>
      </c>
      <c r="D1799" s="37" t="s">
        <v>1603</v>
      </c>
      <c r="E1799" s="29" t="s">
        <v>37</v>
      </c>
      <c r="F1799" s="29" t="s">
        <v>36</v>
      </c>
      <c r="I1799" s="37" t="s">
        <v>37</v>
      </c>
    </row>
    <row r="1800" spans="1:9" x14ac:dyDescent="0.25">
      <c r="A1800" s="29" t="s">
        <v>12</v>
      </c>
      <c r="B1800" s="29" t="s">
        <v>121</v>
      </c>
      <c r="C1800" s="29" t="s">
        <v>34</v>
      </c>
      <c r="D1800" s="37" t="s">
        <v>3079</v>
      </c>
      <c r="E1800" s="29" t="s">
        <v>37</v>
      </c>
      <c r="F1800" s="29" t="s">
        <v>36</v>
      </c>
      <c r="I1800" s="37" t="s">
        <v>37</v>
      </c>
    </row>
    <row r="1801" spans="1:9" x14ac:dyDescent="0.25">
      <c r="A1801" s="29" t="s">
        <v>12</v>
      </c>
      <c r="B1801" s="29" t="s">
        <v>121</v>
      </c>
      <c r="C1801" s="29" t="s">
        <v>34</v>
      </c>
      <c r="D1801" s="37" t="s">
        <v>3080</v>
      </c>
      <c r="E1801" s="29" t="s">
        <v>110</v>
      </c>
      <c r="F1801" s="29" t="s">
        <v>36</v>
      </c>
      <c r="I1801" s="37" t="s">
        <v>37</v>
      </c>
    </row>
    <row r="1802" spans="1:9" x14ac:dyDescent="0.25">
      <c r="A1802" s="29" t="s">
        <v>12</v>
      </c>
      <c r="B1802" s="29" t="s">
        <v>121</v>
      </c>
      <c r="C1802" s="29" t="s">
        <v>34</v>
      </c>
      <c r="D1802" s="37" t="s">
        <v>3081</v>
      </c>
      <c r="E1802" s="29" t="s">
        <v>37</v>
      </c>
      <c r="F1802" s="29" t="s">
        <v>36</v>
      </c>
      <c r="I1802" s="37" t="s">
        <v>37</v>
      </c>
    </row>
    <row r="1803" spans="1:9" x14ac:dyDescent="0.25">
      <c r="A1803" s="29" t="s">
        <v>12</v>
      </c>
      <c r="B1803" s="29" t="s">
        <v>121</v>
      </c>
      <c r="C1803" s="29">
        <v>13393</v>
      </c>
      <c r="D1803" s="37" t="s">
        <v>2008</v>
      </c>
      <c r="E1803" s="29" t="s">
        <v>37</v>
      </c>
      <c r="F1803" s="29" t="s">
        <v>36</v>
      </c>
      <c r="G1803" s="29">
        <v>348.63</v>
      </c>
      <c r="H1803" s="71" t="s">
        <v>38</v>
      </c>
      <c r="I1803" s="37" t="s">
        <v>207</v>
      </c>
    </row>
    <row r="1804" spans="1:9" x14ac:dyDescent="0.25">
      <c r="A1804" s="29" t="s">
        <v>12</v>
      </c>
      <c r="B1804" s="29" t="s">
        <v>121</v>
      </c>
      <c r="C1804" s="29">
        <v>13395</v>
      </c>
      <c r="D1804" s="37" t="s">
        <v>2009</v>
      </c>
      <c r="E1804" s="29" t="s">
        <v>37</v>
      </c>
      <c r="F1804" s="29" t="s">
        <v>36</v>
      </c>
      <c r="G1804" s="29">
        <v>488.57</v>
      </c>
      <c r="H1804" s="71" t="s">
        <v>38</v>
      </c>
      <c r="I1804" s="37" t="s">
        <v>207</v>
      </c>
    </row>
    <row r="1805" spans="1:9" x14ac:dyDescent="0.25">
      <c r="A1805" s="29" t="s">
        <v>12</v>
      </c>
      <c r="B1805" s="29" t="s">
        <v>121</v>
      </c>
      <c r="C1805" s="29">
        <v>12039</v>
      </c>
      <c r="D1805" s="37" t="s">
        <v>2010</v>
      </c>
      <c r="E1805" s="29" t="s">
        <v>37</v>
      </c>
      <c r="F1805" s="29" t="s">
        <v>36</v>
      </c>
      <c r="G1805" s="29">
        <v>513.42999999999995</v>
      </c>
      <c r="H1805" s="71" t="s">
        <v>38</v>
      </c>
      <c r="I1805" s="37" t="s">
        <v>207</v>
      </c>
    </row>
    <row r="1806" spans="1:9" x14ac:dyDescent="0.25">
      <c r="A1806" s="29" t="s">
        <v>12</v>
      </c>
      <c r="B1806" s="29" t="s">
        <v>121</v>
      </c>
      <c r="C1806" s="29">
        <v>13396</v>
      </c>
      <c r="D1806" s="37" t="s">
        <v>2011</v>
      </c>
      <c r="E1806" s="29" t="s">
        <v>37</v>
      </c>
      <c r="F1806" s="29" t="s">
        <v>36</v>
      </c>
      <c r="G1806" s="29">
        <v>721.08</v>
      </c>
      <c r="H1806" s="71" t="s">
        <v>38</v>
      </c>
      <c r="I1806" s="37" t="s">
        <v>207</v>
      </c>
    </row>
    <row r="1807" spans="1:9" x14ac:dyDescent="0.25">
      <c r="A1807" s="29" t="s">
        <v>12</v>
      </c>
      <c r="B1807" s="29" t="s">
        <v>121</v>
      </c>
      <c r="C1807" s="29">
        <v>12041</v>
      </c>
      <c r="D1807" s="37" t="s">
        <v>2012</v>
      </c>
      <c r="E1807" s="29" t="s">
        <v>37</v>
      </c>
      <c r="F1807" s="29" t="s">
        <v>36</v>
      </c>
      <c r="G1807" s="29">
        <v>588.80999999999995</v>
      </c>
      <c r="H1807" s="71" t="s">
        <v>38</v>
      </c>
      <c r="I1807" s="37" t="s">
        <v>207</v>
      </c>
    </row>
    <row r="1808" spans="1:9" x14ac:dyDescent="0.25">
      <c r="A1808" s="29" t="s">
        <v>12</v>
      </c>
      <c r="B1808" s="29" t="s">
        <v>121</v>
      </c>
      <c r="C1808" s="29">
        <v>12043</v>
      </c>
      <c r="D1808" s="37" t="s">
        <v>2013</v>
      </c>
      <c r="E1808" s="29" t="s">
        <v>37</v>
      </c>
      <c r="F1808" s="29" t="s">
        <v>36</v>
      </c>
      <c r="G1808" s="29">
        <v>1243.18</v>
      </c>
      <c r="H1808" s="71" t="s">
        <v>38</v>
      </c>
      <c r="I1808" s="37" t="s">
        <v>207</v>
      </c>
    </row>
    <row r="1809" spans="1:9" x14ac:dyDescent="0.25">
      <c r="A1809" s="29" t="s">
        <v>12</v>
      </c>
      <c r="B1809" s="29" t="s">
        <v>121</v>
      </c>
      <c r="C1809" s="29">
        <v>39762</v>
      </c>
      <c r="D1809" s="37" t="s">
        <v>2014</v>
      </c>
      <c r="E1809" s="29" t="s">
        <v>37</v>
      </c>
      <c r="F1809" s="29" t="s">
        <v>36</v>
      </c>
      <c r="G1809" s="29">
        <v>591.78</v>
      </c>
      <c r="H1809" s="71" t="s">
        <v>38</v>
      </c>
      <c r="I1809" s="37" t="s">
        <v>207</v>
      </c>
    </row>
    <row r="1810" spans="1:9" x14ac:dyDescent="0.25">
      <c r="A1810" s="29" t="s">
        <v>12</v>
      </c>
      <c r="B1810" s="29" t="s">
        <v>121</v>
      </c>
      <c r="C1810" s="29">
        <v>12042</v>
      </c>
      <c r="D1810" s="37" t="s">
        <v>2015</v>
      </c>
      <c r="E1810" s="29" t="s">
        <v>37</v>
      </c>
      <c r="F1810" s="29" t="s">
        <v>36</v>
      </c>
      <c r="G1810" s="29">
        <v>863.99</v>
      </c>
      <c r="H1810" s="71" t="s">
        <v>38</v>
      </c>
      <c r="I1810" s="37" t="s">
        <v>207</v>
      </c>
    </row>
    <row r="1811" spans="1:9" x14ac:dyDescent="0.25">
      <c r="A1811" s="29" t="s">
        <v>12</v>
      </c>
      <c r="B1811" s="29" t="s">
        <v>121</v>
      </c>
      <c r="C1811" s="29">
        <v>39763</v>
      </c>
      <c r="D1811" s="37" t="s">
        <v>2016</v>
      </c>
      <c r="E1811" s="29" t="s">
        <v>37</v>
      </c>
      <c r="F1811" s="29" t="s">
        <v>36</v>
      </c>
      <c r="G1811" s="29">
        <v>1011.18</v>
      </c>
      <c r="H1811" s="71" t="s">
        <v>38</v>
      </c>
      <c r="I1811" s="37" t="s">
        <v>207</v>
      </c>
    </row>
    <row r="1812" spans="1:9" x14ac:dyDescent="0.25">
      <c r="A1812" s="29" t="s">
        <v>12</v>
      </c>
      <c r="B1812" s="29" t="s">
        <v>121</v>
      </c>
      <c r="C1812" s="29">
        <v>39760</v>
      </c>
      <c r="D1812" s="37" t="s">
        <v>2017</v>
      </c>
      <c r="E1812" s="29" t="s">
        <v>37</v>
      </c>
      <c r="F1812" s="29" t="s">
        <v>36</v>
      </c>
      <c r="G1812" s="29">
        <v>1007.86</v>
      </c>
      <c r="H1812" s="71" t="s">
        <v>38</v>
      </c>
      <c r="I1812" s="37" t="s">
        <v>207</v>
      </c>
    </row>
    <row r="1813" spans="1:9" x14ac:dyDescent="0.25">
      <c r="A1813" s="29" t="s">
        <v>12</v>
      </c>
      <c r="B1813" s="29" t="s">
        <v>121</v>
      </c>
      <c r="C1813" s="29">
        <v>39756</v>
      </c>
      <c r="D1813" s="37" t="s">
        <v>2018</v>
      </c>
      <c r="E1813" s="29" t="s">
        <v>37</v>
      </c>
      <c r="F1813" s="29" t="s">
        <v>36</v>
      </c>
      <c r="G1813" s="29">
        <v>361.88</v>
      </c>
      <c r="H1813" s="71" t="s">
        <v>38</v>
      </c>
      <c r="I1813" s="37" t="s">
        <v>207</v>
      </c>
    </row>
    <row r="1814" spans="1:9" x14ac:dyDescent="0.25">
      <c r="A1814" s="29" t="s">
        <v>12</v>
      </c>
      <c r="B1814" s="29" t="s">
        <v>121</v>
      </c>
      <c r="C1814" s="29">
        <v>12038</v>
      </c>
      <c r="D1814" s="37" t="s">
        <v>2019</v>
      </c>
      <c r="E1814" s="29" t="s">
        <v>37</v>
      </c>
      <c r="F1814" s="29" t="s">
        <v>36</v>
      </c>
      <c r="G1814" s="29">
        <v>452.18</v>
      </c>
      <c r="H1814" s="71" t="s">
        <v>38</v>
      </c>
      <c r="I1814" s="37" t="s">
        <v>207</v>
      </c>
    </row>
    <row r="1815" spans="1:9" x14ac:dyDescent="0.25">
      <c r="A1815" s="29" t="s">
        <v>12</v>
      </c>
      <c r="B1815" s="29" t="s">
        <v>121</v>
      </c>
      <c r="C1815" s="29">
        <v>39757</v>
      </c>
      <c r="D1815" s="37" t="s">
        <v>2020</v>
      </c>
      <c r="E1815" s="29" t="s">
        <v>37</v>
      </c>
      <c r="F1815" s="29" t="s">
        <v>36</v>
      </c>
      <c r="G1815" s="29">
        <v>418.13</v>
      </c>
      <c r="H1815" s="71" t="s">
        <v>38</v>
      </c>
      <c r="I1815" s="37" t="s">
        <v>207</v>
      </c>
    </row>
    <row r="1816" spans="1:9" x14ac:dyDescent="0.25">
      <c r="A1816" s="29" t="s">
        <v>12</v>
      </c>
      <c r="B1816" s="29" t="s">
        <v>121</v>
      </c>
      <c r="C1816" s="29">
        <v>39758</v>
      </c>
      <c r="D1816" s="37" t="s">
        <v>2021</v>
      </c>
      <c r="E1816" s="29" t="s">
        <v>37</v>
      </c>
      <c r="F1816" s="29" t="s">
        <v>36</v>
      </c>
      <c r="G1816" s="29">
        <v>609.36</v>
      </c>
      <c r="H1816" s="71" t="s">
        <v>38</v>
      </c>
      <c r="I1816" s="37" t="s">
        <v>207</v>
      </c>
    </row>
    <row r="1817" spans="1:9" x14ac:dyDescent="0.25">
      <c r="A1817" s="29" t="s">
        <v>12</v>
      </c>
      <c r="B1817" s="29" t="s">
        <v>121</v>
      </c>
      <c r="C1817" s="29">
        <v>39759</v>
      </c>
      <c r="D1817" s="37" t="s">
        <v>2022</v>
      </c>
      <c r="E1817" s="29" t="s">
        <v>37</v>
      </c>
      <c r="F1817" s="29" t="s">
        <v>36</v>
      </c>
      <c r="G1817" s="29">
        <v>752.57</v>
      </c>
      <c r="H1817" s="71" t="s">
        <v>38</v>
      </c>
      <c r="I1817" s="37" t="s">
        <v>207</v>
      </c>
    </row>
    <row r="1818" spans="1:9" x14ac:dyDescent="0.25">
      <c r="A1818" s="29" t="s">
        <v>12</v>
      </c>
      <c r="B1818" s="29" t="s">
        <v>121</v>
      </c>
      <c r="C1818" s="29">
        <v>39761</v>
      </c>
      <c r="D1818" s="37" t="s">
        <v>2023</v>
      </c>
      <c r="E1818" s="29" t="s">
        <v>37</v>
      </c>
      <c r="F1818" s="29" t="s">
        <v>36</v>
      </c>
      <c r="G1818" s="29">
        <v>904.61</v>
      </c>
      <c r="H1818" s="71" t="s">
        <v>38</v>
      </c>
      <c r="I1818" s="37" t="s">
        <v>207</v>
      </c>
    </row>
    <row r="1819" spans="1:9" x14ac:dyDescent="0.25">
      <c r="A1819" s="29" t="s">
        <v>12</v>
      </c>
      <c r="B1819" s="29" t="s">
        <v>121</v>
      </c>
      <c r="C1819" s="29">
        <v>39805</v>
      </c>
      <c r="D1819" s="37" t="s">
        <v>2607</v>
      </c>
      <c r="E1819" s="29" t="s">
        <v>37</v>
      </c>
      <c r="F1819" s="29" t="s">
        <v>36</v>
      </c>
      <c r="G1819" s="29">
        <v>194.82</v>
      </c>
      <c r="H1819" s="71" t="s">
        <v>38</v>
      </c>
      <c r="I1819" s="37" t="s">
        <v>207</v>
      </c>
    </row>
    <row r="1820" spans="1:9" x14ac:dyDescent="0.25">
      <c r="A1820" s="29" t="s">
        <v>12</v>
      </c>
      <c r="B1820" s="29" t="s">
        <v>121</v>
      </c>
      <c r="C1820" s="29">
        <v>39806</v>
      </c>
      <c r="D1820" s="37" t="s">
        <v>2608</v>
      </c>
      <c r="E1820" s="29" t="s">
        <v>37</v>
      </c>
      <c r="F1820" s="29" t="s">
        <v>36</v>
      </c>
      <c r="G1820" s="29">
        <v>360.95</v>
      </c>
      <c r="H1820" s="71" t="s">
        <v>38</v>
      </c>
      <c r="I1820" s="37" t="s">
        <v>207</v>
      </c>
    </row>
    <row r="1821" spans="1:9" x14ac:dyDescent="0.25">
      <c r="A1821" s="29" t="s">
        <v>12</v>
      </c>
      <c r="B1821" s="29" t="s">
        <v>121</v>
      </c>
      <c r="C1821" s="29">
        <v>39807</v>
      </c>
      <c r="D1821" s="37" t="s">
        <v>2609</v>
      </c>
      <c r="E1821" s="29" t="s">
        <v>37</v>
      </c>
      <c r="F1821" s="29" t="s">
        <v>36</v>
      </c>
      <c r="G1821" s="29">
        <v>782.26</v>
      </c>
      <c r="H1821" s="71" t="s">
        <v>38</v>
      </c>
      <c r="I1821" s="37" t="s">
        <v>207</v>
      </c>
    </row>
    <row r="1822" spans="1:9" x14ac:dyDescent="0.25">
      <c r="A1822" s="29" t="s">
        <v>12</v>
      </c>
      <c r="B1822" s="29" t="s">
        <v>121</v>
      </c>
      <c r="C1822" s="29">
        <v>43100</v>
      </c>
      <c r="D1822" s="37" t="s">
        <v>2610</v>
      </c>
      <c r="E1822" s="29" t="s">
        <v>37</v>
      </c>
      <c r="F1822" s="29" t="s">
        <v>36</v>
      </c>
      <c r="G1822" s="29">
        <v>611.55999999999995</v>
      </c>
      <c r="H1822" s="71" t="s">
        <v>38</v>
      </c>
      <c r="I1822" s="37" t="s">
        <v>207</v>
      </c>
    </row>
    <row r="1823" spans="1:9" x14ac:dyDescent="0.25">
      <c r="A1823" s="29" t="s">
        <v>12</v>
      </c>
      <c r="B1823" s="29" t="s">
        <v>121</v>
      </c>
      <c r="C1823" s="29">
        <v>39804</v>
      </c>
      <c r="D1823" s="37" t="s">
        <v>2611</v>
      </c>
      <c r="E1823" s="29" t="s">
        <v>37</v>
      </c>
      <c r="F1823" s="29" t="s">
        <v>36</v>
      </c>
      <c r="G1823" s="29">
        <v>114.4</v>
      </c>
      <c r="H1823" s="71" t="s">
        <v>38</v>
      </c>
      <c r="I1823" s="37" t="s">
        <v>207</v>
      </c>
    </row>
    <row r="1824" spans="1:9" x14ac:dyDescent="0.25">
      <c r="A1824" s="29" t="s">
        <v>12</v>
      </c>
      <c r="B1824" s="29" t="s">
        <v>121</v>
      </c>
      <c r="C1824" s="29">
        <v>39796</v>
      </c>
      <c r="D1824" s="37" t="s">
        <v>2612</v>
      </c>
      <c r="E1824" s="29" t="s">
        <v>37</v>
      </c>
      <c r="F1824" s="29" t="s">
        <v>36</v>
      </c>
      <c r="G1824" s="29">
        <v>118.49</v>
      </c>
      <c r="H1824" s="71" t="s">
        <v>38</v>
      </c>
      <c r="I1824" s="37" t="s">
        <v>207</v>
      </c>
    </row>
    <row r="1825" spans="1:9" x14ac:dyDescent="0.25">
      <c r="A1825" s="29" t="s">
        <v>12</v>
      </c>
      <c r="B1825" s="29" t="s">
        <v>121</v>
      </c>
      <c r="C1825" s="29">
        <v>39797</v>
      </c>
      <c r="D1825" s="37" t="s">
        <v>2613</v>
      </c>
      <c r="E1825" s="29" t="s">
        <v>37</v>
      </c>
      <c r="F1825" s="29" t="s">
        <v>36</v>
      </c>
      <c r="G1825" s="29">
        <v>186</v>
      </c>
      <c r="H1825" s="71" t="s">
        <v>38</v>
      </c>
      <c r="I1825" s="37" t="s">
        <v>207</v>
      </c>
    </row>
    <row r="1826" spans="1:9" x14ac:dyDescent="0.25">
      <c r="A1826" s="29" t="s">
        <v>12</v>
      </c>
      <c r="B1826" s="29" t="s">
        <v>121</v>
      </c>
      <c r="C1826" s="29">
        <v>39798</v>
      </c>
      <c r="D1826" s="37" t="s">
        <v>2614</v>
      </c>
      <c r="E1826" s="29" t="s">
        <v>37</v>
      </c>
      <c r="F1826" s="29" t="s">
        <v>36</v>
      </c>
      <c r="G1826" s="29">
        <v>319.05</v>
      </c>
      <c r="H1826" s="71" t="s">
        <v>38</v>
      </c>
      <c r="I1826" s="37" t="s">
        <v>207</v>
      </c>
    </row>
    <row r="1827" spans="1:9" x14ac:dyDescent="0.25">
      <c r="A1827" s="29" t="s">
        <v>12</v>
      </c>
      <c r="B1827" s="29" t="s">
        <v>121</v>
      </c>
      <c r="C1827" s="29">
        <v>39794</v>
      </c>
      <c r="D1827" s="37" t="s">
        <v>2615</v>
      </c>
      <c r="E1827" s="29" t="s">
        <v>37</v>
      </c>
      <c r="F1827" s="29" t="s">
        <v>36</v>
      </c>
      <c r="G1827" s="29">
        <v>50.29</v>
      </c>
      <c r="H1827" s="71" t="s">
        <v>38</v>
      </c>
      <c r="I1827" s="37" t="s">
        <v>207</v>
      </c>
    </row>
    <row r="1828" spans="1:9" x14ac:dyDescent="0.25">
      <c r="A1828" s="29" t="s">
        <v>12</v>
      </c>
      <c r="B1828" s="29" t="s">
        <v>121</v>
      </c>
      <c r="C1828" s="29">
        <v>39795</v>
      </c>
      <c r="D1828" s="37" t="s">
        <v>2616</v>
      </c>
      <c r="E1828" s="29" t="s">
        <v>37</v>
      </c>
      <c r="F1828" s="29" t="s">
        <v>36</v>
      </c>
      <c r="G1828" s="29">
        <v>79.459999999999994</v>
      </c>
      <c r="H1828" s="71" t="s">
        <v>38</v>
      </c>
      <c r="I1828" s="37" t="s">
        <v>207</v>
      </c>
    </row>
    <row r="1829" spans="1:9" x14ac:dyDescent="0.25">
      <c r="A1829" s="29" t="s">
        <v>12</v>
      </c>
      <c r="B1829" s="29" t="s">
        <v>121</v>
      </c>
      <c r="C1829" s="29">
        <v>39801</v>
      </c>
      <c r="D1829" s="37" t="s">
        <v>2617</v>
      </c>
      <c r="E1829" s="29" t="s">
        <v>37</v>
      </c>
      <c r="F1829" s="29" t="s">
        <v>36</v>
      </c>
      <c r="G1829" s="29">
        <v>167.78</v>
      </c>
      <c r="H1829" s="71" t="s">
        <v>38</v>
      </c>
      <c r="I1829" s="37" t="s">
        <v>207</v>
      </c>
    </row>
    <row r="1830" spans="1:9" x14ac:dyDescent="0.25">
      <c r="A1830" s="29" t="s">
        <v>12</v>
      </c>
      <c r="B1830" s="29" t="s">
        <v>121</v>
      </c>
      <c r="C1830" s="29">
        <v>39802</v>
      </c>
      <c r="D1830" s="37" t="s">
        <v>2618</v>
      </c>
      <c r="E1830" s="29" t="s">
        <v>37</v>
      </c>
      <c r="F1830" s="29" t="s">
        <v>36</v>
      </c>
      <c r="G1830" s="29">
        <v>245.94</v>
      </c>
      <c r="H1830" s="71" t="s">
        <v>38</v>
      </c>
      <c r="I1830" s="37" t="s">
        <v>207</v>
      </c>
    </row>
    <row r="1831" spans="1:9" x14ac:dyDescent="0.25">
      <c r="A1831" s="29" t="s">
        <v>12</v>
      </c>
      <c r="B1831" s="29" t="s">
        <v>121</v>
      </c>
      <c r="C1831" s="29">
        <v>39803</v>
      </c>
      <c r="D1831" s="37" t="s">
        <v>2619</v>
      </c>
      <c r="E1831" s="29" t="s">
        <v>37</v>
      </c>
      <c r="F1831" s="29" t="s">
        <v>36</v>
      </c>
      <c r="G1831" s="29">
        <v>343.09</v>
      </c>
      <c r="H1831" s="71" t="s">
        <v>38</v>
      </c>
      <c r="I1831" s="37" t="s">
        <v>207</v>
      </c>
    </row>
    <row r="1832" spans="1:9" x14ac:dyDescent="0.25">
      <c r="A1832" s="29" t="s">
        <v>12</v>
      </c>
      <c r="B1832" s="29" t="s">
        <v>121</v>
      </c>
      <c r="C1832" s="29">
        <v>39799</v>
      </c>
      <c r="D1832" s="37" t="s">
        <v>2620</v>
      </c>
      <c r="E1832" s="29" t="s">
        <v>37</v>
      </c>
      <c r="F1832" s="29" t="s">
        <v>36</v>
      </c>
      <c r="G1832" s="29">
        <v>58.62</v>
      </c>
      <c r="H1832" s="71" t="s">
        <v>38</v>
      </c>
      <c r="I1832" s="37" t="s">
        <v>207</v>
      </c>
    </row>
    <row r="1833" spans="1:9" x14ac:dyDescent="0.25">
      <c r="A1833" s="29" t="s">
        <v>12</v>
      </c>
      <c r="B1833" s="29" t="s">
        <v>121</v>
      </c>
      <c r="C1833" s="29">
        <v>39800</v>
      </c>
      <c r="D1833" s="37" t="s">
        <v>2621</v>
      </c>
      <c r="E1833" s="29" t="s">
        <v>37</v>
      </c>
      <c r="F1833" s="29" t="s">
        <v>36</v>
      </c>
      <c r="G1833" s="29">
        <v>99.86</v>
      </c>
      <c r="H1833" s="71" t="s">
        <v>38</v>
      </c>
      <c r="I1833" s="37" t="s">
        <v>207</v>
      </c>
    </row>
    <row r="1834" spans="1:9" x14ac:dyDescent="0.25">
      <c r="A1834" s="29" t="s">
        <v>12</v>
      </c>
      <c r="B1834" s="29" t="s">
        <v>121</v>
      </c>
      <c r="C1834" s="29" t="s">
        <v>34</v>
      </c>
      <c r="D1834" s="37" t="s">
        <v>1065</v>
      </c>
      <c r="E1834" s="29" t="s">
        <v>37</v>
      </c>
      <c r="F1834" s="29" t="s">
        <v>36</v>
      </c>
      <c r="I1834" s="37" t="s">
        <v>37</v>
      </c>
    </row>
    <row r="1835" spans="1:9" x14ac:dyDescent="0.25">
      <c r="A1835" s="29" t="s">
        <v>12</v>
      </c>
      <c r="B1835" s="29" t="s">
        <v>121</v>
      </c>
      <c r="C1835" s="29" t="s">
        <v>34</v>
      </c>
      <c r="D1835" s="37" t="s">
        <v>3082</v>
      </c>
      <c r="E1835" s="29" t="s">
        <v>37</v>
      </c>
      <c r="F1835" s="29" t="s">
        <v>36</v>
      </c>
      <c r="I1835" s="37" t="s">
        <v>37</v>
      </c>
    </row>
    <row r="1836" spans="1:9" x14ac:dyDescent="0.25">
      <c r="A1836" s="29" t="s">
        <v>12</v>
      </c>
      <c r="B1836" s="29" t="s">
        <v>130</v>
      </c>
      <c r="C1836" s="29">
        <v>41410</v>
      </c>
      <c r="D1836" s="37" t="s">
        <v>2024</v>
      </c>
      <c r="E1836" s="29" t="s">
        <v>37</v>
      </c>
      <c r="F1836" s="29" t="s">
        <v>36</v>
      </c>
      <c r="G1836" s="29">
        <v>71.069999999999993</v>
      </c>
      <c r="H1836" s="71" t="s">
        <v>38</v>
      </c>
      <c r="I1836" s="37" t="s">
        <v>207</v>
      </c>
    </row>
    <row r="1837" spans="1:9" x14ac:dyDescent="0.25">
      <c r="A1837" s="29" t="s">
        <v>12</v>
      </c>
      <c r="B1837" s="29" t="s">
        <v>130</v>
      </c>
      <c r="C1837" s="29">
        <v>41411</v>
      </c>
      <c r="D1837" s="37" t="s">
        <v>2025</v>
      </c>
      <c r="E1837" s="29" t="s">
        <v>37</v>
      </c>
      <c r="F1837" s="29" t="s">
        <v>36</v>
      </c>
      <c r="G1837" s="29">
        <v>64.44</v>
      </c>
      <c r="H1837" s="71" t="s">
        <v>38</v>
      </c>
      <c r="I1837" s="37" t="s">
        <v>207</v>
      </c>
    </row>
    <row r="1838" spans="1:9" x14ac:dyDescent="0.25">
      <c r="A1838" s="29" t="s">
        <v>12</v>
      </c>
      <c r="B1838" s="29" t="s">
        <v>130</v>
      </c>
      <c r="C1838" s="29">
        <v>41412</v>
      </c>
      <c r="D1838" s="37" t="s">
        <v>2026</v>
      </c>
      <c r="E1838" s="29" t="s">
        <v>37</v>
      </c>
      <c r="F1838" s="29" t="s">
        <v>36</v>
      </c>
      <c r="G1838" s="29">
        <v>124.63</v>
      </c>
      <c r="H1838" s="71" t="s">
        <v>38</v>
      </c>
      <c r="I1838" s="37" t="s">
        <v>207</v>
      </c>
    </row>
    <row r="1839" spans="1:9" x14ac:dyDescent="0.25">
      <c r="A1839" s="29" t="s">
        <v>12</v>
      </c>
      <c r="B1839" s="29" t="s">
        <v>130</v>
      </c>
      <c r="C1839" s="29">
        <v>41413</v>
      </c>
      <c r="D1839" s="37" t="s">
        <v>2027</v>
      </c>
      <c r="E1839" s="29" t="s">
        <v>37</v>
      </c>
      <c r="F1839" s="29" t="s">
        <v>36</v>
      </c>
      <c r="G1839" s="29">
        <v>112.15</v>
      </c>
      <c r="H1839" s="71" t="s">
        <v>38</v>
      </c>
      <c r="I1839" s="37" t="s">
        <v>207</v>
      </c>
    </row>
    <row r="1840" spans="1:9" x14ac:dyDescent="0.25">
      <c r="A1840" s="29" t="s">
        <v>12</v>
      </c>
      <c r="B1840" s="29" t="s">
        <v>130</v>
      </c>
      <c r="C1840" s="29">
        <v>4276</v>
      </c>
      <c r="D1840" s="37" t="s">
        <v>3301</v>
      </c>
      <c r="E1840" s="29" t="s">
        <v>37</v>
      </c>
      <c r="F1840" s="29" t="s">
        <v>36</v>
      </c>
      <c r="G1840" s="29">
        <v>187.63</v>
      </c>
      <c r="H1840" s="71" t="s">
        <v>38</v>
      </c>
      <c r="I1840" s="37" t="s">
        <v>207</v>
      </c>
    </row>
    <row r="1841" spans="1:9" x14ac:dyDescent="0.25">
      <c r="A1841" s="29" t="s">
        <v>12</v>
      </c>
      <c r="B1841" s="29" t="s">
        <v>130</v>
      </c>
      <c r="C1841" s="29">
        <v>4273</v>
      </c>
      <c r="D1841" s="37" t="s">
        <v>3302</v>
      </c>
      <c r="E1841" s="29" t="s">
        <v>37</v>
      </c>
      <c r="F1841" s="29" t="s">
        <v>36</v>
      </c>
      <c r="G1841" s="29">
        <v>340.67</v>
      </c>
      <c r="H1841" s="71" t="s">
        <v>38</v>
      </c>
      <c r="I1841" s="37" t="s">
        <v>207</v>
      </c>
    </row>
    <row r="1842" spans="1:9" x14ac:dyDescent="0.25">
      <c r="A1842" s="29" t="s">
        <v>12</v>
      </c>
      <c r="B1842" s="29" t="s">
        <v>130</v>
      </c>
      <c r="C1842" s="29">
        <v>4274</v>
      </c>
      <c r="D1842" s="37" t="s">
        <v>3441</v>
      </c>
      <c r="E1842" s="29" t="s">
        <v>37</v>
      </c>
      <c r="F1842" s="29" t="s">
        <v>36</v>
      </c>
      <c r="G1842" s="29">
        <v>124.63</v>
      </c>
      <c r="H1842" s="71" t="s">
        <v>38</v>
      </c>
      <c r="I1842" s="37" t="s">
        <v>207</v>
      </c>
    </row>
    <row r="1843" spans="1:9" x14ac:dyDescent="0.25">
      <c r="A1843" s="29" t="s">
        <v>12</v>
      </c>
      <c r="B1843" s="29" t="s">
        <v>97</v>
      </c>
      <c r="C1843" s="29" t="s">
        <v>34</v>
      </c>
      <c r="D1843" s="37" t="s">
        <v>2028</v>
      </c>
      <c r="E1843" s="29" t="s">
        <v>788</v>
      </c>
      <c r="F1843" s="29" t="s">
        <v>36</v>
      </c>
      <c r="G1843" s="29">
        <v>3.12</v>
      </c>
      <c r="H1843" s="71" t="s">
        <v>740</v>
      </c>
      <c r="I1843" s="37" t="str">
        <f>"https://www.eletrotrafo.com.br/eletrocalha-galv-38x38-base-p-lig--em-painel-flange-1936177-05050283/p?skuId=17360"</f>
        <v>https://www.eletrotrafo.com.br/eletrocalha-galv-38x38-base-p-lig--em-painel-flange-1936177-05050283/p?skuId=17360</v>
      </c>
    </row>
    <row r="1844" spans="1:9" x14ac:dyDescent="0.25">
      <c r="A1844" s="29" t="s">
        <v>12</v>
      </c>
      <c r="B1844" s="29" t="s">
        <v>97</v>
      </c>
      <c r="C1844" s="29" t="s">
        <v>34</v>
      </c>
      <c r="D1844" s="37" t="s">
        <v>1604</v>
      </c>
      <c r="E1844" s="29" t="s">
        <v>789</v>
      </c>
      <c r="F1844" s="29" t="s">
        <v>36</v>
      </c>
      <c r="G1844" s="29">
        <v>28.84</v>
      </c>
      <c r="H1844" s="71" t="s">
        <v>740</v>
      </c>
      <c r="I1844" s="37" t="str">
        <f>"https://www.eletrotrafo.com.br/eletrocalha-galv-38x38-caixa-derivacao-t-07120007/p?skuId=18031"</f>
        <v>https://www.eletrotrafo.com.br/eletrocalha-galv-38x38-caixa-derivacao-t-07120007/p?skuId=18031</v>
      </c>
    </row>
    <row r="1845" spans="1:9" x14ac:dyDescent="0.25">
      <c r="A1845" s="29" t="s">
        <v>12</v>
      </c>
      <c r="B1845" s="29" t="s">
        <v>97</v>
      </c>
      <c r="C1845" s="29" t="s">
        <v>34</v>
      </c>
      <c r="D1845" s="37" t="s">
        <v>1814</v>
      </c>
      <c r="E1845" s="29" t="s">
        <v>798</v>
      </c>
      <c r="F1845" s="29" t="s">
        <v>36</v>
      </c>
      <c r="G1845" s="29">
        <v>5.7</v>
      </c>
      <c r="H1845" s="71" t="s">
        <v>800</v>
      </c>
      <c r="I1845" s="37" t="str">
        <f>"https://www.infraeletrocalhas.com.br/perfilados.asp?produto=Perfilado"</f>
        <v>https://www.infraeletrocalhas.com.br/perfilados.asp?produto=Perfilado</v>
      </c>
    </row>
    <row r="1846" spans="1:9" x14ac:dyDescent="0.25">
      <c r="A1846" s="29" t="s">
        <v>12</v>
      </c>
      <c r="B1846" s="29" t="s">
        <v>97</v>
      </c>
      <c r="C1846" s="29" t="s">
        <v>34</v>
      </c>
      <c r="D1846" s="37" t="s">
        <v>1066</v>
      </c>
      <c r="E1846" s="29" t="s">
        <v>790</v>
      </c>
      <c r="F1846" s="29" t="s">
        <v>36</v>
      </c>
      <c r="G1846" s="29">
        <v>7.25</v>
      </c>
      <c r="H1846" s="71" t="s">
        <v>740</v>
      </c>
      <c r="I1846" s="37" t="str">
        <f>"https://www.eletrotrafo.com.br/eletrocalha-galv-38x38-caixa-p-tom-fus--1936202-05050106/p?skuId=16484"</f>
        <v>https://www.eletrotrafo.com.br/eletrocalha-galv-38x38-caixa-p-tom-fus--1936202-05050106/p?skuId=16484</v>
      </c>
    </row>
    <row r="1847" spans="1:9" x14ac:dyDescent="0.25">
      <c r="A1847" s="29" t="s">
        <v>12</v>
      </c>
      <c r="B1847" s="29" t="s">
        <v>97</v>
      </c>
      <c r="C1847" s="29" t="s">
        <v>34</v>
      </c>
      <c r="D1847" s="37" t="s">
        <v>2977</v>
      </c>
      <c r="E1847" s="29" t="s">
        <v>788</v>
      </c>
      <c r="F1847" s="29" t="s">
        <v>36</v>
      </c>
      <c r="G1847" s="29">
        <v>2.57</v>
      </c>
      <c r="H1847" s="71" t="s">
        <v>740</v>
      </c>
      <c r="I1847" s="37" t="str">
        <f>"https://www.eletrotrafo.com.br/eletrocalha-galv-38x38-cantoneira-zz-alta-07120033/p?skuId=17361"</f>
        <v>https://www.eletrotrafo.com.br/eletrocalha-galv-38x38-cantoneira-zz-alta-07120033/p?skuId=17361</v>
      </c>
    </row>
    <row r="1848" spans="1:9" x14ac:dyDescent="0.25">
      <c r="A1848" s="29" t="s">
        <v>12</v>
      </c>
      <c r="B1848" s="29" t="s">
        <v>97</v>
      </c>
      <c r="C1848" s="29" t="s">
        <v>34</v>
      </c>
      <c r="D1848" s="37" t="s">
        <v>2976</v>
      </c>
      <c r="E1848" s="29" t="s">
        <v>798</v>
      </c>
      <c r="F1848" s="29" t="s">
        <v>36</v>
      </c>
      <c r="G1848" s="29">
        <v>2.95</v>
      </c>
      <c r="H1848" s="71" t="s">
        <v>800</v>
      </c>
      <c r="I1848" s="37" t="str">
        <f>"https://www.infraeletrocalhas.com.br/perfilados.asp?produto=Perfilado"</f>
        <v>https://www.infraeletrocalhas.com.br/perfilados.asp?produto=Perfilado</v>
      </c>
    </row>
    <row r="1849" spans="1:9" x14ac:dyDescent="0.25">
      <c r="A1849" s="29" t="s">
        <v>12</v>
      </c>
      <c r="B1849" s="29" t="s">
        <v>97</v>
      </c>
      <c r="C1849" s="29" t="s">
        <v>34</v>
      </c>
      <c r="D1849" s="37" t="s">
        <v>1350</v>
      </c>
      <c r="E1849" s="29" t="s">
        <v>788</v>
      </c>
      <c r="F1849" s="29" t="s">
        <v>36</v>
      </c>
      <c r="G1849" s="29">
        <v>7.3</v>
      </c>
      <c r="H1849" s="71" t="s">
        <v>740</v>
      </c>
      <c r="I1849" s="37" t="str">
        <f>"https://www.eletrotrafo.com.br/curva-horizontal-90g-para-perfilado-38x38---inecel/p?skuId=18400"</f>
        <v>https://www.eletrotrafo.com.br/curva-horizontal-90g-para-perfilado-38x38---inecel/p?skuId=18400</v>
      </c>
    </row>
    <row r="1850" spans="1:9" x14ac:dyDescent="0.25">
      <c r="A1850" s="29" t="s">
        <v>12</v>
      </c>
      <c r="B1850" s="29" t="s">
        <v>97</v>
      </c>
      <c r="C1850" s="29" t="s">
        <v>34</v>
      </c>
      <c r="D1850" s="37" t="s">
        <v>2185</v>
      </c>
      <c r="E1850" s="29" t="s">
        <v>798</v>
      </c>
      <c r="F1850" s="29" t="s">
        <v>36</v>
      </c>
      <c r="G1850" s="29">
        <v>19.95</v>
      </c>
      <c r="H1850" s="71" t="s">
        <v>800</v>
      </c>
      <c r="I1850" s="37" t="str">
        <f>"https://www.infraeletrocalhas.com.br/perfilados.asp?produto=Perfilado"</f>
        <v>https://www.infraeletrocalhas.com.br/perfilados.asp?produto=Perfilado</v>
      </c>
    </row>
    <row r="1851" spans="1:9" x14ac:dyDescent="0.25">
      <c r="A1851" s="29" t="s">
        <v>12</v>
      </c>
      <c r="B1851" s="29" t="s">
        <v>97</v>
      </c>
      <c r="C1851" s="29" t="s">
        <v>34</v>
      </c>
      <c r="D1851" s="37" t="s">
        <v>1067</v>
      </c>
      <c r="E1851" s="29" t="s">
        <v>798</v>
      </c>
      <c r="F1851" s="29" t="s">
        <v>36</v>
      </c>
      <c r="G1851" s="29">
        <v>3.95</v>
      </c>
      <c r="H1851" s="71" t="s">
        <v>800</v>
      </c>
      <c r="I1851" s="37" t="str">
        <f>"https://www.infraeletrocalhas.com.br/perfilados.asp?produto=Perfilado"</f>
        <v>https://www.infraeletrocalhas.com.br/perfilados.asp?produto=Perfilado</v>
      </c>
    </row>
    <row r="1852" spans="1:9" x14ac:dyDescent="0.25">
      <c r="A1852" s="29" t="s">
        <v>12</v>
      </c>
      <c r="B1852" s="29" t="s">
        <v>97</v>
      </c>
      <c r="C1852" s="29" t="s">
        <v>34</v>
      </c>
      <c r="D1852" s="37" t="s">
        <v>1068</v>
      </c>
      <c r="E1852" s="29" t="s">
        <v>798</v>
      </c>
      <c r="F1852" s="29" t="s">
        <v>36</v>
      </c>
      <c r="G1852" s="29">
        <v>2.95</v>
      </c>
      <c r="H1852" s="71" t="s">
        <v>800</v>
      </c>
      <c r="I1852" s="37" t="str">
        <f>"https://www.infraeletrocalhas.com.br/perfilados.asp?produto=Perfilado"</f>
        <v>https://www.infraeletrocalhas.com.br/perfilados.asp?produto=Perfilado</v>
      </c>
    </row>
    <row r="1853" spans="1:9" x14ac:dyDescent="0.25">
      <c r="A1853" s="29" t="s">
        <v>12</v>
      </c>
      <c r="B1853" s="29" t="s">
        <v>97</v>
      </c>
      <c r="C1853" s="29" t="s">
        <v>34</v>
      </c>
      <c r="D1853" s="37" t="s">
        <v>2029</v>
      </c>
      <c r="E1853" s="29" t="s">
        <v>788</v>
      </c>
      <c r="F1853" s="29" t="s">
        <v>36</v>
      </c>
      <c r="G1853" s="29">
        <v>3.14</v>
      </c>
      <c r="H1853" s="71" t="s">
        <v>740</v>
      </c>
      <c r="I1853" s="37" t="str">
        <f>"https://www.eletrotrafo.com.br/eletrocalha-galv-38x38-emenda-i-cod--dp-519-03030003/p?skuId=18435"</f>
        <v>https://www.eletrotrafo.com.br/eletrocalha-galv-38x38-emenda-i-cod--dp-519-03030003/p?skuId=18435</v>
      </c>
    </row>
    <row r="1854" spans="1:9" x14ac:dyDescent="0.25">
      <c r="A1854" s="29" t="s">
        <v>12</v>
      </c>
      <c r="B1854" s="29" t="s">
        <v>97</v>
      </c>
      <c r="C1854" s="29" t="s">
        <v>34</v>
      </c>
      <c r="D1854" s="37" t="s">
        <v>2030</v>
      </c>
      <c r="E1854" s="29" t="s">
        <v>788</v>
      </c>
      <c r="F1854" s="29" t="s">
        <v>36</v>
      </c>
      <c r="G1854" s="29">
        <v>4.82</v>
      </c>
      <c r="H1854" s="71" t="s">
        <v>740</v>
      </c>
      <c r="I1854" s="37" t="str">
        <f>"https://www.eletrotrafo.com.br/eletrocalha-galv-38x38-emenda-l-cod--dp-520-03030004/p?skuId=18429"</f>
        <v>https://www.eletrotrafo.com.br/eletrocalha-galv-38x38-emenda-l-cod--dp-520-03030004/p?skuId=18429</v>
      </c>
    </row>
    <row r="1855" spans="1:9" x14ac:dyDescent="0.25">
      <c r="A1855" s="29" t="s">
        <v>12</v>
      </c>
      <c r="B1855" s="29" t="s">
        <v>97</v>
      </c>
      <c r="C1855" s="29" t="s">
        <v>34</v>
      </c>
      <c r="D1855" s="37" t="s">
        <v>2031</v>
      </c>
      <c r="E1855" s="29" t="s">
        <v>788</v>
      </c>
      <c r="F1855" s="29" t="s">
        <v>36</v>
      </c>
      <c r="G1855" s="29">
        <v>4.7</v>
      </c>
      <c r="H1855" s="71" t="s">
        <v>740</v>
      </c>
      <c r="I1855" s="37" t="str">
        <f>"https://www.eletrotrafo.com.br/eletrocalha-galv-38x38-emenda-t-cod--dp-521-03030005/p?skuId=18430"</f>
        <v>https://www.eletrotrafo.com.br/eletrocalha-galv-38x38-emenda-t-cod--dp-521-03030005/p?skuId=18430</v>
      </c>
    </row>
    <row r="1856" spans="1:9" x14ac:dyDescent="0.25">
      <c r="A1856" s="29" t="s">
        <v>12</v>
      </c>
      <c r="B1856" s="29" t="s">
        <v>97</v>
      </c>
      <c r="C1856" s="29" t="s">
        <v>34</v>
      </c>
      <c r="D1856" s="37" t="s">
        <v>2032</v>
      </c>
      <c r="E1856" s="29" t="s">
        <v>788</v>
      </c>
      <c r="F1856" s="29" t="s">
        <v>36</v>
      </c>
      <c r="G1856" s="29">
        <v>8.8699999999999992</v>
      </c>
      <c r="H1856" s="71" t="s">
        <v>740</v>
      </c>
      <c r="I1856" s="37" t="str">
        <f>"https://www.eletrotrafo.com.br/eletrocalha-galv-38x38-emenda-x-cod--dp-522-03030006/p?skuId=18431"</f>
        <v>https://www.eletrotrafo.com.br/eletrocalha-galv-38x38-emenda-x-cod--dp-522-03030006/p?skuId=18431</v>
      </c>
    </row>
    <row r="1857" spans="1:9" x14ac:dyDescent="0.25">
      <c r="A1857" s="29" t="s">
        <v>12</v>
      </c>
      <c r="B1857" s="29" t="s">
        <v>97</v>
      </c>
      <c r="C1857" s="29" t="s">
        <v>34</v>
      </c>
      <c r="D1857" s="37" t="s">
        <v>1069</v>
      </c>
      <c r="E1857" s="29" t="s">
        <v>788</v>
      </c>
      <c r="F1857" s="29" t="s">
        <v>36</v>
      </c>
      <c r="G1857" s="29">
        <v>2.12</v>
      </c>
      <c r="H1857" s="71" t="s">
        <v>740</v>
      </c>
      <c r="I1857" s="37" t="str">
        <f>"https://www.eletrotrafo.com.br/eletrocalha-galv-grapa-fixa-dp-051-13370138/p?skuId=18436"</f>
        <v>https://www.eletrotrafo.com.br/eletrocalha-galv-grapa-fixa-dp-051-13370138/p?skuId=18436</v>
      </c>
    </row>
    <row r="1858" spans="1:9" x14ac:dyDescent="0.25">
      <c r="A1858" s="29" t="s">
        <v>12</v>
      </c>
      <c r="B1858" s="29" t="s">
        <v>97</v>
      </c>
      <c r="C1858" s="29" t="s">
        <v>34</v>
      </c>
      <c r="D1858" s="37" t="s">
        <v>3726</v>
      </c>
      <c r="E1858" s="29" t="s">
        <v>37</v>
      </c>
      <c r="F1858" s="29" t="s">
        <v>36</v>
      </c>
      <c r="I1858" s="37"/>
    </row>
    <row r="1859" spans="1:9" x14ac:dyDescent="0.25">
      <c r="A1859" s="29" t="s">
        <v>12</v>
      </c>
      <c r="B1859" s="29" t="s">
        <v>97</v>
      </c>
      <c r="C1859" s="29" t="s">
        <v>34</v>
      </c>
      <c r="D1859" s="37" t="s">
        <v>3727</v>
      </c>
      <c r="E1859" s="29" t="s">
        <v>37</v>
      </c>
      <c r="F1859" s="29" t="s">
        <v>36</v>
      </c>
      <c r="I1859" s="37"/>
    </row>
    <row r="1860" spans="1:9" x14ac:dyDescent="0.25">
      <c r="A1860" s="29" t="s">
        <v>12</v>
      </c>
      <c r="B1860" s="29" t="s">
        <v>97</v>
      </c>
      <c r="C1860" s="29" t="s">
        <v>34</v>
      </c>
      <c r="D1860" s="37" t="s">
        <v>3728</v>
      </c>
      <c r="E1860" s="29" t="s">
        <v>37</v>
      </c>
      <c r="F1860" s="29" t="s">
        <v>36</v>
      </c>
      <c r="I1860" s="37"/>
    </row>
    <row r="1861" spans="1:9" x14ac:dyDescent="0.25">
      <c r="A1861" s="29" t="s">
        <v>12</v>
      </c>
      <c r="B1861" s="29" t="s">
        <v>97</v>
      </c>
      <c r="C1861" s="29" t="s">
        <v>34</v>
      </c>
      <c r="D1861" s="37" t="s">
        <v>1351</v>
      </c>
      <c r="E1861" s="29" t="s">
        <v>798</v>
      </c>
      <c r="F1861" s="29" t="s">
        <v>36</v>
      </c>
      <c r="G1861" s="29">
        <v>2.8</v>
      </c>
      <c r="H1861" s="71" t="s">
        <v>800</v>
      </c>
      <c r="I1861" s="37" t="str">
        <f t="shared" ref="I1861:I1876" si="26">"https://www.infraeletrocalhas.com.br/perfilados.asp?produto=Perfilado"</f>
        <v>https://www.infraeletrocalhas.com.br/perfilados.asp?produto=Perfilado</v>
      </c>
    </row>
    <row r="1862" spans="1:9" x14ac:dyDescent="0.25">
      <c r="A1862" s="29" t="s">
        <v>12</v>
      </c>
      <c r="B1862" s="29" t="s">
        <v>97</v>
      </c>
      <c r="C1862" s="29" t="s">
        <v>34</v>
      </c>
      <c r="D1862" s="37" t="s">
        <v>1352</v>
      </c>
      <c r="E1862" s="29" t="s">
        <v>798</v>
      </c>
      <c r="F1862" s="29" t="s">
        <v>36</v>
      </c>
      <c r="G1862" s="29">
        <v>2.8</v>
      </c>
      <c r="H1862" s="71" t="s">
        <v>800</v>
      </c>
      <c r="I1862" s="37" t="str">
        <f t="shared" si="26"/>
        <v>https://www.infraeletrocalhas.com.br/perfilados.asp?produto=Perfilado</v>
      </c>
    </row>
    <row r="1863" spans="1:9" x14ac:dyDescent="0.25">
      <c r="A1863" s="29" t="s">
        <v>12</v>
      </c>
      <c r="B1863" s="29" t="s">
        <v>97</v>
      </c>
      <c r="C1863" s="29" t="s">
        <v>34</v>
      </c>
      <c r="D1863" s="37" t="s">
        <v>1353</v>
      </c>
      <c r="E1863" s="29" t="s">
        <v>798</v>
      </c>
      <c r="F1863" s="29" t="s">
        <v>36</v>
      </c>
      <c r="G1863" s="29">
        <v>5.95</v>
      </c>
      <c r="H1863" s="71" t="s">
        <v>800</v>
      </c>
      <c r="I1863" s="37" t="str">
        <f t="shared" si="26"/>
        <v>https://www.infraeletrocalhas.com.br/perfilados.asp?produto=Perfilado</v>
      </c>
    </row>
    <row r="1864" spans="1:9" x14ac:dyDescent="0.25">
      <c r="A1864" s="29" t="s">
        <v>12</v>
      </c>
      <c r="B1864" s="29" t="s">
        <v>97</v>
      </c>
      <c r="C1864" s="29" t="s">
        <v>34</v>
      </c>
      <c r="D1864" s="37" t="s">
        <v>1354</v>
      </c>
      <c r="E1864" s="29" t="s">
        <v>798</v>
      </c>
      <c r="F1864" s="29" t="s">
        <v>36</v>
      </c>
      <c r="G1864" s="29">
        <v>5.55</v>
      </c>
      <c r="H1864" s="71" t="s">
        <v>800</v>
      </c>
      <c r="I1864" s="37" t="str">
        <f t="shared" si="26"/>
        <v>https://www.infraeletrocalhas.com.br/perfilados.asp?produto=Perfilado</v>
      </c>
    </row>
    <row r="1865" spans="1:9" x14ac:dyDescent="0.25">
      <c r="A1865" s="29" t="s">
        <v>12</v>
      </c>
      <c r="B1865" s="29" t="s">
        <v>97</v>
      </c>
      <c r="C1865" s="29" t="s">
        <v>34</v>
      </c>
      <c r="D1865" s="37" t="s">
        <v>1355</v>
      </c>
      <c r="E1865" s="29" t="s">
        <v>798</v>
      </c>
      <c r="F1865" s="29" t="s">
        <v>36</v>
      </c>
      <c r="G1865" s="29">
        <v>5.95</v>
      </c>
      <c r="H1865" s="71" t="s">
        <v>800</v>
      </c>
      <c r="I1865" s="37" t="str">
        <f t="shared" si="26"/>
        <v>https://www.infraeletrocalhas.com.br/perfilados.asp?produto=Perfilado</v>
      </c>
    </row>
    <row r="1866" spans="1:9" x14ac:dyDescent="0.25">
      <c r="A1866" s="29" t="s">
        <v>12</v>
      </c>
      <c r="B1866" s="29" t="s">
        <v>97</v>
      </c>
      <c r="C1866" s="29" t="s">
        <v>34</v>
      </c>
      <c r="D1866" s="37" t="s">
        <v>1356</v>
      </c>
      <c r="E1866" s="29" t="s">
        <v>798</v>
      </c>
      <c r="F1866" s="29" t="s">
        <v>36</v>
      </c>
      <c r="G1866" s="29">
        <v>6.95</v>
      </c>
      <c r="H1866" s="71" t="s">
        <v>800</v>
      </c>
      <c r="I1866" s="37" t="str">
        <f t="shared" si="26"/>
        <v>https://www.infraeletrocalhas.com.br/perfilados.asp?produto=Perfilado</v>
      </c>
    </row>
    <row r="1867" spans="1:9" x14ac:dyDescent="0.25">
      <c r="A1867" s="29" t="s">
        <v>12</v>
      </c>
      <c r="B1867" s="29" t="s">
        <v>97</v>
      </c>
      <c r="C1867" s="29" t="s">
        <v>34</v>
      </c>
      <c r="D1867" s="37" t="s">
        <v>1357</v>
      </c>
      <c r="E1867" s="29" t="s">
        <v>798</v>
      </c>
      <c r="F1867" s="29" t="s">
        <v>36</v>
      </c>
      <c r="G1867" s="29">
        <v>7.5</v>
      </c>
      <c r="H1867" s="71" t="s">
        <v>800</v>
      </c>
      <c r="I1867" s="37" t="str">
        <f t="shared" si="26"/>
        <v>https://www.infraeletrocalhas.com.br/perfilados.asp?produto=Perfilado</v>
      </c>
    </row>
    <row r="1868" spans="1:9" x14ac:dyDescent="0.25">
      <c r="A1868" s="29" t="s">
        <v>12</v>
      </c>
      <c r="B1868" s="29" t="s">
        <v>97</v>
      </c>
      <c r="C1868" s="29" t="s">
        <v>34</v>
      </c>
      <c r="D1868" s="37" t="s">
        <v>1358</v>
      </c>
      <c r="E1868" s="29" t="s">
        <v>798</v>
      </c>
      <c r="F1868" s="29" t="s">
        <v>36</v>
      </c>
      <c r="G1868" s="29">
        <v>9.1999999999999993</v>
      </c>
      <c r="H1868" s="71" t="s">
        <v>800</v>
      </c>
      <c r="I1868" s="37" t="str">
        <f t="shared" si="26"/>
        <v>https://www.infraeletrocalhas.com.br/perfilados.asp?produto=Perfilado</v>
      </c>
    </row>
    <row r="1869" spans="1:9" x14ac:dyDescent="0.25">
      <c r="A1869" s="29" t="s">
        <v>12</v>
      </c>
      <c r="B1869" s="29" t="s">
        <v>97</v>
      </c>
      <c r="C1869" s="29" t="s">
        <v>34</v>
      </c>
      <c r="D1869" s="37" t="s">
        <v>1815</v>
      </c>
      <c r="E1869" s="29" t="s">
        <v>798</v>
      </c>
      <c r="F1869" s="29" t="s">
        <v>36</v>
      </c>
      <c r="G1869" s="29">
        <v>85.95</v>
      </c>
      <c r="H1869" s="71" t="s">
        <v>800</v>
      </c>
      <c r="I1869" s="37" t="str">
        <f t="shared" si="26"/>
        <v>https://www.infraeletrocalhas.com.br/perfilados.asp?produto=Perfilado</v>
      </c>
    </row>
    <row r="1870" spans="1:9" x14ac:dyDescent="0.25">
      <c r="A1870" s="29" t="s">
        <v>12</v>
      </c>
      <c r="B1870" s="29" t="s">
        <v>97</v>
      </c>
      <c r="C1870" s="29" t="s">
        <v>34</v>
      </c>
      <c r="D1870" s="37" t="s">
        <v>1816</v>
      </c>
      <c r="E1870" s="29" t="s">
        <v>798</v>
      </c>
      <c r="F1870" s="29" t="s">
        <v>36</v>
      </c>
      <c r="G1870" s="29">
        <v>69.95</v>
      </c>
      <c r="H1870" s="71" t="s">
        <v>800</v>
      </c>
      <c r="I1870" s="37" t="str">
        <f t="shared" si="26"/>
        <v>https://www.infraeletrocalhas.com.br/perfilados.asp?produto=Perfilado</v>
      </c>
    </row>
    <row r="1871" spans="1:9" x14ac:dyDescent="0.25">
      <c r="A1871" s="29" t="s">
        <v>12</v>
      </c>
      <c r="B1871" s="29" t="s">
        <v>97</v>
      </c>
      <c r="C1871" s="29" t="s">
        <v>34</v>
      </c>
      <c r="D1871" s="37" t="s">
        <v>1817</v>
      </c>
      <c r="E1871" s="29" t="s">
        <v>798</v>
      </c>
      <c r="F1871" s="29" t="s">
        <v>36</v>
      </c>
      <c r="G1871" s="29">
        <v>49.95</v>
      </c>
      <c r="H1871" s="71" t="s">
        <v>800</v>
      </c>
      <c r="I1871" s="37" t="str">
        <f t="shared" si="26"/>
        <v>https://www.infraeletrocalhas.com.br/perfilados.asp?produto=Perfilado</v>
      </c>
    </row>
    <row r="1872" spans="1:9" x14ac:dyDescent="0.25">
      <c r="A1872" s="29" t="s">
        <v>12</v>
      </c>
      <c r="B1872" s="29" t="s">
        <v>97</v>
      </c>
      <c r="C1872" s="29" t="s">
        <v>34</v>
      </c>
      <c r="D1872" s="37" t="s">
        <v>1818</v>
      </c>
      <c r="E1872" s="29" t="s">
        <v>798</v>
      </c>
      <c r="F1872" s="29" t="s">
        <v>36</v>
      </c>
      <c r="G1872" s="29">
        <v>25.95</v>
      </c>
      <c r="H1872" s="71" t="s">
        <v>800</v>
      </c>
      <c r="I1872" s="37" t="str">
        <f t="shared" si="26"/>
        <v>https://www.infraeletrocalhas.com.br/perfilados.asp?produto=Perfilado</v>
      </c>
    </row>
    <row r="1873" spans="1:9" x14ac:dyDescent="0.25">
      <c r="A1873" s="29" t="s">
        <v>12</v>
      </c>
      <c r="B1873" s="29" t="s">
        <v>97</v>
      </c>
      <c r="C1873" s="29" t="s">
        <v>34</v>
      </c>
      <c r="D1873" s="37" t="s">
        <v>1819</v>
      </c>
      <c r="E1873" s="29" t="s">
        <v>798</v>
      </c>
      <c r="F1873" s="29" t="s">
        <v>36</v>
      </c>
      <c r="G1873" s="29">
        <v>102.6</v>
      </c>
      <c r="H1873" s="71" t="s">
        <v>800</v>
      </c>
      <c r="I1873" s="37" t="str">
        <f t="shared" si="26"/>
        <v>https://www.infraeletrocalhas.com.br/perfilados.asp?produto=Perfilado</v>
      </c>
    </row>
    <row r="1874" spans="1:9" x14ac:dyDescent="0.25">
      <c r="A1874" s="29" t="s">
        <v>12</v>
      </c>
      <c r="B1874" s="29" t="s">
        <v>97</v>
      </c>
      <c r="C1874" s="29" t="s">
        <v>34</v>
      </c>
      <c r="D1874" s="37" t="s">
        <v>1820</v>
      </c>
      <c r="E1874" s="29" t="s">
        <v>798</v>
      </c>
      <c r="F1874" s="29" t="s">
        <v>36</v>
      </c>
      <c r="G1874" s="29">
        <v>84.95</v>
      </c>
      <c r="H1874" s="71" t="s">
        <v>800</v>
      </c>
      <c r="I1874" s="37" t="str">
        <f t="shared" si="26"/>
        <v>https://www.infraeletrocalhas.com.br/perfilados.asp?produto=Perfilado</v>
      </c>
    </row>
    <row r="1875" spans="1:9" x14ac:dyDescent="0.25">
      <c r="A1875" s="29" t="s">
        <v>12</v>
      </c>
      <c r="B1875" s="29" t="s">
        <v>97</v>
      </c>
      <c r="C1875" s="29" t="s">
        <v>34</v>
      </c>
      <c r="D1875" s="37" t="s">
        <v>1821</v>
      </c>
      <c r="E1875" s="29" t="s">
        <v>798</v>
      </c>
      <c r="F1875" s="29" t="s">
        <v>36</v>
      </c>
      <c r="G1875" s="29">
        <v>68.400000000000006</v>
      </c>
      <c r="H1875" s="71" t="s">
        <v>800</v>
      </c>
      <c r="I1875" s="37" t="str">
        <f t="shared" si="26"/>
        <v>https://www.infraeletrocalhas.com.br/perfilados.asp?produto=Perfilado</v>
      </c>
    </row>
    <row r="1876" spans="1:9" x14ac:dyDescent="0.25">
      <c r="A1876" s="29" t="s">
        <v>12</v>
      </c>
      <c r="B1876" s="29" t="s">
        <v>97</v>
      </c>
      <c r="C1876" s="29" t="s">
        <v>34</v>
      </c>
      <c r="D1876" s="37" t="s">
        <v>1822</v>
      </c>
      <c r="E1876" s="29" t="s">
        <v>798</v>
      </c>
      <c r="F1876" s="29" t="s">
        <v>36</v>
      </c>
      <c r="G1876" s="29">
        <v>29.5</v>
      </c>
      <c r="H1876" s="71" t="s">
        <v>800</v>
      </c>
      <c r="I1876" s="37" t="str">
        <f t="shared" si="26"/>
        <v>https://www.infraeletrocalhas.com.br/perfilados.asp?produto=Perfilado</v>
      </c>
    </row>
    <row r="1877" spans="1:9" x14ac:dyDescent="0.25">
      <c r="A1877" s="29" t="s">
        <v>12</v>
      </c>
      <c r="B1877" s="29" t="s">
        <v>97</v>
      </c>
      <c r="C1877" s="29">
        <v>39328</v>
      </c>
      <c r="D1877" s="37" t="s">
        <v>1359</v>
      </c>
      <c r="E1877" s="29" t="s">
        <v>37</v>
      </c>
      <c r="F1877" s="29" t="s">
        <v>44</v>
      </c>
      <c r="G1877" s="29">
        <v>4.45</v>
      </c>
      <c r="H1877" s="71" t="s">
        <v>38</v>
      </c>
      <c r="I1877" s="37" t="s">
        <v>207</v>
      </c>
    </row>
    <row r="1878" spans="1:9" x14ac:dyDescent="0.25">
      <c r="A1878" s="29" t="s">
        <v>12</v>
      </c>
      <c r="B1878" s="29" t="s">
        <v>97</v>
      </c>
      <c r="C1878" s="29">
        <v>39029</v>
      </c>
      <c r="D1878" s="37" t="s">
        <v>1360</v>
      </c>
      <c r="E1878" s="29" t="s">
        <v>37</v>
      </c>
      <c r="F1878" s="29" t="s">
        <v>44</v>
      </c>
      <c r="G1878" s="29">
        <v>13.89</v>
      </c>
      <c r="H1878" s="71" t="s">
        <v>38</v>
      </c>
      <c r="I1878" s="37" t="s">
        <v>207</v>
      </c>
    </row>
    <row r="1879" spans="1:9" x14ac:dyDescent="0.25">
      <c r="A1879" s="29" t="s">
        <v>12</v>
      </c>
      <c r="B1879" s="29" t="s">
        <v>97</v>
      </c>
      <c r="C1879" s="29">
        <v>39028</v>
      </c>
      <c r="D1879" s="37" t="s">
        <v>1361</v>
      </c>
      <c r="E1879" s="29" t="s">
        <v>37</v>
      </c>
      <c r="F1879" s="29" t="s">
        <v>44</v>
      </c>
      <c r="G1879" s="29">
        <v>8.09</v>
      </c>
      <c r="H1879" s="71" t="s">
        <v>38</v>
      </c>
      <c r="I1879" s="37" t="s">
        <v>207</v>
      </c>
    </row>
    <row r="1880" spans="1:9" x14ac:dyDescent="0.25">
      <c r="A1880" s="29" t="s">
        <v>12</v>
      </c>
      <c r="B1880" s="29" t="s">
        <v>97</v>
      </c>
      <c r="C1880" s="29" t="s">
        <v>34</v>
      </c>
      <c r="D1880" s="37" t="s">
        <v>1070</v>
      </c>
      <c r="E1880" s="29" t="s">
        <v>798</v>
      </c>
      <c r="F1880" s="29" t="s">
        <v>36</v>
      </c>
      <c r="G1880" s="29">
        <v>2.15</v>
      </c>
      <c r="H1880" s="71" t="s">
        <v>800</v>
      </c>
      <c r="I1880" s="37" t="str">
        <f t="shared" ref="I1880:I1885" si="27">"https://www.infraeletrocalhas.com.br/perfilados.asp?produto=Perfilado"</f>
        <v>https://www.infraeletrocalhas.com.br/perfilados.asp?produto=Perfilado</v>
      </c>
    </row>
    <row r="1881" spans="1:9" x14ac:dyDescent="0.25">
      <c r="A1881" s="29" t="s">
        <v>12</v>
      </c>
      <c r="B1881" s="29" t="s">
        <v>97</v>
      </c>
      <c r="C1881" s="29" t="s">
        <v>34</v>
      </c>
      <c r="D1881" s="37" t="s">
        <v>1071</v>
      </c>
      <c r="E1881" s="29" t="s">
        <v>798</v>
      </c>
      <c r="F1881" s="29" t="s">
        <v>36</v>
      </c>
      <c r="G1881" s="29">
        <v>2.15</v>
      </c>
      <c r="H1881" s="71" t="s">
        <v>800</v>
      </c>
      <c r="I1881" s="37" t="str">
        <f t="shared" si="27"/>
        <v>https://www.infraeletrocalhas.com.br/perfilados.asp?produto=Perfilado</v>
      </c>
    </row>
    <row r="1882" spans="1:9" x14ac:dyDescent="0.25">
      <c r="A1882" s="29" t="s">
        <v>12</v>
      </c>
      <c r="B1882" s="29" t="s">
        <v>97</v>
      </c>
      <c r="C1882" s="29" t="s">
        <v>34</v>
      </c>
      <c r="D1882" s="37" t="s">
        <v>1072</v>
      </c>
      <c r="E1882" s="29" t="s">
        <v>798</v>
      </c>
      <c r="F1882" s="29" t="s">
        <v>36</v>
      </c>
      <c r="G1882" s="29">
        <v>2.15</v>
      </c>
      <c r="H1882" s="71" t="s">
        <v>800</v>
      </c>
      <c r="I1882" s="37" t="str">
        <f t="shared" si="27"/>
        <v>https://www.infraeletrocalhas.com.br/perfilados.asp?produto=Perfilado</v>
      </c>
    </row>
    <row r="1883" spans="1:9" x14ac:dyDescent="0.25">
      <c r="A1883" s="29" t="s">
        <v>12</v>
      </c>
      <c r="B1883" s="29" t="s">
        <v>97</v>
      </c>
      <c r="C1883" s="29" t="s">
        <v>34</v>
      </c>
      <c r="D1883" s="37" t="s">
        <v>1073</v>
      </c>
      <c r="E1883" s="29" t="s">
        <v>798</v>
      </c>
      <c r="F1883" s="29" t="s">
        <v>36</v>
      </c>
      <c r="G1883" s="29">
        <v>2.95</v>
      </c>
      <c r="H1883" s="71" t="s">
        <v>800</v>
      </c>
      <c r="I1883" s="37" t="str">
        <f t="shared" si="27"/>
        <v>https://www.infraeletrocalhas.com.br/perfilados.asp?produto=Perfilado</v>
      </c>
    </row>
    <row r="1884" spans="1:9" x14ac:dyDescent="0.25">
      <c r="A1884" s="29" t="s">
        <v>12</v>
      </c>
      <c r="B1884" s="29" t="s">
        <v>97</v>
      </c>
      <c r="C1884" s="29" t="s">
        <v>34</v>
      </c>
      <c r="D1884" s="37" t="s">
        <v>1074</v>
      </c>
      <c r="E1884" s="29" t="s">
        <v>798</v>
      </c>
      <c r="F1884" s="29" t="s">
        <v>36</v>
      </c>
      <c r="G1884" s="29">
        <v>2.95</v>
      </c>
      <c r="H1884" s="71" t="s">
        <v>800</v>
      </c>
      <c r="I1884" s="37" t="str">
        <f t="shared" si="27"/>
        <v>https://www.infraeletrocalhas.com.br/perfilados.asp?produto=Perfilado</v>
      </c>
    </row>
    <row r="1885" spans="1:9" x14ac:dyDescent="0.25">
      <c r="A1885" s="29" t="s">
        <v>12</v>
      </c>
      <c r="B1885" s="29" t="s">
        <v>97</v>
      </c>
      <c r="C1885" s="29" t="s">
        <v>34</v>
      </c>
      <c r="D1885" s="37" t="s">
        <v>1075</v>
      </c>
      <c r="E1885" s="29" t="s">
        <v>798</v>
      </c>
      <c r="F1885" s="29" t="s">
        <v>36</v>
      </c>
      <c r="G1885" s="29">
        <v>2.95</v>
      </c>
      <c r="H1885" s="71" t="s">
        <v>800</v>
      </c>
      <c r="I1885" s="37" t="str">
        <f t="shared" si="27"/>
        <v>https://www.infraeletrocalhas.com.br/perfilados.asp?produto=Perfilado</v>
      </c>
    </row>
    <row r="1886" spans="1:9" x14ac:dyDescent="0.25">
      <c r="A1886" s="29" t="s">
        <v>12</v>
      </c>
      <c r="B1886" s="29" t="s">
        <v>97</v>
      </c>
      <c r="C1886" s="29" t="s">
        <v>34</v>
      </c>
      <c r="D1886" s="37" t="s">
        <v>1076</v>
      </c>
      <c r="E1886" s="29" t="s">
        <v>792</v>
      </c>
      <c r="F1886" s="29" t="s">
        <v>36</v>
      </c>
      <c r="G1886" s="29">
        <v>2.6</v>
      </c>
      <c r="H1886" s="71" t="s">
        <v>793</v>
      </c>
      <c r="I1886" s="37" t="str">
        <f>"https://www.marmota.com.br/saida-lateral-para-perfilado-1-perfilex-p49552?pp=/182.1443/"</f>
        <v>https://www.marmota.com.br/saida-lateral-para-perfilado-1-perfilex-p49552?pp=/182.1443/</v>
      </c>
    </row>
    <row r="1887" spans="1:9" x14ac:dyDescent="0.25">
      <c r="A1887" s="29" t="s">
        <v>12</v>
      </c>
      <c r="B1887" s="29" t="s">
        <v>97</v>
      </c>
      <c r="C1887" s="29" t="s">
        <v>34</v>
      </c>
      <c r="D1887" s="37" t="s">
        <v>1077</v>
      </c>
      <c r="E1887" s="29" t="s">
        <v>792</v>
      </c>
      <c r="F1887" s="29" t="s">
        <v>36</v>
      </c>
      <c r="G1887" s="29">
        <v>2.65</v>
      </c>
      <c r="H1887" s="71" t="s">
        <v>793</v>
      </c>
      <c r="I1887" s="37" t="str">
        <f>"https://www.marmota.com.br/saida-lateral-para-perfilado-1-2-perfilex-p51387?pp=/182.1443/"</f>
        <v>https://www.marmota.com.br/saida-lateral-para-perfilado-1-2-perfilex-p51387?pp=/182.1443/</v>
      </c>
    </row>
    <row r="1888" spans="1:9" x14ac:dyDescent="0.25">
      <c r="A1888" s="29" t="s">
        <v>12</v>
      </c>
      <c r="B1888" s="29" t="s">
        <v>97</v>
      </c>
      <c r="C1888" s="29" t="s">
        <v>34</v>
      </c>
      <c r="D1888" s="37" t="s">
        <v>1078</v>
      </c>
      <c r="E1888" s="29" t="s">
        <v>792</v>
      </c>
      <c r="F1888" s="29" t="s">
        <v>36</v>
      </c>
      <c r="G1888" s="29">
        <v>2.7</v>
      </c>
      <c r="H1888" s="71" t="s">
        <v>793</v>
      </c>
      <c r="I1888" s="37" t="str">
        <f>"https://www.marmota.com.br/saida-lateral-para-perfilado-3-4-perfilex-p51817?pp=/182.1443/"</f>
        <v>https://www.marmota.com.br/saida-lateral-para-perfilado-3-4-perfilex-p51817?pp=/182.1443/</v>
      </c>
    </row>
    <row r="1889" spans="1:9" x14ac:dyDescent="0.25">
      <c r="A1889" s="29" t="s">
        <v>12</v>
      </c>
      <c r="B1889" s="29" t="s">
        <v>97</v>
      </c>
      <c r="C1889" s="29" t="s">
        <v>34</v>
      </c>
      <c r="D1889" s="37" t="s">
        <v>1079</v>
      </c>
      <c r="E1889" s="29" t="s">
        <v>798</v>
      </c>
      <c r="F1889" s="29" t="s">
        <v>36</v>
      </c>
      <c r="G1889" s="29">
        <v>3.75</v>
      </c>
      <c r="H1889" s="71" t="s">
        <v>800</v>
      </c>
      <c r="I1889" s="37" t="str">
        <f>"https://www.infraeletrocalhas.com.br/perfilados.asp?produto=Perfilado"</f>
        <v>https://www.infraeletrocalhas.com.br/perfilados.asp?produto=Perfilado</v>
      </c>
    </row>
    <row r="1890" spans="1:9" x14ac:dyDescent="0.25">
      <c r="A1890" s="29" t="s">
        <v>12</v>
      </c>
      <c r="B1890" s="29" t="s">
        <v>97</v>
      </c>
      <c r="C1890" s="29" t="s">
        <v>34</v>
      </c>
      <c r="D1890" s="37" t="s">
        <v>1080</v>
      </c>
      <c r="E1890" s="29" t="s">
        <v>798</v>
      </c>
      <c r="F1890" s="29" t="s">
        <v>36</v>
      </c>
      <c r="G1890" s="29">
        <v>2.15</v>
      </c>
      <c r="H1890" s="71" t="s">
        <v>800</v>
      </c>
      <c r="I1890" s="37" t="str">
        <f>"https://www.infraeletrocalhas.com.br/perfilados.asp?produto=Perfilado"</f>
        <v>https://www.infraeletrocalhas.com.br/perfilados.asp?produto=Perfilado</v>
      </c>
    </row>
    <row r="1891" spans="1:9" x14ac:dyDescent="0.25">
      <c r="A1891" s="29" t="s">
        <v>12</v>
      </c>
      <c r="B1891" s="29" t="s">
        <v>97</v>
      </c>
      <c r="C1891" s="29" t="s">
        <v>34</v>
      </c>
      <c r="D1891" s="37" t="s">
        <v>1081</v>
      </c>
      <c r="E1891" s="29" t="s">
        <v>798</v>
      </c>
      <c r="F1891" s="29" t="s">
        <v>36</v>
      </c>
      <c r="G1891" s="29">
        <v>2.75</v>
      </c>
      <c r="H1891" s="71" t="s">
        <v>800</v>
      </c>
      <c r="I1891" s="37" t="str">
        <f>"https://www.infraeletrocalhas.com.br/perfilados.asp?produto=Perfilado"</f>
        <v>https://www.infraeletrocalhas.com.br/perfilados.asp?produto=Perfilado</v>
      </c>
    </row>
    <row r="1892" spans="1:9" x14ac:dyDescent="0.25">
      <c r="A1892" s="29" t="s">
        <v>12</v>
      </c>
      <c r="B1892" s="29" t="s">
        <v>97</v>
      </c>
      <c r="C1892" s="29" t="s">
        <v>34</v>
      </c>
      <c r="D1892" s="37" t="s">
        <v>1605</v>
      </c>
      <c r="E1892" s="29" t="s">
        <v>792</v>
      </c>
      <c r="F1892" s="29" t="s">
        <v>36</v>
      </c>
      <c r="G1892" s="29">
        <v>2.94</v>
      </c>
      <c r="H1892" s="71" t="s">
        <v>793</v>
      </c>
      <c r="I1892" s="37" t="str">
        <f>"https://www.marmota.com.br/saida-superior-de-perfilado-para-eletroduto-3-4-perfilex-p52929?pp=/182.1443/"</f>
        <v>https://www.marmota.com.br/saida-superior-de-perfilado-para-eletroduto-3-4-perfilex-p52929?pp=/182.1443/</v>
      </c>
    </row>
    <row r="1893" spans="1:9" x14ac:dyDescent="0.25">
      <c r="A1893" s="29" t="s">
        <v>12</v>
      </c>
      <c r="B1893" s="29" t="s">
        <v>97</v>
      </c>
      <c r="C1893" s="29" t="s">
        <v>34</v>
      </c>
      <c r="D1893" s="37" t="s">
        <v>1362</v>
      </c>
      <c r="E1893" s="29" t="s">
        <v>798</v>
      </c>
      <c r="F1893" s="29" t="s">
        <v>36</v>
      </c>
      <c r="G1893" s="29">
        <v>6.75</v>
      </c>
      <c r="H1893" s="71" t="s">
        <v>800</v>
      </c>
      <c r="I1893" s="37" t="str">
        <f>"https://www.infraeletrocalhas.com.br/perfilados.asp?produto=Perfilado"</f>
        <v>https://www.infraeletrocalhas.com.br/perfilados.asp?produto=Perfilado</v>
      </c>
    </row>
    <row r="1894" spans="1:9" x14ac:dyDescent="0.25">
      <c r="A1894" s="29" t="s">
        <v>12</v>
      </c>
      <c r="B1894" s="29" t="s">
        <v>97</v>
      </c>
      <c r="C1894" s="29" t="s">
        <v>34</v>
      </c>
      <c r="D1894" s="37" t="s">
        <v>1363</v>
      </c>
      <c r="E1894" s="29" t="s">
        <v>798</v>
      </c>
      <c r="F1894" s="29" t="s">
        <v>36</v>
      </c>
      <c r="G1894" s="29">
        <v>2.95</v>
      </c>
      <c r="H1894" s="71" t="s">
        <v>800</v>
      </c>
      <c r="I1894" s="37" t="str">
        <f>"https://www.infraeletrocalhas.com.br/perfilados.asp?produto=Perfilado"</f>
        <v>https://www.infraeletrocalhas.com.br/perfilados.asp?produto=Perfilado</v>
      </c>
    </row>
    <row r="1895" spans="1:9" x14ac:dyDescent="0.25">
      <c r="A1895" s="29" t="s">
        <v>12</v>
      </c>
      <c r="B1895" s="29" t="s">
        <v>97</v>
      </c>
      <c r="C1895" s="29" t="s">
        <v>34</v>
      </c>
      <c r="D1895" s="37" t="s">
        <v>1082</v>
      </c>
      <c r="E1895" s="29" t="s">
        <v>788</v>
      </c>
      <c r="F1895" s="29" t="s">
        <v>36</v>
      </c>
      <c r="G1895" s="29">
        <v>2.99</v>
      </c>
      <c r="H1895" s="71" t="s">
        <v>740</v>
      </c>
      <c r="I1895" s="37" t="str">
        <f>"https://www.eletrotrafo.com.br/eletrocalha-galv-38x38-sup--p-perfilado-gancho-curto-03030008/p?skuId=16483"</f>
        <v>https://www.eletrotrafo.com.br/eletrocalha-galv-38x38-sup--p-perfilado-gancho-curto-03030008/p?skuId=16483</v>
      </c>
    </row>
    <row r="1896" spans="1:9" x14ac:dyDescent="0.25">
      <c r="A1896" s="29" t="s">
        <v>12</v>
      </c>
      <c r="B1896" s="29" t="s">
        <v>97</v>
      </c>
      <c r="C1896" s="29" t="s">
        <v>34</v>
      </c>
      <c r="D1896" s="37" t="s">
        <v>1083</v>
      </c>
      <c r="E1896" s="29" t="s">
        <v>788</v>
      </c>
      <c r="F1896" s="29" t="s">
        <v>36</v>
      </c>
      <c r="G1896" s="29">
        <v>3.55</v>
      </c>
      <c r="H1896" s="71" t="s">
        <v>740</v>
      </c>
      <c r="I1896" s="37" t="str">
        <f>"https://www.eletrotrafo.com.br/eletrocalha-galv-38x38-sup--p-perfilado-gancho-longo-03030103/p?skuId=18433"</f>
        <v>https://www.eletrotrafo.com.br/eletrocalha-galv-38x38-sup--p-perfilado-gancho-longo-03030103/p?skuId=18433</v>
      </c>
    </row>
    <row r="1897" spans="1:9" x14ac:dyDescent="0.25">
      <c r="A1897" s="29" t="s">
        <v>12</v>
      </c>
      <c r="B1897" s="29" t="s">
        <v>97</v>
      </c>
      <c r="C1897" s="29" t="s">
        <v>34</v>
      </c>
      <c r="D1897" s="37" t="s">
        <v>1084</v>
      </c>
      <c r="E1897" s="29" t="s">
        <v>798</v>
      </c>
      <c r="F1897" s="29" t="s">
        <v>36</v>
      </c>
      <c r="G1897" s="29">
        <v>2.95</v>
      </c>
      <c r="H1897" s="71" t="s">
        <v>800</v>
      </c>
      <c r="I1897" s="37" t="str">
        <f>"https://www.infraeletrocalhas.com.br/perfilados.asp?produto=Perfilado"</f>
        <v>https://www.infraeletrocalhas.com.br/perfilados.asp?produto=Perfilado</v>
      </c>
    </row>
    <row r="1898" spans="1:9" x14ac:dyDescent="0.25">
      <c r="A1898" s="29" t="s">
        <v>12</v>
      </c>
      <c r="B1898" s="29" t="s">
        <v>97</v>
      </c>
      <c r="C1898" s="29" t="s">
        <v>34</v>
      </c>
      <c r="D1898" s="37" t="s">
        <v>1085</v>
      </c>
      <c r="E1898" s="29" t="s">
        <v>798</v>
      </c>
      <c r="F1898" s="29" t="s">
        <v>36</v>
      </c>
      <c r="G1898" s="29">
        <v>3.25</v>
      </c>
      <c r="H1898" s="71" t="s">
        <v>800</v>
      </c>
      <c r="I1898" s="37" t="str">
        <f>"https://www.infraeletrocalhas.com.br/perfilados.asp?produto=Perfilado"</f>
        <v>https://www.infraeletrocalhas.com.br/perfilados.asp?produto=Perfilado</v>
      </c>
    </row>
    <row r="1899" spans="1:9" x14ac:dyDescent="0.25">
      <c r="A1899" s="29" t="s">
        <v>12</v>
      </c>
      <c r="B1899" s="29" t="s">
        <v>97</v>
      </c>
      <c r="C1899" s="29" t="s">
        <v>34</v>
      </c>
      <c r="D1899" s="37" t="s">
        <v>1364</v>
      </c>
      <c r="E1899" s="29" t="s">
        <v>789</v>
      </c>
      <c r="F1899" s="29" t="s">
        <v>36</v>
      </c>
      <c r="G1899" s="29">
        <v>4.66</v>
      </c>
      <c r="H1899" s="71" t="s">
        <v>740</v>
      </c>
      <c r="I1899" s="37" t="str">
        <f>"https://www.eletrotrafo.com.br/leito-galv--suporte-lateral-p-leito-100mm-f-l--70011667/p?skuId=18531"</f>
        <v>https://www.eletrotrafo.com.br/leito-galv--suporte-lateral-p-leito-100mm-f-l--70011667/p?skuId=18531</v>
      </c>
    </row>
    <row r="1900" spans="1:9" x14ac:dyDescent="0.25">
      <c r="A1900" s="29" t="s">
        <v>12</v>
      </c>
      <c r="B1900" s="29" t="s">
        <v>97</v>
      </c>
      <c r="C1900" s="29" t="s">
        <v>34</v>
      </c>
      <c r="D1900" s="37" t="s">
        <v>1606</v>
      </c>
      <c r="E1900" s="29" t="s">
        <v>789</v>
      </c>
      <c r="F1900" s="29" t="s">
        <v>36</v>
      </c>
      <c r="G1900" s="29">
        <v>5.91</v>
      </c>
      <c r="H1900" s="71" t="s">
        <v>740</v>
      </c>
      <c r="I1900" s="37" t="str">
        <f>"https://www.eletrotrafo.com.br/eletrocalha-galv-38x38-suporte-p-cabo-de-aco-tipo-gancho--bd1025-15760025/p?skuId=16520"</f>
        <v>https://www.eletrotrafo.com.br/eletrocalha-galv-38x38-suporte-p-cabo-de-aco-tipo-gancho--bd1025-15760025/p?skuId=16520</v>
      </c>
    </row>
    <row r="1901" spans="1:9" x14ac:dyDescent="0.25">
      <c r="A1901" s="29" t="s">
        <v>12</v>
      </c>
      <c r="B1901" s="29" t="s">
        <v>97</v>
      </c>
      <c r="C1901" s="29" t="s">
        <v>34</v>
      </c>
      <c r="D1901" s="37" t="s">
        <v>1365</v>
      </c>
      <c r="E1901" s="29" t="s">
        <v>798</v>
      </c>
      <c r="F1901" s="29" t="s">
        <v>36</v>
      </c>
      <c r="G1901" s="29">
        <v>19</v>
      </c>
      <c r="H1901" s="71" t="s">
        <v>800</v>
      </c>
      <c r="I1901" s="37" t="str">
        <f>"https://www.infraeletrocalhas.com.br/perfilados.asp?produto=Perfilado"</f>
        <v>https://www.infraeletrocalhas.com.br/perfilados.asp?produto=Perfilado</v>
      </c>
    </row>
    <row r="1902" spans="1:9" x14ac:dyDescent="0.25">
      <c r="A1902" s="29" t="s">
        <v>12</v>
      </c>
      <c r="B1902" s="29" t="s">
        <v>98</v>
      </c>
      <c r="C1902" s="29" t="s">
        <v>34</v>
      </c>
      <c r="D1902" s="37" t="s">
        <v>2622</v>
      </c>
      <c r="E1902" s="29" t="s">
        <v>37</v>
      </c>
      <c r="F1902" s="29" t="s">
        <v>36</v>
      </c>
      <c r="G1902" s="29">
        <v>30.5</v>
      </c>
      <c r="H1902" s="71" t="s">
        <v>734</v>
      </c>
      <c r="I1902" s="37" t="str">
        <f>"https://www.totalplacas.com.br/placas-de-eletricidade?pg=1"</f>
        <v>https://www.totalplacas.com.br/placas-de-eletricidade?pg=1</v>
      </c>
    </row>
    <row r="1903" spans="1:9" x14ac:dyDescent="0.25">
      <c r="A1903" s="29" t="s">
        <v>12</v>
      </c>
      <c r="B1903" s="29" t="s">
        <v>94</v>
      </c>
      <c r="C1903" s="29">
        <v>14164</v>
      </c>
      <c r="D1903" s="37" t="s">
        <v>2992</v>
      </c>
      <c r="E1903" s="29" t="s">
        <v>37</v>
      </c>
      <c r="F1903" s="29" t="s">
        <v>36</v>
      </c>
      <c r="G1903" s="29">
        <v>1836.36</v>
      </c>
      <c r="H1903" s="71" t="s">
        <v>38</v>
      </c>
      <c r="I1903" s="37" t="s">
        <v>207</v>
      </c>
    </row>
    <row r="1904" spans="1:9" x14ac:dyDescent="0.25">
      <c r="A1904" s="29" t="s">
        <v>12</v>
      </c>
      <c r="B1904" s="29" t="s">
        <v>94</v>
      </c>
      <c r="C1904" s="29">
        <v>14163</v>
      </c>
      <c r="D1904" s="37" t="s">
        <v>2993</v>
      </c>
      <c r="E1904" s="29" t="s">
        <v>37</v>
      </c>
      <c r="F1904" s="29" t="s">
        <v>36</v>
      </c>
      <c r="G1904" s="29">
        <v>2087.14</v>
      </c>
      <c r="H1904" s="71" t="s">
        <v>38</v>
      </c>
      <c r="I1904" s="37" t="s">
        <v>207</v>
      </c>
    </row>
    <row r="1905" spans="1:9" x14ac:dyDescent="0.25">
      <c r="A1905" s="29" t="s">
        <v>12</v>
      </c>
      <c r="B1905" s="29" t="s">
        <v>94</v>
      </c>
      <c r="C1905" s="29">
        <v>5051</v>
      </c>
      <c r="D1905" s="37" t="s">
        <v>2994</v>
      </c>
      <c r="E1905" s="29" t="s">
        <v>37</v>
      </c>
      <c r="F1905" s="29" t="s">
        <v>36</v>
      </c>
      <c r="G1905" s="29">
        <v>1775.08</v>
      </c>
      <c r="H1905" s="71" t="s">
        <v>38</v>
      </c>
      <c r="I1905" s="37" t="s">
        <v>207</v>
      </c>
    </row>
    <row r="1906" spans="1:9" x14ac:dyDescent="0.25">
      <c r="A1906" s="29" t="s">
        <v>12</v>
      </c>
      <c r="B1906" s="29" t="s">
        <v>94</v>
      </c>
      <c r="C1906" s="29">
        <v>5052</v>
      </c>
      <c r="D1906" s="37" t="s">
        <v>2995</v>
      </c>
      <c r="E1906" s="29" t="s">
        <v>37</v>
      </c>
      <c r="F1906" s="29" t="s">
        <v>36</v>
      </c>
      <c r="G1906" s="29">
        <v>1322.54</v>
      </c>
      <c r="H1906" s="71" t="s">
        <v>38</v>
      </c>
      <c r="I1906" s="37" t="s">
        <v>207</v>
      </c>
    </row>
    <row r="1907" spans="1:9" x14ac:dyDescent="0.25">
      <c r="A1907" s="29" t="s">
        <v>12</v>
      </c>
      <c r="B1907" s="29" t="s">
        <v>94</v>
      </c>
      <c r="C1907" s="29">
        <v>14162</v>
      </c>
      <c r="D1907" s="37" t="s">
        <v>2996</v>
      </c>
      <c r="E1907" s="29" t="s">
        <v>37</v>
      </c>
      <c r="F1907" s="29" t="s">
        <v>36</v>
      </c>
      <c r="G1907" s="29">
        <v>1772.51</v>
      </c>
      <c r="H1907" s="71" t="s">
        <v>38</v>
      </c>
      <c r="I1907" s="37" t="s">
        <v>207</v>
      </c>
    </row>
    <row r="1908" spans="1:9" x14ac:dyDescent="0.25">
      <c r="A1908" s="29" t="s">
        <v>12</v>
      </c>
      <c r="B1908" s="29" t="s">
        <v>94</v>
      </c>
      <c r="C1908" s="29">
        <v>14166</v>
      </c>
      <c r="D1908" s="37" t="s">
        <v>2997</v>
      </c>
      <c r="E1908" s="29" t="s">
        <v>37</v>
      </c>
      <c r="F1908" s="29" t="s">
        <v>36</v>
      </c>
      <c r="G1908" s="29">
        <v>1339.33</v>
      </c>
      <c r="H1908" s="71" t="s">
        <v>38</v>
      </c>
      <c r="I1908" s="37" t="s">
        <v>207</v>
      </c>
    </row>
    <row r="1909" spans="1:9" x14ac:dyDescent="0.25">
      <c r="A1909" s="29" t="s">
        <v>12</v>
      </c>
      <c r="B1909" s="29" t="s">
        <v>94</v>
      </c>
      <c r="C1909" s="29">
        <v>14165</v>
      </c>
      <c r="D1909" s="37" t="s">
        <v>2998</v>
      </c>
      <c r="E1909" s="29" t="s">
        <v>37</v>
      </c>
      <c r="F1909" s="29" t="s">
        <v>36</v>
      </c>
      <c r="G1909" s="29">
        <v>1855.46</v>
      </c>
      <c r="H1909" s="71" t="s">
        <v>38</v>
      </c>
      <c r="I1909" s="37" t="s">
        <v>207</v>
      </c>
    </row>
    <row r="1910" spans="1:9" x14ac:dyDescent="0.25">
      <c r="A1910" s="29" t="s">
        <v>12</v>
      </c>
      <c r="B1910" s="29" t="s">
        <v>94</v>
      </c>
      <c r="C1910" s="29">
        <v>5050</v>
      </c>
      <c r="D1910" s="37" t="s">
        <v>2999</v>
      </c>
      <c r="E1910" s="29" t="s">
        <v>37</v>
      </c>
      <c r="F1910" s="29" t="s">
        <v>36</v>
      </c>
      <c r="G1910" s="29">
        <v>456.67</v>
      </c>
      <c r="H1910" s="71" t="s">
        <v>38</v>
      </c>
      <c r="I1910" s="37" t="s">
        <v>207</v>
      </c>
    </row>
    <row r="1911" spans="1:9" x14ac:dyDescent="0.25">
      <c r="A1911" s="29" t="s">
        <v>12</v>
      </c>
      <c r="B1911" s="29" t="s">
        <v>94</v>
      </c>
      <c r="C1911" s="29">
        <v>12366</v>
      </c>
      <c r="D1911" s="37" t="s">
        <v>3000</v>
      </c>
      <c r="E1911" s="29" t="s">
        <v>37</v>
      </c>
      <c r="F1911" s="29" t="s">
        <v>36</v>
      </c>
      <c r="G1911" s="29">
        <v>1046.81</v>
      </c>
      <c r="H1911" s="71" t="s">
        <v>38</v>
      </c>
      <c r="I1911" s="37" t="s">
        <v>207</v>
      </c>
    </row>
    <row r="1912" spans="1:9" x14ac:dyDescent="0.25">
      <c r="A1912" s="29" t="s">
        <v>12</v>
      </c>
      <c r="B1912" s="29" t="s">
        <v>94</v>
      </c>
      <c r="C1912" s="29">
        <v>5045</v>
      </c>
      <c r="D1912" s="37" t="s">
        <v>3001</v>
      </c>
      <c r="E1912" s="29" t="s">
        <v>37</v>
      </c>
      <c r="F1912" s="29" t="s">
        <v>36</v>
      </c>
      <c r="G1912" s="29">
        <v>1446.12</v>
      </c>
      <c r="H1912" s="71" t="s">
        <v>38</v>
      </c>
      <c r="I1912" s="37" t="s">
        <v>207</v>
      </c>
    </row>
    <row r="1913" spans="1:9" x14ac:dyDescent="0.25">
      <c r="A1913" s="29" t="s">
        <v>12</v>
      </c>
      <c r="B1913" s="29" t="s">
        <v>94</v>
      </c>
      <c r="C1913" s="29">
        <v>5035</v>
      </c>
      <c r="D1913" s="37" t="s">
        <v>3002</v>
      </c>
      <c r="E1913" s="29" t="s">
        <v>37</v>
      </c>
      <c r="F1913" s="29" t="s">
        <v>36</v>
      </c>
      <c r="G1913" s="29">
        <v>1662.69</v>
      </c>
      <c r="H1913" s="71" t="s">
        <v>38</v>
      </c>
      <c r="I1913" s="37" t="s">
        <v>207</v>
      </c>
    </row>
    <row r="1914" spans="1:9" x14ac:dyDescent="0.25">
      <c r="A1914" s="29" t="s">
        <v>12</v>
      </c>
      <c r="B1914" s="29" t="s">
        <v>94</v>
      </c>
      <c r="C1914" s="29">
        <v>41180</v>
      </c>
      <c r="D1914" s="37" t="s">
        <v>3003</v>
      </c>
      <c r="E1914" s="29" t="s">
        <v>37</v>
      </c>
      <c r="F1914" s="29" t="s">
        <v>36</v>
      </c>
      <c r="G1914" s="29">
        <v>3737.7</v>
      </c>
      <c r="H1914" s="71" t="s">
        <v>38</v>
      </c>
      <c r="I1914" s="37" t="s">
        <v>207</v>
      </c>
    </row>
    <row r="1915" spans="1:9" x14ac:dyDescent="0.25">
      <c r="A1915" s="29" t="s">
        <v>12</v>
      </c>
      <c r="B1915" s="29" t="s">
        <v>94</v>
      </c>
      <c r="C1915" s="29">
        <v>41181</v>
      </c>
      <c r="D1915" s="37" t="s">
        <v>3004</v>
      </c>
      <c r="E1915" s="29" t="s">
        <v>37</v>
      </c>
      <c r="F1915" s="29" t="s">
        <v>36</v>
      </c>
      <c r="G1915" s="29">
        <v>4948.6000000000004</v>
      </c>
      <c r="H1915" s="71" t="s">
        <v>38</v>
      </c>
      <c r="I1915" s="37" t="s">
        <v>207</v>
      </c>
    </row>
    <row r="1916" spans="1:9" x14ac:dyDescent="0.25">
      <c r="A1916" s="29" t="s">
        <v>12</v>
      </c>
      <c r="B1916" s="29" t="s">
        <v>94</v>
      </c>
      <c r="C1916" s="29">
        <v>41182</v>
      </c>
      <c r="D1916" s="37" t="s">
        <v>3005</v>
      </c>
      <c r="E1916" s="29" t="s">
        <v>37</v>
      </c>
      <c r="F1916" s="29" t="s">
        <v>36</v>
      </c>
      <c r="G1916" s="29">
        <v>7099.17</v>
      </c>
      <c r="H1916" s="71" t="s">
        <v>38</v>
      </c>
      <c r="I1916" s="37" t="s">
        <v>207</v>
      </c>
    </row>
    <row r="1917" spans="1:9" x14ac:dyDescent="0.25">
      <c r="A1917" s="29" t="s">
        <v>12</v>
      </c>
      <c r="B1917" s="29" t="s">
        <v>94</v>
      </c>
      <c r="C1917" s="29">
        <v>41183</v>
      </c>
      <c r="D1917" s="37" t="s">
        <v>3006</v>
      </c>
      <c r="E1917" s="29" t="s">
        <v>37</v>
      </c>
      <c r="F1917" s="29" t="s">
        <v>36</v>
      </c>
      <c r="G1917" s="29">
        <v>8863.4599999999991</v>
      </c>
      <c r="H1917" s="71" t="s">
        <v>38</v>
      </c>
      <c r="I1917" s="37" t="s">
        <v>207</v>
      </c>
    </row>
    <row r="1918" spans="1:9" x14ac:dyDescent="0.25">
      <c r="A1918" s="29" t="s">
        <v>12</v>
      </c>
      <c r="B1918" s="29" t="s">
        <v>94</v>
      </c>
      <c r="C1918" s="29">
        <v>41184</v>
      </c>
      <c r="D1918" s="37" t="s">
        <v>3007</v>
      </c>
      <c r="E1918" s="29" t="s">
        <v>37</v>
      </c>
      <c r="F1918" s="29" t="s">
        <v>36</v>
      </c>
      <c r="G1918" s="29">
        <v>13495.16</v>
      </c>
      <c r="H1918" s="71" t="s">
        <v>38</v>
      </c>
      <c r="I1918" s="37" t="s">
        <v>207</v>
      </c>
    </row>
    <row r="1919" spans="1:9" x14ac:dyDescent="0.25">
      <c r="A1919" s="29" t="s">
        <v>12</v>
      </c>
      <c r="B1919" s="29" t="s">
        <v>94</v>
      </c>
      <c r="C1919" s="29">
        <v>41185</v>
      </c>
      <c r="D1919" s="37" t="s">
        <v>3008</v>
      </c>
      <c r="E1919" s="29" t="s">
        <v>37</v>
      </c>
      <c r="F1919" s="29" t="s">
        <v>36</v>
      </c>
      <c r="G1919" s="29">
        <v>5004.6099999999997</v>
      </c>
      <c r="H1919" s="71" t="s">
        <v>38</v>
      </c>
      <c r="I1919" s="37" t="s">
        <v>207</v>
      </c>
    </row>
    <row r="1920" spans="1:9" x14ac:dyDescent="0.25">
      <c r="A1920" s="29" t="s">
        <v>12</v>
      </c>
      <c r="B1920" s="29" t="s">
        <v>94</v>
      </c>
      <c r="C1920" s="29">
        <v>41186</v>
      </c>
      <c r="D1920" s="37" t="s">
        <v>3009</v>
      </c>
      <c r="E1920" s="29" t="s">
        <v>37</v>
      </c>
      <c r="F1920" s="29" t="s">
        <v>36</v>
      </c>
      <c r="G1920" s="29">
        <v>7013.39</v>
      </c>
      <c r="H1920" s="71" t="s">
        <v>38</v>
      </c>
      <c r="I1920" s="37" t="s">
        <v>207</v>
      </c>
    </row>
    <row r="1921" spans="1:9" x14ac:dyDescent="0.25">
      <c r="A1921" s="29" t="s">
        <v>12</v>
      </c>
      <c r="B1921" s="29" t="s">
        <v>94</v>
      </c>
      <c r="C1921" s="29">
        <v>41187</v>
      </c>
      <c r="D1921" s="37" t="s">
        <v>3010</v>
      </c>
      <c r="E1921" s="29" t="s">
        <v>37</v>
      </c>
      <c r="F1921" s="29" t="s">
        <v>36</v>
      </c>
      <c r="G1921" s="29">
        <v>9405.5300000000007</v>
      </c>
      <c r="H1921" s="71" t="s">
        <v>38</v>
      </c>
      <c r="I1921" s="37" t="s">
        <v>207</v>
      </c>
    </row>
    <row r="1922" spans="1:9" x14ac:dyDescent="0.25">
      <c r="A1922" s="29" t="s">
        <v>12</v>
      </c>
      <c r="B1922" s="29" t="s">
        <v>94</v>
      </c>
      <c r="C1922" s="29">
        <v>41188</v>
      </c>
      <c r="D1922" s="37" t="s">
        <v>3011</v>
      </c>
      <c r="E1922" s="29" t="s">
        <v>37</v>
      </c>
      <c r="F1922" s="29" t="s">
        <v>36</v>
      </c>
      <c r="G1922" s="29">
        <v>12027.58</v>
      </c>
      <c r="H1922" s="71" t="s">
        <v>38</v>
      </c>
      <c r="I1922" s="37" t="s">
        <v>207</v>
      </c>
    </row>
    <row r="1923" spans="1:9" x14ac:dyDescent="0.25">
      <c r="A1923" s="29" t="s">
        <v>12</v>
      </c>
      <c r="B1923" s="29" t="s">
        <v>94</v>
      </c>
      <c r="C1923" s="29">
        <v>5036</v>
      </c>
      <c r="D1923" s="37" t="s">
        <v>3012</v>
      </c>
      <c r="E1923" s="29" t="s">
        <v>37</v>
      </c>
      <c r="F1923" s="29" t="s">
        <v>36</v>
      </c>
      <c r="G1923" s="29">
        <v>2550.87</v>
      </c>
      <c r="H1923" s="71" t="s">
        <v>38</v>
      </c>
      <c r="I1923" s="37" t="s">
        <v>207</v>
      </c>
    </row>
    <row r="1924" spans="1:9" x14ac:dyDescent="0.25">
      <c r="A1924" s="29" t="s">
        <v>12</v>
      </c>
      <c r="B1924" s="29" t="s">
        <v>94</v>
      </c>
      <c r="C1924" s="29">
        <v>41189</v>
      </c>
      <c r="D1924" s="37" t="s">
        <v>3013</v>
      </c>
      <c r="E1924" s="29" t="s">
        <v>37</v>
      </c>
      <c r="F1924" s="29" t="s">
        <v>36</v>
      </c>
      <c r="G1924" s="29">
        <v>15462.71</v>
      </c>
      <c r="H1924" s="71" t="s">
        <v>38</v>
      </c>
      <c r="I1924" s="37" t="s">
        <v>207</v>
      </c>
    </row>
    <row r="1925" spans="1:9" x14ac:dyDescent="0.25">
      <c r="A1925" s="29" t="s">
        <v>12</v>
      </c>
      <c r="B1925" s="29" t="s">
        <v>94</v>
      </c>
      <c r="C1925" s="29">
        <v>41190</v>
      </c>
      <c r="D1925" s="37" t="s">
        <v>3014</v>
      </c>
      <c r="E1925" s="29" t="s">
        <v>37</v>
      </c>
      <c r="F1925" s="29" t="s">
        <v>36</v>
      </c>
      <c r="G1925" s="29">
        <v>5377.39</v>
      </c>
      <c r="H1925" s="71" t="s">
        <v>38</v>
      </c>
      <c r="I1925" s="37" t="s">
        <v>207</v>
      </c>
    </row>
    <row r="1926" spans="1:9" x14ac:dyDescent="0.25">
      <c r="A1926" s="29" t="s">
        <v>12</v>
      </c>
      <c r="B1926" s="29" t="s">
        <v>94</v>
      </c>
      <c r="C1926" s="29">
        <v>41191</v>
      </c>
      <c r="D1926" s="37" t="s">
        <v>3015</v>
      </c>
      <c r="E1926" s="29" t="s">
        <v>37</v>
      </c>
      <c r="F1926" s="29" t="s">
        <v>36</v>
      </c>
      <c r="G1926" s="29">
        <v>8246.02</v>
      </c>
      <c r="H1926" s="71" t="s">
        <v>38</v>
      </c>
      <c r="I1926" s="37" t="s">
        <v>207</v>
      </c>
    </row>
    <row r="1927" spans="1:9" x14ac:dyDescent="0.25">
      <c r="A1927" s="29" t="s">
        <v>12</v>
      </c>
      <c r="B1927" s="29" t="s">
        <v>94</v>
      </c>
      <c r="C1927" s="29">
        <v>41192</v>
      </c>
      <c r="D1927" s="37" t="s">
        <v>3016</v>
      </c>
      <c r="E1927" s="29" t="s">
        <v>37</v>
      </c>
      <c r="F1927" s="29" t="s">
        <v>36</v>
      </c>
      <c r="G1927" s="29">
        <v>8596.42</v>
      </c>
      <c r="H1927" s="71" t="s">
        <v>38</v>
      </c>
      <c r="I1927" s="37" t="s">
        <v>207</v>
      </c>
    </row>
    <row r="1928" spans="1:9" x14ac:dyDescent="0.25">
      <c r="A1928" s="29" t="s">
        <v>12</v>
      </c>
      <c r="B1928" s="29" t="s">
        <v>94</v>
      </c>
      <c r="C1928" s="29">
        <v>41193</v>
      </c>
      <c r="D1928" s="37" t="s">
        <v>3017</v>
      </c>
      <c r="E1928" s="29" t="s">
        <v>37</v>
      </c>
      <c r="F1928" s="29" t="s">
        <v>36</v>
      </c>
      <c r="G1928" s="29">
        <v>14046.26</v>
      </c>
      <c r="H1928" s="71" t="s">
        <v>38</v>
      </c>
      <c r="I1928" s="37" t="s">
        <v>207</v>
      </c>
    </row>
    <row r="1929" spans="1:9" x14ac:dyDescent="0.25">
      <c r="A1929" s="29" t="s">
        <v>12</v>
      </c>
      <c r="B1929" s="29" t="s">
        <v>94</v>
      </c>
      <c r="C1929" s="29">
        <v>41194</v>
      </c>
      <c r="D1929" s="37" t="s">
        <v>3018</v>
      </c>
      <c r="E1929" s="29" t="s">
        <v>37</v>
      </c>
      <c r="F1929" s="29" t="s">
        <v>36</v>
      </c>
      <c r="G1929" s="29">
        <v>16760.38</v>
      </c>
      <c r="H1929" s="71" t="s">
        <v>38</v>
      </c>
      <c r="I1929" s="37" t="s">
        <v>207</v>
      </c>
    </row>
    <row r="1930" spans="1:9" x14ac:dyDescent="0.25">
      <c r="A1930" s="29" t="s">
        <v>12</v>
      </c>
      <c r="B1930" s="29" t="s">
        <v>94</v>
      </c>
      <c r="C1930" s="29">
        <v>5044</v>
      </c>
      <c r="D1930" s="37" t="s">
        <v>3019</v>
      </c>
      <c r="E1930" s="29" t="s">
        <v>37</v>
      </c>
      <c r="F1930" s="29" t="s">
        <v>36</v>
      </c>
      <c r="G1930" s="29">
        <v>901.88</v>
      </c>
      <c r="H1930" s="71" t="s">
        <v>38</v>
      </c>
      <c r="I1930" s="37" t="s">
        <v>207</v>
      </c>
    </row>
    <row r="1931" spans="1:9" x14ac:dyDescent="0.25">
      <c r="A1931" s="29" t="s">
        <v>12</v>
      </c>
      <c r="B1931" s="29" t="s">
        <v>94</v>
      </c>
      <c r="C1931" s="29">
        <v>5059</v>
      </c>
      <c r="D1931" s="37" t="s">
        <v>3020</v>
      </c>
      <c r="E1931" s="29" t="s">
        <v>37</v>
      </c>
      <c r="F1931" s="29" t="s">
        <v>36</v>
      </c>
      <c r="G1931" s="29">
        <v>1078.54</v>
      </c>
      <c r="H1931" s="71" t="s">
        <v>38</v>
      </c>
      <c r="I1931" s="37" t="s">
        <v>207</v>
      </c>
    </row>
    <row r="1932" spans="1:9" x14ac:dyDescent="0.25">
      <c r="A1932" s="29" t="s">
        <v>12</v>
      </c>
      <c r="B1932" s="29" t="s">
        <v>94</v>
      </c>
      <c r="C1932" s="29">
        <v>41201</v>
      </c>
      <c r="D1932" s="37" t="s">
        <v>3021</v>
      </c>
      <c r="E1932" s="29" t="s">
        <v>37</v>
      </c>
      <c r="F1932" s="29" t="s">
        <v>36</v>
      </c>
      <c r="G1932" s="29">
        <v>2188.8000000000002</v>
      </c>
      <c r="H1932" s="71" t="s">
        <v>38</v>
      </c>
      <c r="I1932" s="37" t="s">
        <v>207</v>
      </c>
    </row>
    <row r="1933" spans="1:9" x14ac:dyDescent="0.25">
      <c r="A1933" s="29" t="s">
        <v>12</v>
      </c>
      <c r="B1933" s="29" t="s">
        <v>94</v>
      </c>
      <c r="C1933" s="29">
        <v>41199</v>
      </c>
      <c r="D1933" s="37" t="s">
        <v>3022</v>
      </c>
      <c r="E1933" s="29" t="s">
        <v>37</v>
      </c>
      <c r="F1933" s="29" t="s">
        <v>36</v>
      </c>
      <c r="G1933" s="29">
        <v>703.34</v>
      </c>
      <c r="H1933" s="71" t="s">
        <v>38</v>
      </c>
      <c r="I1933" s="37" t="s">
        <v>207</v>
      </c>
    </row>
    <row r="1934" spans="1:9" x14ac:dyDescent="0.25">
      <c r="A1934" s="29" t="s">
        <v>12</v>
      </c>
      <c r="B1934" s="29" t="s">
        <v>94</v>
      </c>
      <c r="C1934" s="29">
        <v>5057</v>
      </c>
      <c r="D1934" s="37" t="s">
        <v>3023</v>
      </c>
      <c r="E1934" s="29" t="s">
        <v>37</v>
      </c>
      <c r="F1934" s="29" t="s">
        <v>36</v>
      </c>
      <c r="G1934" s="29">
        <v>952.2</v>
      </c>
      <c r="H1934" s="71" t="s">
        <v>38</v>
      </c>
      <c r="I1934" s="37" t="s">
        <v>207</v>
      </c>
    </row>
    <row r="1935" spans="1:9" x14ac:dyDescent="0.25">
      <c r="A1935" s="29" t="s">
        <v>12</v>
      </c>
      <c r="B1935" s="29" t="s">
        <v>94</v>
      </c>
      <c r="C1935" s="29">
        <v>41200</v>
      </c>
      <c r="D1935" s="37" t="s">
        <v>3024</v>
      </c>
      <c r="E1935" s="29" t="s">
        <v>37</v>
      </c>
      <c r="F1935" s="29" t="s">
        <v>36</v>
      </c>
      <c r="G1935" s="29">
        <v>1368.96</v>
      </c>
      <c r="H1935" s="71" t="s">
        <v>38</v>
      </c>
      <c r="I1935" s="37" t="s">
        <v>207</v>
      </c>
    </row>
    <row r="1936" spans="1:9" x14ac:dyDescent="0.25">
      <c r="A1936" s="29" t="s">
        <v>12</v>
      </c>
      <c r="B1936" s="29" t="s">
        <v>94</v>
      </c>
      <c r="C1936" s="29">
        <v>41205</v>
      </c>
      <c r="D1936" s="37" t="s">
        <v>3025</v>
      </c>
      <c r="E1936" s="29" t="s">
        <v>37</v>
      </c>
      <c r="F1936" s="29" t="s">
        <v>36</v>
      </c>
      <c r="G1936" s="29">
        <v>2536.65</v>
      </c>
      <c r="H1936" s="71" t="s">
        <v>38</v>
      </c>
      <c r="I1936" s="37" t="s">
        <v>207</v>
      </c>
    </row>
    <row r="1937" spans="1:9" x14ac:dyDescent="0.25">
      <c r="A1937" s="29" t="s">
        <v>12</v>
      </c>
      <c r="B1937" s="29" t="s">
        <v>94</v>
      </c>
      <c r="C1937" s="29">
        <v>41202</v>
      </c>
      <c r="D1937" s="37" t="s">
        <v>3026</v>
      </c>
      <c r="E1937" s="29" t="s">
        <v>37</v>
      </c>
      <c r="F1937" s="29" t="s">
        <v>36</v>
      </c>
      <c r="G1937" s="29">
        <v>740.21</v>
      </c>
      <c r="H1937" s="71" t="s">
        <v>38</v>
      </c>
      <c r="I1937" s="37" t="s">
        <v>207</v>
      </c>
    </row>
    <row r="1938" spans="1:9" x14ac:dyDescent="0.25">
      <c r="A1938" s="29" t="s">
        <v>12</v>
      </c>
      <c r="B1938" s="29" t="s">
        <v>94</v>
      </c>
      <c r="C1938" s="29">
        <v>41206</v>
      </c>
      <c r="D1938" s="37" t="s">
        <v>3027</v>
      </c>
      <c r="E1938" s="29" t="s">
        <v>37</v>
      </c>
      <c r="F1938" s="29" t="s">
        <v>36</v>
      </c>
      <c r="G1938" s="29">
        <v>3344.46</v>
      </c>
      <c r="H1938" s="71" t="s">
        <v>38</v>
      </c>
      <c r="I1938" s="37" t="s">
        <v>207</v>
      </c>
    </row>
    <row r="1939" spans="1:9" x14ac:dyDescent="0.25">
      <c r="A1939" s="29" t="s">
        <v>12</v>
      </c>
      <c r="B1939" s="29" t="s">
        <v>94</v>
      </c>
      <c r="C1939" s="29">
        <v>12372</v>
      </c>
      <c r="D1939" s="37" t="s">
        <v>3028</v>
      </c>
      <c r="E1939" s="29" t="s">
        <v>37</v>
      </c>
      <c r="F1939" s="29" t="s">
        <v>36</v>
      </c>
      <c r="G1939" s="29">
        <v>777.22</v>
      </c>
      <c r="H1939" s="71" t="s">
        <v>38</v>
      </c>
      <c r="I1939" s="37" t="s">
        <v>207</v>
      </c>
    </row>
    <row r="1940" spans="1:9" x14ac:dyDescent="0.25">
      <c r="A1940" s="29" t="s">
        <v>12</v>
      </c>
      <c r="B1940" s="29" t="s">
        <v>94</v>
      </c>
      <c r="C1940" s="29">
        <v>41207</v>
      </c>
      <c r="D1940" s="37" t="s">
        <v>3029</v>
      </c>
      <c r="E1940" s="29" t="s">
        <v>37</v>
      </c>
      <c r="F1940" s="29" t="s">
        <v>36</v>
      </c>
      <c r="G1940" s="29">
        <v>4502.3</v>
      </c>
      <c r="H1940" s="71" t="s">
        <v>38</v>
      </c>
      <c r="I1940" s="37" t="s">
        <v>207</v>
      </c>
    </row>
    <row r="1941" spans="1:9" x14ac:dyDescent="0.25">
      <c r="A1941" s="29" t="s">
        <v>12</v>
      </c>
      <c r="B1941" s="29" t="s">
        <v>94</v>
      </c>
      <c r="C1941" s="29">
        <v>41203</v>
      </c>
      <c r="D1941" s="37" t="s">
        <v>3030</v>
      </c>
      <c r="E1941" s="29" t="s">
        <v>37</v>
      </c>
      <c r="F1941" s="29" t="s">
        <v>36</v>
      </c>
      <c r="G1941" s="29">
        <v>1185.73</v>
      </c>
      <c r="H1941" s="71" t="s">
        <v>38</v>
      </c>
      <c r="I1941" s="37" t="s">
        <v>207</v>
      </c>
    </row>
    <row r="1942" spans="1:9" x14ac:dyDescent="0.25">
      <c r="A1942" s="29" t="s">
        <v>12</v>
      </c>
      <c r="B1942" s="29" t="s">
        <v>94</v>
      </c>
      <c r="C1942" s="29">
        <v>41204</v>
      </c>
      <c r="D1942" s="37" t="s">
        <v>3031</v>
      </c>
      <c r="E1942" s="29" t="s">
        <v>37</v>
      </c>
      <c r="F1942" s="29" t="s">
        <v>36</v>
      </c>
      <c r="G1942" s="29">
        <v>1676.33</v>
      </c>
      <c r="H1942" s="71" t="s">
        <v>38</v>
      </c>
      <c r="I1942" s="37" t="s">
        <v>207</v>
      </c>
    </row>
    <row r="1943" spans="1:9" x14ac:dyDescent="0.25">
      <c r="A1943" s="29" t="s">
        <v>12</v>
      </c>
      <c r="B1943" s="29" t="s">
        <v>94</v>
      </c>
      <c r="C1943" s="29">
        <v>41210</v>
      </c>
      <c r="D1943" s="37" t="s">
        <v>3032</v>
      </c>
      <c r="E1943" s="29" t="s">
        <v>37</v>
      </c>
      <c r="F1943" s="29" t="s">
        <v>36</v>
      </c>
      <c r="G1943" s="29">
        <v>2800.27</v>
      </c>
      <c r="H1943" s="71" t="s">
        <v>38</v>
      </c>
      <c r="I1943" s="37" t="s">
        <v>207</v>
      </c>
    </row>
    <row r="1944" spans="1:9" x14ac:dyDescent="0.25">
      <c r="A1944" s="29" t="s">
        <v>12</v>
      </c>
      <c r="B1944" s="29" t="s">
        <v>94</v>
      </c>
      <c r="C1944" s="29">
        <v>41208</v>
      </c>
      <c r="D1944" s="37" t="s">
        <v>3033</v>
      </c>
      <c r="E1944" s="29" t="s">
        <v>37</v>
      </c>
      <c r="F1944" s="29" t="s">
        <v>36</v>
      </c>
      <c r="G1944" s="29">
        <v>980.25</v>
      </c>
      <c r="H1944" s="71" t="s">
        <v>38</v>
      </c>
      <c r="I1944" s="37" t="s">
        <v>207</v>
      </c>
    </row>
    <row r="1945" spans="1:9" x14ac:dyDescent="0.25">
      <c r="A1945" s="29" t="s">
        <v>12</v>
      </c>
      <c r="B1945" s="29" t="s">
        <v>94</v>
      </c>
      <c r="C1945" s="29">
        <v>41211</v>
      </c>
      <c r="D1945" s="37" t="s">
        <v>3034</v>
      </c>
      <c r="E1945" s="29" t="s">
        <v>37</v>
      </c>
      <c r="F1945" s="29" t="s">
        <v>36</v>
      </c>
      <c r="G1945" s="29">
        <v>3945.53</v>
      </c>
      <c r="H1945" s="71" t="s">
        <v>38</v>
      </c>
      <c r="I1945" s="37" t="s">
        <v>207</v>
      </c>
    </row>
    <row r="1946" spans="1:9" x14ac:dyDescent="0.25">
      <c r="A1946" s="29" t="s">
        <v>12</v>
      </c>
      <c r="B1946" s="29" t="s">
        <v>94</v>
      </c>
      <c r="C1946" s="29">
        <v>13339</v>
      </c>
      <c r="D1946" s="37" t="s">
        <v>3035</v>
      </c>
      <c r="E1946" s="29" t="s">
        <v>37</v>
      </c>
      <c r="F1946" s="29" t="s">
        <v>36</v>
      </c>
      <c r="G1946" s="29">
        <v>1328.48</v>
      </c>
      <c r="H1946" s="71" t="s">
        <v>38</v>
      </c>
      <c r="I1946" s="37" t="s">
        <v>207</v>
      </c>
    </row>
    <row r="1947" spans="1:9" x14ac:dyDescent="0.25">
      <c r="A1947" s="29" t="s">
        <v>12</v>
      </c>
      <c r="B1947" s="29" t="s">
        <v>94</v>
      </c>
      <c r="C1947" s="29">
        <v>41213</v>
      </c>
      <c r="D1947" s="37" t="s">
        <v>3036</v>
      </c>
      <c r="E1947" s="29" t="s">
        <v>37</v>
      </c>
      <c r="F1947" s="29" t="s">
        <v>36</v>
      </c>
      <c r="G1947" s="29">
        <v>8178.12</v>
      </c>
      <c r="H1947" s="71" t="s">
        <v>38</v>
      </c>
      <c r="I1947" s="37" t="s">
        <v>207</v>
      </c>
    </row>
    <row r="1948" spans="1:9" x14ac:dyDescent="0.25">
      <c r="A1948" s="29" t="s">
        <v>12</v>
      </c>
      <c r="B1948" s="29" t="s">
        <v>94</v>
      </c>
      <c r="C1948" s="29">
        <v>41209</v>
      </c>
      <c r="D1948" s="37" t="s">
        <v>3037</v>
      </c>
      <c r="E1948" s="29" t="s">
        <v>37</v>
      </c>
      <c r="F1948" s="29" t="s">
        <v>36</v>
      </c>
      <c r="G1948" s="29">
        <v>1827.83</v>
      </c>
      <c r="H1948" s="71" t="s">
        <v>38</v>
      </c>
      <c r="I1948" s="37" t="s">
        <v>207</v>
      </c>
    </row>
    <row r="1949" spans="1:9" x14ac:dyDescent="0.25">
      <c r="A1949" s="29" t="s">
        <v>12</v>
      </c>
      <c r="B1949" s="29" t="s">
        <v>94</v>
      </c>
      <c r="C1949" s="29">
        <v>41216</v>
      </c>
      <c r="D1949" s="37" t="s">
        <v>3038</v>
      </c>
      <c r="E1949" s="29" t="s">
        <v>37</v>
      </c>
      <c r="F1949" s="29" t="s">
        <v>36</v>
      </c>
      <c r="G1949" s="29">
        <v>3423.76</v>
      </c>
      <c r="H1949" s="71" t="s">
        <v>38</v>
      </c>
      <c r="I1949" s="37" t="s">
        <v>207</v>
      </c>
    </row>
    <row r="1950" spans="1:9" x14ac:dyDescent="0.25">
      <c r="A1950" s="29" t="s">
        <v>12</v>
      </c>
      <c r="B1950" s="29" t="s">
        <v>94</v>
      </c>
      <c r="C1950" s="29">
        <v>41217</v>
      </c>
      <c r="D1950" s="37" t="s">
        <v>3039</v>
      </c>
      <c r="E1950" s="29" t="s">
        <v>37</v>
      </c>
      <c r="F1950" s="29" t="s">
        <v>36</v>
      </c>
      <c r="G1950" s="29">
        <v>5489.51</v>
      </c>
      <c r="H1950" s="71" t="s">
        <v>38</v>
      </c>
      <c r="I1950" s="37" t="s">
        <v>207</v>
      </c>
    </row>
    <row r="1951" spans="1:9" x14ac:dyDescent="0.25">
      <c r="A1951" s="29" t="s">
        <v>12</v>
      </c>
      <c r="B1951" s="29" t="s">
        <v>94</v>
      </c>
      <c r="C1951" s="29">
        <v>41218</v>
      </c>
      <c r="D1951" s="37" t="s">
        <v>3040</v>
      </c>
      <c r="E1951" s="29" t="s">
        <v>37</v>
      </c>
      <c r="F1951" s="29" t="s">
        <v>36</v>
      </c>
      <c r="G1951" s="29">
        <v>7361.6</v>
      </c>
      <c r="H1951" s="71" t="s">
        <v>38</v>
      </c>
      <c r="I1951" s="37" t="s">
        <v>207</v>
      </c>
    </row>
    <row r="1952" spans="1:9" x14ac:dyDescent="0.25">
      <c r="A1952" s="29" t="s">
        <v>12</v>
      </c>
      <c r="B1952" s="29" t="s">
        <v>94</v>
      </c>
      <c r="C1952" s="29">
        <v>41214</v>
      </c>
      <c r="D1952" s="37" t="s">
        <v>3041</v>
      </c>
      <c r="E1952" s="29" t="s">
        <v>37</v>
      </c>
      <c r="F1952" s="29" t="s">
        <v>36</v>
      </c>
      <c r="G1952" s="29">
        <v>1552.18</v>
      </c>
      <c r="H1952" s="71" t="s">
        <v>38</v>
      </c>
      <c r="I1952" s="37" t="s">
        <v>207</v>
      </c>
    </row>
    <row r="1953" spans="1:9" x14ac:dyDescent="0.25">
      <c r="A1953" s="29" t="s">
        <v>12</v>
      </c>
      <c r="B1953" s="29" t="s">
        <v>94</v>
      </c>
      <c r="C1953" s="29">
        <v>41215</v>
      </c>
      <c r="D1953" s="37" t="s">
        <v>3042</v>
      </c>
      <c r="E1953" s="29" t="s">
        <v>37</v>
      </c>
      <c r="F1953" s="29" t="s">
        <v>36</v>
      </c>
      <c r="G1953" s="29">
        <v>2337.02</v>
      </c>
      <c r="H1953" s="71" t="s">
        <v>38</v>
      </c>
      <c r="I1953" s="37" t="s">
        <v>207</v>
      </c>
    </row>
    <row r="1954" spans="1:9" x14ac:dyDescent="0.25">
      <c r="A1954" s="29" t="s">
        <v>12</v>
      </c>
      <c r="B1954" s="29" t="s">
        <v>94</v>
      </c>
      <c r="C1954" s="29">
        <v>41221</v>
      </c>
      <c r="D1954" s="37" t="s">
        <v>3043</v>
      </c>
      <c r="E1954" s="29" t="s">
        <v>37</v>
      </c>
      <c r="F1954" s="29" t="s">
        <v>36</v>
      </c>
      <c r="G1954" s="29">
        <v>6766.87</v>
      </c>
      <c r="H1954" s="71" t="s">
        <v>38</v>
      </c>
      <c r="I1954" s="37" t="s">
        <v>207</v>
      </c>
    </row>
    <row r="1955" spans="1:9" x14ac:dyDescent="0.25">
      <c r="A1955" s="29" t="s">
        <v>12</v>
      </c>
      <c r="B1955" s="29" t="s">
        <v>94</v>
      </c>
      <c r="C1955" s="29">
        <v>41222</v>
      </c>
      <c r="D1955" s="37" t="s">
        <v>3044</v>
      </c>
      <c r="E1955" s="29" t="s">
        <v>37</v>
      </c>
      <c r="F1955" s="29" t="s">
        <v>36</v>
      </c>
      <c r="G1955" s="29">
        <v>9683.4699999999993</v>
      </c>
      <c r="H1955" s="71" t="s">
        <v>38</v>
      </c>
      <c r="I1955" s="37" t="s">
        <v>207</v>
      </c>
    </row>
    <row r="1956" spans="1:9" x14ac:dyDescent="0.25">
      <c r="A1956" s="29" t="s">
        <v>12</v>
      </c>
      <c r="B1956" s="29" t="s">
        <v>94</v>
      </c>
      <c r="C1956" s="29">
        <v>41195</v>
      </c>
      <c r="D1956" s="37" t="s">
        <v>3045</v>
      </c>
      <c r="E1956" s="29" t="s">
        <v>37</v>
      </c>
      <c r="F1956" s="29" t="s">
        <v>36</v>
      </c>
      <c r="G1956" s="29">
        <v>497.7</v>
      </c>
      <c r="H1956" s="71" t="s">
        <v>38</v>
      </c>
      <c r="I1956" s="37" t="s">
        <v>207</v>
      </c>
    </row>
    <row r="1957" spans="1:9" x14ac:dyDescent="0.25">
      <c r="A1957" s="29" t="s">
        <v>12</v>
      </c>
      <c r="B1957" s="29" t="s">
        <v>94</v>
      </c>
      <c r="C1957" s="29">
        <v>41198</v>
      </c>
      <c r="D1957" s="37" t="s">
        <v>3046</v>
      </c>
      <c r="E1957" s="29" t="s">
        <v>37</v>
      </c>
      <c r="F1957" s="29" t="s">
        <v>36</v>
      </c>
      <c r="G1957" s="29">
        <v>1944.9</v>
      </c>
      <c r="H1957" s="71" t="s">
        <v>38</v>
      </c>
      <c r="I1957" s="37" t="s">
        <v>207</v>
      </c>
    </row>
    <row r="1958" spans="1:9" x14ac:dyDescent="0.25">
      <c r="A1958" s="29" t="s">
        <v>12</v>
      </c>
      <c r="B1958" s="29" t="s">
        <v>94</v>
      </c>
      <c r="C1958" s="29">
        <v>41196</v>
      </c>
      <c r="D1958" s="37" t="s">
        <v>3047</v>
      </c>
      <c r="E1958" s="29" t="s">
        <v>37</v>
      </c>
      <c r="F1958" s="29" t="s">
        <v>36</v>
      </c>
      <c r="G1958" s="29">
        <v>616.92999999999995</v>
      </c>
      <c r="H1958" s="71" t="s">
        <v>38</v>
      </c>
      <c r="I1958" s="37" t="s">
        <v>207</v>
      </c>
    </row>
    <row r="1959" spans="1:9" x14ac:dyDescent="0.25">
      <c r="A1959" s="29" t="s">
        <v>12</v>
      </c>
      <c r="B1959" s="29" t="s">
        <v>94</v>
      </c>
      <c r="C1959" s="29">
        <v>5033</v>
      </c>
      <c r="D1959" s="37" t="s">
        <v>3048</v>
      </c>
      <c r="E1959" s="29" t="s">
        <v>37</v>
      </c>
      <c r="F1959" s="29" t="s">
        <v>36</v>
      </c>
      <c r="G1959" s="29">
        <v>810</v>
      </c>
      <c r="H1959" s="71" t="s">
        <v>38</v>
      </c>
      <c r="I1959" s="37" t="s">
        <v>207</v>
      </c>
    </row>
    <row r="1960" spans="1:9" x14ac:dyDescent="0.25">
      <c r="A1960" s="29" t="s">
        <v>12</v>
      </c>
      <c r="B1960" s="29" t="s">
        <v>94</v>
      </c>
      <c r="C1960" s="29">
        <v>41197</v>
      </c>
      <c r="D1960" s="37" t="s">
        <v>3049</v>
      </c>
      <c r="E1960" s="29" t="s">
        <v>37</v>
      </c>
      <c r="F1960" s="29" t="s">
        <v>36</v>
      </c>
      <c r="G1960" s="29">
        <v>1203.1500000000001</v>
      </c>
      <c r="H1960" s="71" t="s">
        <v>38</v>
      </c>
      <c r="I1960" s="37" t="s">
        <v>207</v>
      </c>
    </row>
    <row r="1961" spans="1:9" x14ac:dyDescent="0.25">
      <c r="A1961" s="29" t="s">
        <v>12</v>
      </c>
      <c r="B1961" s="29" t="s">
        <v>94</v>
      </c>
      <c r="C1961" s="29">
        <v>7576</v>
      </c>
      <c r="D1961" s="37" t="s">
        <v>3422</v>
      </c>
      <c r="E1961" s="29" t="s">
        <v>37</v>
      </c>
      <c r="F1961" s="29" t="s">
        <v>36</v>
      </c>
      <c r="G1961" s="29">
        <v>239.6</v>
      </c>
      <c r="H1961" s="71" t="s">
        <v>38</v>
      </c>
      <c r="I1961" s="37" t="s">
        <v>207</v>
      </c>
    </row>
    <row r="1962" spans="1:9" x14ac:dyDescent="0.25">
      <c r="A1962" s="29" t="s">
        <v>12</v>
      </c>
      <c r="B1962" s="29" t="s">
        <v>120</v>
      </c>
      <c r="C1962" s="29" t="s">
        <v>34</v>
      </c>
      <c r="D1962" s="37" t="s">
        <v>1086</v>
      </c>
      <c r="E1962" s="29" t="s">
        <v>37</v>
      </c>
      <c r="F1962" s="29" t="s">
        <v>36</v>
      </c>
      <c r="G1962" s="29">
        <v>3.06</v>
      </c>
      <c r="H1962" s="71" t="s">
        <v>740</v>
      </c>
      <c r="I1962" s="37" t="str">
        <f>"https://loja.fritzdistribuidora.com.br/produto/prensa-cabo-pg7/"</f>
        <v>https://loja.fritzdistribuidora.com.br/produto/prensa-cabo-pg7/</v>
      </c>
    </row>
    <row r="1963" spans="1:9" x14ac:dyDescent="0.25">
      <c r="A1963" s="29" t="s">
        <v>12</v>
      </c>
      <c r="B1963" s="29" t="s">
        <v>120</v>
      </c>
      <c r="C1963" s="29" t="s">
        <v>34</v>
      </c>
      <c r="D1963" s="37" t="s">
        <v>1087</v>
      </c>
      <c r="E1963" s="29" t="s">
        <v>37</v>
      </c>
      <c r="F1963" s="29" t="s">
        <v>36</v>
      </c>
      <c r="G1963" s="29">
        <v>1.69</v>
      </c>
      <c r="H1963" s="71" t="s">
        <v>740</v>
      </c>
      <c r="I1963" s="37" t="str">
        <f>"https://www.citex.com.br/prensa-cabo-pg16-preto.html"</f>
        <v>https://www.citex.com.br/prensa-cabo-pg16-preto.html</v>
      </c>
    </row>
    <row r="1964" spans="1:9" x14ac:dyDescent="0.25">
      <c r="A1964" s="29" t="s">
        <v>12</v>
      </c>
      <c r="B1964" s="29" t="s">
        <v>99</v>
      </c>
      <c r="C1964" s="29">
        <v>2510</v>
      </c>
      <c r="D1964" s="37" t="s">
        <v>2186</v>
      </c>
      <c r="E1964" s="29" t="s">
        <v>37</v>
      </c>
      <c r="F1964" s="29" t="s">
        <v>36</v>
      </c>
      <c r="G1964" s="29">
        <v>35.46</v>
      </c>
      <c r="H1964" s="71" t="s">
        <v>38</v>
      </c>
      <c r="I1964" s="37" t="s">
        <v>207</v>
      </c>
    </row>
    <row r="1965" spans="1:9" x14ac:dyDescent="0.25">
      <c r="A1965" s="29" t="s">
        <v>12</v>
      </c>
      <c r="B1965" s="29" t="s">
        <v>99</v>
      </c>
      <c r="C1965" s="29">
        <v>12359</v>
      </c>
      <c r="D1965" s="37" t="s">
        <v>2033</v>
      </c>
      <c r="E1965" s="29" t="s">
        <v>37</v>
      </c>
      <c r="F1965" s="29" t="s">
        <v>36</v>
      </c>
      <c r="G1965" s="29">
        <v>118.2</v>
      </c>
      <c r="H1965" s="71" t="s">
        <v>38</v>
      </c>
      <c r="I1965" s="37" t="s">
        <v>207</v>
      </c>
    </row>
    <row r="1966" spans="1:9" x14ac:dyDescent="0.25">
      <c r="A1966" s="29" t="s">
        <v>12</v>
      </c>
      <c r="B1966" s="29" t="s">
        <v>99</v>
      </c>
      <c r="C1966" s="29" t="s">
        <v>34</v>
      </c>
      <c r="D1966" s="37" t="s">
        <v>1088</v>
      </c>
      <c r="E1966" s="29" t="s">
        <v>66</v>
      </c>
      <c r="F1966" s="29" t="s">
        <v>36</v>
      </c>
      <c r="G1966" s="29">
        <v>244.23</v>
      </c>
      <c r="H1966" s="71" t="s">
        <v>740</v>
      </c>
      <c r="I1966" s="37" t="str">
        <f>"https://www.viewtech.ind.br/rele-temporizador-weg-rtw17-3-30s-2na-nf-220-240v-50-60hz"</f>
        <v>https://www.viewtech.ind.br/rele-temporizador-weg-rtw17-3-30s-2na-nf-220-240v-50-60hz</v>
      </c>
    </row>
    <row r="1967" spans="1:9" x14ac:dyDescent="0.25">
      <c r="A1967" s="29" t="s">
        <v>12</v>
      </c>
      <c r="B1967" s="29" t="s">
        <v>68</v>
      </c>
      <c r="C1967" s="29">
        <v>38101</v>
      </c>
      <c r="D1967" s="37" t="s">
        <v>1089</v>
      </c>
      <c r="E1967" s="29" t="s">
        <v>37</v>
      </c>
      <c r="F1967" s="29" t="s">
        <v>36</v>
      </c>
      <c r="G1967" s="29">
        <v>8.1199999999999992</v>
      </c>
      <c r="H1967" s="71" t="s">
        <v>38</v>
      </c>
      <c r="I1967" s="37" t="s">
        <v>207</v>
      </c>
    </row>
    <row r="1968" spans="1:9" x14ac:dyDescent="0.25">
      <c r="A1968" s="29" t="s">
        <v>12</v>
      </c>
      <c r="B1968" s="29" t="s">
        <v>68</v>
      </c>
      <c r="C1968" s="29">
        <v>7528</v>
      </c>
      <c r="D1968" s="37" t="s">
        <v>1090</v>
      </c>
      <c r="E1968" s="29" t="s">
        <v>37</v>
      </c>
      <c r="F1968" s="29" t="s">
        <v>36</v>
      </c>
      <c r="G1968" s="29">
        <v>9.5399999999999991</v>
      </c>
      <c r="H1968" s="71" t="s">
        <v>38</v>
      </c>
      <c r="I1968" s="37" t="s">
        <v>207</v>
      </c>
    </row>
    <row r="1969" spans="1:9" x14ac:dyDescent="0.25">
      <c r="A1969" s="29" t="s">
        <v>12</v>
      </c>
      <c r="B1969" s="29" t="s">
        <v>68</v>
      </c>
      <c r="C1969" s="29">
        <v>12147</v>
      </c>
      <c r="D1969" s="37" t="s">
        <v>1091</v>
      </c>
      <c r="E1969" s="29" t="s">
        <v>37</v>
      </c>
      <c r="F1969" s="29" t="s">
        <v>36</v>
      </c>
      <c r="G1969" s="29">
        <v>14.54</v>
      </c>
      <c r="H1969" s="71" t="s">
        <v>38</v>
      </c>
      <c r="I1969" s="37" t="s">
        <v>207</v>
      </c>
    </row>
    <row r="1970" spans="1:9" x14ac:dyDescent="0.25">
      <c r="A1970" s="29" t="s">
        <v>12</v>
      </c>
      <c r="B1970" s="29" t="s">
        <v>68</v>
      </c>
      <c r="C1970" s="29">
        <v>38075</v>
      </c>
      <c r="D1970" s="37" t="s">
        <v>2978</v>
      </c>
      <c r="E1970" s="29" t="s">
        <v>37</v>
      </c>
      <c r="F1970" s="29" t="s">
        <v>36</v>
      </c>
      <c r="G1970" s="29">
        <v>16.52</v>
      </c>
      <c r="H1970" s="71" t="s">
        <v>38</v>
      </c>
      <c r="I1970" s="37" t="s">
        <v>207</v>
      </c>
    </row>
    <row r="1971" spans="1:9" x14ac:dyDescent="0.25">
      <c r="A1971" s="29" t="s">
        <v>12</v>
      </c>
      <c r="B1971" s="29" t="s">
        <v>68</v>
      </c>
      <c r="C1971" s="29">
        <v>38102</v>
      </c>
      <c r="D1971" s="37" t="s">
        <v>1092</v>
      </c>
      <c r="E1971" s="29" t="s">
        <v>37</v>
      </c>
      <c r="F1971" s="29" t="s">
        <v>36</v>
      </c>
      <c r="G1971" s="29">
        <v>10.38</v>
      </c>
      <c r="H1971" s="71" t="s">
        <v>38</v>
      </c>
      <c r="I1971" s="37" t="s">
        <v>207</v>
      </c>
    </row>
    <row r="1972" spans="1:9" x14ac:dyDescent="0.25">
      <c r="A1972" s="29" t="s">
        <v>12</v>
      </c>
      <c r="B1972" s="29" t="s">
        <v>68</v>
      </c>
      <c r="C1972" s="29">
        <v>7525</v>
      </c>
      <c r="D1972" s="37" t="s">
        <v>1607</v>
      </c>
      <c r="E1972" s="29" t="s">
        <v>37</v>
      </c>
      <c r="F1972" s="29" t="s">
        <v>36</v>
      </c>
      <c r="G1972" s="29">
        <v>46.97</v>
      </c>
      <c r="H1972" s="71" t="s">
        <v>38</v>
      </c>
      <c r="I1972" s="37" t="s">
        <v>207</v>
      </c>
    </row>
    <row r="1973" spans="1:9" x14ac:dyDescent="0.25">
      <c r="A1973" s="29" t="s">
        <v>12</v>
      </c>
      <c r="B1973" s="29" t="s">
        <v>68</v>
      </c>
      <c r="C1973" s="29">
        <v>7524</v>
      </c>
      <c r="D1973" s="37" t="s">
        <v>1608</v>
      </c>
      <c r="E1973" s="29" t="s">
        <v>37</v>
      </c>
      <c r="F1973" s="29" t="s">
        <v>36</v>
      </c>
      <c r="G1973" s="29">
        <v>44.26</v>
      </c>
      <c r="H1973" s="71" t="s">
        <v>38</v>
      </c>
      <c r="I1973" s="37" t="s">
        <v>207</v>
      </c>
    </row>
    <row r="1974" spans="1:9" x14ac:dyDescent="0.25">
      <c r="A1974" s="29" t="s">
        <v>12</v>
      </c>
      <c r="B1974" s="29" t="s">
        <v>68</v>
      </c>
      <c r="C1974" s="29">
        <v>38105</v>
      </c>
      <c r="D1974" s="37" t="s">
        <v>1609</v>
      </c>
      <c r="E1974" s="29" t="s">
        <v>37</v>
      </c>
      <c r="F1974" s="29" t="s">
        <v>36</v>
      </c>
      <c r="G1974" s="29">
        <v>11.37</v>
      </c>
      <c r="H1974" s="71" t="s">
        <v>38</v>
      </c>
      <c r="I1974" s="37" t="s">
        <v>207</v>
      </c>
    </row>
    <row r="1975" spans="1:9" x14ac:dyDescent="0.25">
      <c r="A1975" s="29" t="s">
        <v>12</v>
      </c>
      <c r="B1975" s="29" t="s">
        <v>68</v>
      </c>
      <c r="C1975" s="29">
        <v>38084</v>
      </c>
      <c r="D1975" s="37" t="s">
        <v>1610</v>
      </c>
      <c r="E1975" s="29" t="s">
        <v>37</v>
      </c>
      <c r="F1975" s="29" t="s">
        <v>36</v>
      </c>
      <c r="G1975" s="29">
        <v>16.149999999999999</v>
      </c>
      <c r="H1975" s="71" t="s">
        <v>38</v>
      </c>
      <c r="I1975" s="37" t="s">
        <v>207</v>
      </c>
    </row>
    <row r="1976" spans="1:9" x14ac:dyDescent="0.25">
      <c r="A1976" s="29" t="s">
        <v>12</v>
      </c>
      <c r="B1976" s="29" t="s">
        <v>68</v>
      </c>
      <c r="C1976" s="29">
        <v>38103</v>
      </c>
      <c r="D1976" s="37" t="s">
        <v>1093</v>
      </c>
      <c r="E1976" s="29" t="s">
        <v>37</v>
      </c>
      <c r="F1976" s="29" t="s">
        <v>36</v>
      </c>
      <c r="G1976" s="29">
        <v>17.07</v>
      </c>
      <c r="H1976" s="71" t="s">
        <v>38</v>
      </c>
      <c r="I1976" s="37" t="s">
        <v>207</v>
      </c>
    </row>
    <row r="1977" spans="1:9" x14ac:dyDescent="0.25">
      <c r="A1977" s="29" t="s">
        <v>12</v>
      </c>
      <c r="B1977" s="29" t="s">
        <v>68</v>
      </c>
      <c r="C1977" s="29">
        <v>38082</v>
      </c>
      <c r="D1977" s="37" t="s">
        <v>1094</v>
      </c>
      <c r="E1977" s="29" t="s">
        <v>37</v>
      </c>
      <c r="F1977" s="29" t="s">
        <v>36</v>
      </c>
      <c r="G1977" s="29">
        <v>21.03</v>
      </c>
      <c r="H1977" s="71" t="s">
        <v>38</v>
      </c>
      <c r="I1977" s="37" t="s">
        <v>207</v>
      </c>
    </row>
    <row r="1978" spans="1:9" x14ac:dyDescent="0.25">
      <c r="A1978" s="29" t="s">
        <v>12</v>
      </c>
      <c r="B1978" s="29" t="s">
        <v>68</v>
      </c>
      <c r="C1978" s="29">
        <v>38104</v>
      </c>
      <c r="D1978" s="37" t="s">
        <v>2187</v>
      </c>
      <c r="E1978" s="29" t="s">
        <v>37</v>
      </c>
      <c r="F1978" s="29" t="s">
        <v>36</v>
      </c>
      <c r="G1978" s="29">
        <v>33.42</v>
      </c>
      <c r="H1978" s="71" t="s">
        <v>38</v>
      </c>
      <c r="I1978" s="37" t="s">
        <v>207</v>
      </c>
    </row>
    <row r="1979" spans="1:9" x14ac:dyDescent="0.25">
      <c r="A1979" s="29" t="s">
        <v>12</v>
      </c>
      <c r="B1979" s="29" t="s">
        <v>68</v>
      </c>
      <c r="C1979" s="29">
        <v>38083</v>
      </c>
      <c r="D1979" s="37" t="s">
        <v>1095</v>
      </c>
      <c r="E1979" s="29" t="s">
        <v>37</v>
      </c>
      <c r="F1979" s="29" t="s">
        <v>36</v>
      </c>
      <c r="G1979" s="29">
        <v>37.11</v>
      </c>
      <c r="H1979" s="71" t="s">
        <v>38</v>
      </c>
      <c r="I1979" s="37" t="s">
        <v>207</v>
      </c>
    </row>
    <row r="1980" spans="1:9" x14ac:dyDescent="0.25">
      <c r="A1980" s="29" t="s">
        <v>12</v>
      </c>
      <c r="B1980" s="29" t="s">
        <v>68</v>
      </c>
      <c r="C1980" s="29">
        <v>38076</v>
      </c>
      <c r="D1980" s="37" t="s">
        <v>1096</v>
      </c>
      <c r="E1980" s="29" t="s">
        <v>37</v>
      </c>
      <c r="F1980" s="29" t="s">
        <v>36</v>
      </c>
      <c r="G1980" s="29">
        <v>18.52</v>
      </c>
      <c r="H1980" s="71" t="s">
        <v>38</v>
      </c>
      <c r="I1980" s="37" t="s">
        <v>207</v>
      </c>
    </row>
    <row r="1981" spans="1:9" x14ac:dyDescent="0.25">
      <c r="A1981" s="29" t="s">
        <v>12</v>
      </c>
      <c r="B1981" s="29" t="s">
        <v>63</v>
      </c>
      <c r="C1981" s="29" t="s">
        <v>34</v>
      </c>
      <c r="D1981" s="37" t="s">
        <v>3083</v>
      </c>
      <c r="E1981" s="29" t="s">
        <v>37</v>
      </c>
      <c r="F1981" s="29" t="s">
        <v>36</v>
      </c>
      <c r="G1981" s="29">
        <v>28.25</v>
      </c>
      <c r="H1981" s="71" t="s">
        <v>829</v>
      </c>
      <c r="I1981" s="37" t="str">
        <f>"https://www.dimensional.com.br/trilho-fixacao-montagem-eletrica-din-perfurado-aco-carbono-2-m-ts35/p"</f>
        <v>https://www.dimensional.com.br/trilho-fixacao-montagem-eletrica-din-perfurado-aco-carbono-2-m-ts35/p</v>
      </c>
    </row>
    <row r="1982" spans="1:9" x14ac:dyDescent="0.25">
      <c r="A1982" s="29" t="s">
        <v>12</v>
      </c>
      <c r="B1982" s="29" t="s">
        <v>63</v>
      </c>
      <c r="C1982" s="29">
        <v>11580</v>
      </c>
      <c r="D1982" s="37" t="s">
        <v>2034</v>
      </c>
      <c r="E1982" s="29" t="s">
        <v>37</v>
      </c>
      <c r="F1982" s="29" t="s">
        <v>44</v>
      </c>
      <c r="G1982" s="29">
        <v>9.31</v>
      </c>
      <c r="H1982" s="71" t="s">
        <v>38</v>
      </c>
      <c r="I1982" s="37" t="s">
        <v>207</v>
      </c>
    </row>
    <row r="1983" spans="1:9" x14ac:dyDescent="0.25">
      <c r="A1983" s="29" t="s">
        <v>13</v>
      </c>
      <c r="B1983" s="29" t="s">
        <v>128</v>
      </c>
      <c r="C1983" s="29">
        <v>25004</v>
      </c>
      <c r="D1983" s="37" t="s">
        <v>2643</v>
      </c>
      <c r="E1983" s="29" t="s">
        <v>37</v>
      </c>
      <c r="F1983" s="29" t="s">
        <v>41</v>
      </c>
      <c r="G1983" s="29">
        <v>54.23</v>
      </c>
      <c r="H1983" s="71" t="s">
        <v>38</v>
      </c>
      <c r="I1983" s="37" t="s">
        <v>207</v>
      </c>
    </row>
    <row r="1984" spans="1:9" x14ac:dyDescent="0.25">
      <c r="A1984" s="29" t="s">
        <v>13</v>
      </c>
      <c r="B1984" s="29" t="s">
        <v>128</v>
      </c>
      <c r="C1984" s="29">
        <v>25002</v>
      </c>
      <c r="D1984" s="37" t="s">
        <v>2644</v>
      </c>
      <c r="E1984" s="29" t="s">
        <v>37</v>
      </c>
      <c r="F1984" s="29" t="s">
        <v>41</v>
      </c>
      <c r="G1984" s="29">
        <v>54.23</v>
      </c>
      <c r="H1984" s="71" t="s">
        <v>38</v>
      </c>
      <c r="I1984" s="37" t="s">
        <v>207</v>
      </c>
    </row>
    <row r="1985" spans="1:9" x14ac:dyDescent="0.25">
      <c r="A1985" s="29" t="s">
        <v>13</v>
      </c>
      <c r="B1985" s="29" t="s">
        <v>128</v>
      </c>
      <c r="C1985" s="29">
        <v>37409</v>
      </c>
      <c r="D1985" s="37" t="s">
        <v>2645</v>
      </c>
      <c r="E1985" s="29" t="s">
        <v>37</v>
      </c>
      <c r="F1985" s="29" t="s">
        <v>41</v>
      </c>
      <c r="G1985" s="29">
        <v>54.23</v>
      </c>
      <c r="H1985" s="71" t="s">
        <v>38</v>
      </c>
      <c r="I1985" s="37" t="s">
        <v>207</v>
      </c>
    </row>
    <row r="1986" spans="1:9" x14ac:dyDescent="0.25">
      <c r="A1986" s="29" t="s">
        <v>13</v>
      </c>
      <c r="B1986" s="29" t="s">
        <v>128</v>
      </c>
      <c r="C1986" s="29">
        <v>841</v>
      </c>
      <c r="D1986" s="37" t="s">
        <v>2646</v>
      </c>
      <c r="E1986" s="29" t="s">
        <v>37</v>
      </c>
      <c r="F1986" s="29" t="s">
        <v>41</v>
      </c>
      <c r="G1986" s="29">
        <v>54.89</v>
      </c>
      <c r="H1986" s="71" t="s">
        <v>38</v>
      </c>
      <c r="I1986" s="37" t="s">
        <v>207</v>
      </c>
    </row>
    <row r="1987" spans="1:9" x14ac:dyDescent="0.25">
      <c r="A1987" s="29" t="s">
        <v>13</v>
      </c>
      <c r="B1987" s="29" t="s">
        <v>128</v>
      </c>
      <c r="C1987" s="29">
        <v>25005</v>
      </c>
      <c r="D1987" s="37" t="s">
        <v>2647</v>
      </c>
      <c r="E1987" s="29" t="s">
        <v>37</v>
      </c>
      <c r="F1987" s="29" t="s">
        <v>41</v>
      </c>
      <c r="G1987" s="29">
        <v>59.5</v>
      </c>
      <c r="H1987" s="71" t="s">
        <v>38</v>
      </c>
      <c r="I1987" s="37" t="s">
        <v>207</v>
      </c>
    </row>
    <row r="1988" spans="1:9" x14ac:dyDescent="0.25">
      <c r="A1988" s="29" t="s">
        <v>13</v>
      </c>
      <c r="B1988" s="29" t="s">
        <v>128</v>
      </c>
      <c r="C1988" s="29">
        <v>25003</v>
      </c>
      <c r="D1988" s="37" t="s">
        <v>2648</v>
      </c>
      <c r="E1988" s="29" t="s">
        <v>37</v>
      </c>
      <c r="F1988" s="29" t="s">
        <v>41</v>
      </c>
      <c r="G1988" s="29">
        <v>60.4</v>
      </c>
      <c r="H1988" s="71" t="s">
        <v>38</v>
      </c>
      <c r="I1988" s="37" t="s">
        <v>207</v>
      </c>
    </row>
    <row r="1989" spans="1:9" x14ac:dyDescent="0.25">
      <c r="A1989" s="29" t="s">
        <v>13</v>
      </c>
      <c r="B1989" s="29" t="s">
        <v>128</v>
      </c>
      <c r="C1989" s="29">
        <v>37410</v>
      </c>
      <c r="D1989" s="37" t="s">
        <v>2649</v>
      </c>
      <c r="E1989" s="29" t="s">
        <v>37</v>
      </c>
      <c r="F1989" s="29" t="s">
        <v>41</v>
      </c>
      <c r="G1989" s="29">
        <v>59.5</v>
      </c>
      <c r="H1989" s="71" t="s">
        <v>38</v>
      </c>
      <c r="I1989" s="37" t="s">
        <v>207</v>
      </c>
    </row>
    <row r="1990" spans="1:9" x14ac:dyDescent="0.25">
      <c r="A1990" s="29" t="s">
        <v>13</v>
      </c>
      <c r="B1990" s="29" t="s">
        <v>128</v>
      </c>
      <c r="C1990" s="29">
        <v>842</v>
      </c>
      <c r="D1990" s="37" t="s">
        <v>2650</v>
      </c>
      <c r="E1990" s="29" t="s">
        <v>37</v>
      </c>
      <c r="F1990" s="29" t="s">
        <v>41</v>
      </c>
      <c r="G1990" s="29">
        <v>60.35</v>
      </c>
      <c r="H1990" s="71" t="s">
        <v>38</v>
      </c>
      <c r="I1990" s="37" t="s">
        <v>207</v>
      </c>
    </row>
    <row r="1991" spans="1:9" x14ac:dyDescent="0.25">
      <c r="A1991" s="29" t="s">
        <v>13</v>
      </c>
      <c r="B1991" s="29" t="s">
        <v>128</v>
      </c>
      <c r="C1991" s="29" t="s">
        <v>34</v>
      </c>
      <c r="D1991" s="37" t="s">
        <v>3303</v>
      </c>
      <c r="E1991" s="29" t="s">
        <v>811</v>
      </c>
      <c r="F1991" s="29" t="s">
        <v>44</v>
      </c>
      <c r="G1991" s="29">
        <v>80.64</v>
      </c>
      <c r="H1991" s="71" t="s">
        <v>800</v>
      </c>
      <c r="I1991" s="37" t="str">
        <f>"https://www.dimensional.com.br/cabo-media-tensao-12-20kv-105g-epr-25mm-preto-epdry105-nexans/p; https://www.dimensional.com.br/54371-cabo-media-tensao-12-20kv-105g-epr-25mm2-preto-3706010144x-induscabos/p"</f>
        <v>https://www.dimensional.com.br/cabo-media-tensao-12-20kv-105g-epr-25mm-preto-epdry105-nexans/p; https://www.dimensional.com.br/54371-cabo-media-tensao-12-20kv-105g-epr-25mm2-preto-3706010144x-induscabos/p</v>
      </c>
    </row>
    <row r="1992" spans="1:9" x14ac:dyDescent="0.25">
      <c r="A1992" s="29" t="s">
        <v>13</v>
      </c>
      <c r="B1992" s="29" t="s">
        <v>128</v>
      </c>
      <c r="C1992" s="29" t="s">
        <v>34</v>
      </c>
      <c r="D1992" s="37" t="s">
        <v>3304</v>
      </c>
      <c r="E1992" s="29" t="s">
        <v>811</v>
      </c>
      <c r="F1992" s="29" t="s">
        <v>44</v>
      </c>
      <c r="G1992" s="29">
        <v>110.69</v>
      </c>
      <c r="H1992" s="71" t="s">
        <v>800</v>
      </c>
      <c r="I1992" s="37" t="str">
        <f>"https://www.dimensional.com.br/cabo-media-tensao-12-20kv-105-graus-celsius-epr-50mm-preto-epdry105-nexans/p; https://www.dimensional.com.br/54381-cabo-media-tensao-12-20kv-105g-epr-50mm2-preto-3706010164x-induscabos/p"</f>
        <v>https://www.dimensional.com.br/cabo-media-tensao-12-20kv-105-graus-celsius-epr-50mm-preto-epdry105-nexans/p; https://www.dimensional.com.br/54381-cabo-media-tensao-12-20kv-105g-epr-50mm2-preto-3706010164x-induscabos/p</v>
      </c>
    </row>
    <row r="1993" spans="1:9" x14ac:dyDescent="0.25">
      <c r="A1993" s="29" t="s">
        <v>13</v>
      </c>
      <c r="B1993" s="29" t="s">
        <v>128</v>
      </c>
      <c r="C1993" s="29" t="s">
        <v>34</v>
      </c>
      <c r="D1993" s="37" t="s">
        <v>3305</v>
      </c>
      <c r="E1993" s="29" t="s">
        <v>812</v>
      </c>
      <c r="F1993" s="29" t="s">
        <v>44</v>
      </c>
      <c r="G1993" s="29">
        <v>138.59</v>
      </c>
      <c r="H1993" s="71" t="s">
        <v>800</v>
      </c>
      <c r="I1993" s="37" t="str">
        <f>"https://www.dimensional.com.br/cabo-metro-12-20kv-105g-epr-70mm2-preto-eprotenaxcompact105-prysmian/p; https://www.dimensional.com.br/cabo-media-tensao-12-20kv-105-graus-celsius-epr-70mm-preto-epronaxslim105-induscabos/p"</f>
        <v>https://www.dimensional.com.br/cabo-metro-12-20kv-105g-epr-70mm2-preto-eprotenaxcompact105-prysmian/p; https://www.dimensional.com.br/cabo-media-tensao-12-20kv-105-graus-celsius-epr-70mm-preto-epronaxslim105-induscabos/p</v>
      </c>
    </row>
    <row r="1994" spans="1:9" x14ac:dyDescent="0.25">
      <c r="A1994" s="29" t="s">
        <v>13</v>
      </c>
      <c r="B1994" s="29" t="s">
        <v>128</v>
      </c>
      <c r="C1994" s="29" t="s">
        <v>34</v>
      </c>
      <c r="D1994" s="37" t="s">
        <v>3306</v>
      </c>
      <c r="E1994" s="29" t="s">
        <v>55</v>
      </c>
      <c r="F1994" s="29" t="s">
        <v>44</v>
      </c>
      <c r="I1994" s="37" t="s">
        <v>37</v>
      </c>
    </row>
    <row r="1995" spans="1:9" x14ac:dyDescent="0.25">
      <c r="A1995" s="29" t="s">
        <v>13</v>
      </c>
      <c r="B1995" s="29" t="s">
        <v>128</v>
      </c>
      <c r="C1995" s="29" t="s">
        <v>34</v>
      </c>
      <c r="D1995" s="37" t="s">
        <v>3307</v>
      </c>
      <c r="E1995" s="29" t="s">
        <v>811</v>
      </c>
      <c r="F1995" s="29" t="s">
        <v>44</v>
      </c>
      <c r="G1995" s="29">
        <v>165.49</v>
      </c>
      <c r="H1995" s="71" t="s">
        <v>800</v>
      </c>
      <c r="I1995" s="37" t="str">
        <f>"https://www.dimensional.com.br/622836-cabo-media-tensao-20-35kv-105g-epr-50mm2-preto-ep-dry-44618-nexans/p; https://www.dimensional.com.br/767333-cabo-media-tensao-20-35kv-105g-epr-50mm2-preto-epronaxslim105-3710010164x-induscabos/p"</f>
        <v>https://www.dimensional.com.br/622836-cabo-media-tensao-20-35kv-105g-epr-50mm2-preto-ep-dry-44618-nexans/p; https://www.dimensional.com.br/767333-cabo-media-tensao-20-35kv-105g-epr-50mm2-preto-epronaxslim105-3710010164x-induscabos/p</v>
      </c>
    </row>
    <row r="1996" spans="1:9" x14ac:dyDescent="0.25">
      <c r="A1996" s="29" t="s">
        <v>13</v>
      </c>
      <c r="B1996" s="29" t="s">
        <v>128</v>
      </c>
      <c r="C1996" s="29" t="s">
        <v>34</v>
      </c>
      <c r="D1996" s="37" t="s">
        <v>3308</v>
      </c>
      <c r="E1996" s="29" t="s">
        <v>55</v>
      </c>
      <c r="F1996" s="29" t="s">
        <v>44</v>
      </c>
      <c r="I1996" s="37" t="s">
        <v>37</v>
      </c>
    </row>
    <row r="1997" spans="1:9" x14ac:dyDescent="0.25">
      <c r="A1997" s="29" t="s">
        <v>13</v>
      </c>
      <c r="B1997" s="29" t="s">
        <v>128</v>
      </c>
      <c r="C1997" s="29" t="s">
        <v>34</v>
      </c>
      <c r="D1997" s="37" t="s">
        <v>3309</v>
      </c>
      <c r="E1997" s="29" t="s">
        <v>810</v>
      </c>
      <c r="F1997" s="29" t="s">
        <v>44</v>
      </c>
      <c r="G1997" s="29">
        <v>57.59</v>
      </c>
      <c r="H1997" s="71" t="s">
        <v>800</v>
      </c>
      <c r="I1997" s="37" t="str">
        <f>"https://www.dimensional.com.br/cabo-media-tensao-8-7-15kv-105-graus-celsius-epr-25mm-preto-epdry105-nexans/p"</f>
        <v>https://www.dimensional.com.br/cabo-media-tensao-8-7-15kv-105-graus-celsius-epr-25mm-preto-epdry105-nexans/p</v>
      </c>
    </row>
    <row r="1998" spans="1:9" x14ac:dyDescent="0.25">
      <c r="A1998" s="29" t="s">
        <v>13</v>
      </c>
      <c r="B1998" s="29" t="s">
        <v>128</v>
      </c>
      <c r="C1998" s="29" t="s">
        <v>34</v>
      </c>
      <c r="D1998" s="37" t="s">
        <v>3310</v>
      </c>
      <c r="E1998" s="29" t="s">
        <v>55</v>
      </c>
      <c r="F1998" s="29" t="s">
        <v>44</v>
      </c>
      <c r="G1998" s="29">
        <v>102.59</v>
      </c>
      <c r="H1998" s="71" t="s">
        <v>800</v>
      </c>
      <c r="I1998" s="37" t="str">
        <f>"https://www.dimensional.com.br/cabo-media-tensao-8-7-15kv-105g-epr-50mm-preto-induscabos/p"</f>
        <v>https://www.dimensional.com.br/cabo-media-tensao-8-7-15kv-105g-epr-50mm-preto-induscabos/p</v>
      </c>
    </row>
    <row r="1999" spans="1:9" x14ac:dyDescent="0.25">
      <c r="A1999" s="29" t="s">
        <v>13</v>
      </c>
      <c r="B1999" s="29" t="s">
        <v>128</v>
      </c>
      <c r="C1999" s="29" t="s">
        <v>34</v>
      </c>
      <c r="D1999" s="37" t="s">
        <v>3311</v>
      </c>
      <c r="E1999" s="29" t="s">
        <v>811</v>
      </c>
      <c r="F1999" s="29" t="s">
        <v>44</v>
      </c>
      <c r="G1999" s="29">
        <v>137.99</v>
      </c>
      <c r="H1999" s="71" t="s">
        <v>800</v>
      </c>
      <c r="I1999" s="37" t="str">
        <f>"https://www.dimensional.com.br/603467-cabo-mt-8-7-15kv-105g-epr-70mm2-pt-ep-dry-105-48936-nexans/p; https://www.dimensional.com.br/355498-cabo-media-tensao-8-7-15kv-105g-epr-70mm2-preto-epronaxslim105-3704010174x-induscabos/p"</f>
        <v>https://www.dimensional.com.br/603467-cabo-mt-8-7-15kv-105g-epr-70mm2-pt-ep-dry-105-48936-nexans/p; https://www.dimensional.com.br/355498-cabo-media-tensao-8-7-15kv-105g-epr-70mm2-preto-epronaxslim105-3704010174x-induscabos/p</v>
      </c>
    </row>
    <row r="2000" spans="1:9" x14ac:dyDescent="0.25">
      <c r="A2000" s="29" t="s">
        <v>13</v>
      </c>
      <c r="B2000" s="29" t="s">
        <v>77</v>
      </c>
      <c r="C2000" s="29">
        <v>39692</v>
      </c>
      <c r="D2000" s="37" t="s">
        <v>3423</v>
      </c>
      <c r="E2000" s="29" t="s">
        <v>37</v>
      </c>
      <c r="F2000" s="29" t="s">
        <v>36</v>
      </c>
      <c r="G2000" s="29">
        <v>823.17</v>
      </c>
      <c r="H2000" s="71" t="s">
        <v>38</v>
      </c>
      <c r="I2000" s="37" t="s">
        <v>207</v>
      </c>
    </row>
    <row r="2001" spans="1:9" x14ac:dyDescent="0.25">
      <c r="A2001" s="29" t="s">
        <v>13</v>
      </c>
      <c r="B2001" s="29" t="s">
        <v>72</v>
      </c>
      <c r="C2001" s="29">
        <v>12327</v>
      </c>
      <c r="D2001" s="37" t="s">
        <v>3424</v>
      </c>
      <c r="E2001" s="29" t="s">
        <v>37</v>
      </c>
      <c r="F2001" s="29" t="s">
        <v>36</v>
      </c>
      <c r="G2001" s="29">
        <v>54.95</v>
      </c>
      <c r="H2001" s="71" t="s">
        <v>38</v>
      </c>
      <c r="I2001" s="37" t="s">
        <v>207</v>
      </c>
    </row>
    <row r="2002" spans="1:9" x14ac:dyDescent="0.25">
      <c r="A2002" s="29" t="s">
        <v>13</v>
      </c>
      <c r="B2002" s="29" t="s">
        <v>114</v>
      </c>
      <c r="C2002" s="29" t="s">
        <v>34</v>
      </c>
      <c r="D2002" s="37" t="s">
        <v>1793</v>
      </c>
      <c r="E2002" s="29" t="s">
        <v>102</v>
      </c>
      <c r="F2002" s="29" t="s">
        <v>36</v>
      </c>
      <c r="I2002" s="37" t="s">
        <v>37</v>
      </c>
    </row>
    <row r="2003" spans="1:9" x14ac:dyDescent="0.25">
      <c r="A2003" s="29" t="s">
        <v>13</v>
      </c>
      <c r="B2003" s="29" t="s">
        <v>116</v>
      </c>
      <c r="C2003" s="29" t="s">
        <v>34</v>
      </c>
      <c r="D2003" s="37" t="s">
        <v>3312</v>
      </c>
      <c r="E2003" s="29" t="s">
        <v>107</v>
      </c>
      <c r="F2003" s="29" t="s">
        <v>36</v>
      </c>
      <c r="I2003" s="37" t="s">
        <v>37</v>
      </c>
    </row>
    <row r="2004" spans="1:9" x14ac:dyDescent="0.25">
      <c r="A2004" s="29" t="s">
        <v>13</v>
      </c>
      <c r="B2004" s="29" t="s">
        <v>116</v>
      </c>
      <c r="C2004" s="29" t="s">
        <v>34</v>
      </c>
      <c r="D2004" s="37" t="s">
        <v>3313</v>
      </c>
      <c r="E2004" s="29" t="s">
        <v>108</v>
      </c>
      <c r="F2004" s="29" t="s">
        <v>36</v>
      </c>
      <c r="I2004" s="37" t="s">
        <v>37</v>
      </c>
    </row>
    <row r="2005" spans="1:9" x14ac:dyDescent="0.25">
      <c r="A2005" s="29" t="s">
        <v>13</v>
      </c>
      <c r="B2005" s="29" t="s">
        <v>126</v>
      </c>
      <c r="C2005" s="29" t="s">
        <v>34</v>
      </c>
      <c r="D2005" s="37" t="s">
        <v>3314</v>
      </c>
      <c r="E2005" s="29" t="s">
        <v>112</v>
      </c>
      <c r="F2005" s="29" t="s">
        <v>36</v>
      </c>
      <c r="I2005" s="37" t="s">
        <v>37</v>
      </c>
    </row>
    <row r="2006" spans="1:9" x14ac:dyDescent="0.25">
      <c r="A2006" s="29" t="s">
        <v>13</v>
      </c>
      <c r="B2006" s="29" t="s">
        <v>126</v>
      </c>
      <c r="C2006" s="29" t="s">
        <v>34</v>
      </c>
      <c r="D2006" s="37" t="s">
        <v>3315</v>
      </c>
      <c r="E2006" s="29" t="s">
        <v>112</v>
      </c>
      <c r="F2006" s="29" t="s">
        <v>36</v>
      </c>
      <c r="I2006" s="37" t="s">
        <v>37</v>
      </c>
    </row>
    <row r="2007" spans="1:9" x14ac:dyDescent="0.25">
      <c r="A2007" s="29" t="s">
        <v>13</v>
      </c>
      <c r="B2007" s="29" t="s">
        <v>69</v>
      </c>
      <c r="C2007" s="29">
        <v>7613</v>
      </c>
      <c r="D2007" s="37" t="s">
        <v>3425</v>
      </c>
      <c r="E2007" s="29" t="s">
        <v>37</v>
      </c>
      <c r="F2007" s="29" t="s">
        <v>36</v>
      </c>
      <c r="G2007" s="29">
        <v>125018.68</v>
      </c>
      <c r="H2007" s="71" t="s">
        <v>38</v>
      </c>
      <c r="I2007" s="37" t="s">
        <v>207</v>
      </c>
    </row>
    <row r="2008" spans="1:9" x14ac:dyDescent="0.25">
      <c r="A2008" s="29" t="s">
        <v>13</v>
      </c>
      <c r="B2008" s="29" t="s">
        <v>69</v>
      </c>
      <c r="C2008" s="29">
        <v>7619</v>
      </c>
      <c r="D2008" s="37" t="s">
        <v>3426</v>
      </c>
      <c r="E2008" s="29" t="s">
        <v>37</v>
      </c>
      <c r="F2008" s="29" t="s">
        <v>36</v>
      </c>
      <c r="G2008" s="29">
        <v>19325.21</v>
      </c>
      <c r="H2008" s="71" t="s">
        <v>38</v>
      </c>
      <c r="I2008" s="37" t="s">
        <v>207</v>
      </c>
    </row>
    <row r="2009" spans="1:9" x14ac:dyDescent="0.25">
      <c r="A2009" s="29" t="s">
        <v>13</v>
      </c>
      <c r="B2009" s="29" t="s">
        <v>69</v>
      </c>
      <c r="C2009" s="29">
        <v>12076</v>
      </c>
      <c r="D2009" s="37" t="s">
        <v>3427</v>
      </c>
      <c r="E2009" s="29" t="s">
        <v>37</v>
      </c>
      <c r="F2009" s="29" t="s">
        <v>36</v>
      </c>
      <c r="G2009" s="29">
        <v>8864.77</v>
      </c>
      <c r="H2009" s="71" t="s">
        <v>38</v>
      </c>
      <c r="I2009" s="37" t="s">
        <v>207</v>
      </c>
    </row>
    <row r="2010" spans="1:9" x14ac:dyDescent="0.25">
      <c r="A2010" s="29" t="s">
        <v>13</v>
      </c>
      <c r="B2010" s="29" t="s">
        <v>69</v>
      </c>
      <c r="C2010" s="29">
        <v>7614</v>
      </c>
      <c r="D2010" s="37" t="s">
        <v>3428</v>
      </c>
      <c r="E2010" s="29" t="s">
        <v>37</v>
      </c>
      <c r="F2010" s="29" t="s">
        <v>36</v>
      </c>
      <c r="G2010" s="29">
        <v>24373.7</v>
      </c>
      <c r="H2010" s="71" t="s">
        <v>38</v>
      </c>
      <c r="I2010" s="37" t="s">
        <v>207</v>
      </c>
    </row>
    <row r="2011" spans="1:9" x14ac:dyDescent="0.25">
      <c r="A2011" s="29" t="s">
        <v>13</v>
      </c>
      <c r="B2011" s="29" t="s">
        <v>69</v>
      </c>
      <c r="C2011" s="29">
        <v>7618</v>
      </c>
      <c r="D2011" s="37" t="s">
        <v>3429</v>
      </c>
      <c r="E2011" s="29" t="s">
        <v>37</v>
      </c>
      <c r="F2011" s="29" t="s">
        <v>36</v>
      </c>
      <c r="G2011" s="29">
        <v>158081.76999999999</v>
      </c>
      <c r="H2011" s="71" t="s">
        <v>38</v>
      </c>
      <c r="I2011" s="37" t="s">
        <v>207</v>
      </c>
    </row>
    <row r="2012" spans="1:9" x14ac:dyDescent="0.25">
      <c r="A2012" s="29" t="s">
        <v>13</v>
      </c>
      <c r="B2012" s="29" t="s">
        <v>69</v>
      </c>
      <c r="C2012" s="29">
        <v>7620</v>
      </c>
      <c r="D2012" s="37" t="s">
        <v>3430</v>
      </c>
      <c r="E2012" s="29" t="s">
        <v>37</v>
      </c>
      <c r="F2012" s="29" t="s">
        <v>36</v>
      </c>
      <c r="G2012" s="29">
        <v>34192.71</v>
      </c>
      <c r="H2012" s="71" t="s">
        <v>38</v>
      </c>
      <c r="I2012" s="37" t="s">
        <v>207</v>
      </c>
    </row>
    <row r="2013" spans="1:9" x14ac:dyDescent="0.25">
      <c r="A2013" s="29" t="s">
        <v>13</v>
      </c>
      <c r="B2013" s="29" t="s">
        <v>69</v>
      </c>
      <c r="C2013" s="29">
        <v>7610</v>
      </c>
      <c r="D2013" s="37" t="s">
        <v>3431</v>
      </c>
      <c r="E2013" s="29" t="s">
        <v>37</v>
      </c>
      <c r="F2013" s="29" t="s">
        <v>36</v>
      </c>
      <c r="G2013" s="29">
        <v>10827.69</v>
      </c>
      <c r="H2013" s="71" t="s">
        <v>38</v>
      </c>
      <c r="I2013" s="37" t="s">
        <v>207</v>
      </c>
    </row>
    <row r="2014" spans="1:9" x14ac:dyDescent="0.25">
      <c r="A2014" s="29" t="s">
        <v>13</v>
      </c>
      <c r="B2014" s="29" t="s">
        <v>69</v>
      </c>
      <c r="C2014" s="29">
        <v>7615</v>
      </c>
      <c r="D2014" s="37" t="s">
        <v>3432</v>
      </c>
      <c r="E2014" s="29" t="s">
        <v>37</v>
      </c>
      <c r="F2014" s="29" t="s">
        <v>36</v>
      </c>
      <c r="G2014" s="29">
        <v>39891.49</v>
      </c>
      <c r="H2014" s="71" t="s">
        <v>38</v>
      </c>
      <c r="I2014" s="37" t="s">
        <v>207</v>
      </c>
    </row>
    <row r="2015" spans="1:9" x14ac:dyDescent="0.25">
      <c r="A2015" s="29" t="s">
        <v>13</v>
      </c>
      <c r="B2015" s="29" t="s">
        <v>69</v>
      </c>
      <c r="C2015" s="29">
        <v>7617</v>
      </c>
      <c r="D2015" s="37" t="s">
        <v>3433</v>
      </c>
      <c r="E2015" s="29" t="s">
        <v>37</v>
      </c>
      <c r="F2015" s="29" t="s">
        <v>36</v>
      </c>
      <c r="G2015" s="29">
        <v>12094.08</v>
      </c>
      <c r="H2015" s="71" t="s">
        <v>38</v>
      </c>
      <c r="I2015" s="37" t="s">
        <v>207</v>
      </c>
    </row>
    <row r="2016" spans="1:9" x14ac:dyDescent="0.25">
      <c r="A2016" s="29" t="s">
        <v>13</v>
      </c>
      <c r="B2016" s="29" t="s">
        <v>69</v>
      </c>
      <c r="C2016" s="29">
        <v>7616</v>
      </c>
      <c r="D2016" s="37" t="s">
        <v>3434</v>
      </c>
      <c r="E2016" s="29" t="s">
        <v>37</v>
      </c>
      <c r="F2016" s="29" t="s">
        <v>36</v>
      </c>
      <c r="G2016" s="29">
        <v>65096.59</v>
      </c>
      <c r="H2016" s="71" t="s">
        <v>38</v>
      </c>
      <c r="I2016" s="37" t="s">
        <v>207</v>
      </c>
    </row>
    <row r="2017" spans="1:9" x14ac:dyDescent="0.25">
      <c r="A2017" s="29" t="s">
        <v>13</v>
      </c>
      <c r="B2017" s="29" t="s">
        <v>69</v>
      </c>
      <c r="C2017" s="29">
        <v>7611</v>
      </c>
      <c r="D2017" s="37" t="s">
        <v>3435</v>
      </c>
      <c r="E2017" s="29" t="s">
        <v>37</v>
      </c>
      <c r="F2017" s="29" t="s">
        <v>36</v>
      </c>
      <c r="G2017" s="29">
        <v>15640</v>
      </c>
      <c r="H2017" s="71" t="s">
        <v>38</v>
      </c>
      <c r="I2017" s="37" t="s">
        <v>207</v>
      </c>
    </row>
    <row r="2018" spans="1:9" x14ac:dyDescent="0.25">
      <c r="A2018" s="29" t="s">
        <v>13</v>
      </c>
      <c r="B2018" s="29" t="s">
        <v>69</v>
      </c>
      <c r="C2018" s="29">
        <v>7612</v>
      </c>
      <c r="D2018" s="37" t="s">
        <v>3436</v>
      </c>
      <c r="E2018" s="29" t="s">
        <v>37</v>
      </c>
      <c r="F2018" s="29" t="s">
        <v>36</v>
      </c>
      <c r="G2018" s="29">
        <v>89291.1</v>
      </c>
      <c r="H2018" s="71" t="s">
        <v>38</v>
      </c>
      <c r="I2018" s="37" t="s">
        <v>207</v>
      </c>
    </row>
    <row r="2019" spans="1:9" x14ac:dyDescent="0.25">
      <c r="A2019" s="29" t="s">
        <v>22</v>
      </c>
      <c r="B2019" s="29" t="s">
        <v>804</v>
      </c>
      <c r="C2019" s="29">
        <v>339</v>
      </c>
      <c r="D2019" s="37" t="s">
        <v>1366</v>
      </c>
      <c r="E2019" s="29" t="s">
        <v>37</v>
      </c>
      <c r="F2019" s="29" t="s">
        <v>44</v>
      </c>
      <c r="G2019" s="29">
        <v>1.57</v>
      </c>
      <c r="H2019" s="71" t="s">
        <v>38</v>
      </c>
      <c r="I2019" s="37" t="s">
        <v>207</v>
      </c>
    </row>
    <row r="2020" spans="1:9" x14ac:dyDescent="0.25">
      <c r="A2020" s="29" t="s">
        <v>22</v>
      </c>
      <c r="B2020" s="29" t="s">
        <v>804</v>
      </c>
      <c r="C2020" s="29">
        <v>340</v>
      </c>
      <c r="D2020" s="37" t="s">
        <v>1367</v>
      </c>
      <c r="E2020" s="29" t="s">
        <v>37</v>
      </c>
      <c r="F2020" s="29" t="s">
        <v>44</v>
      </c>
      <c r="G2020" s="29">
        <v>1.42</v>
      </c>
      <c r="H2020" s="71" t="s">
        <v>38</v>
      </c>
      <c r="I2020" s="37" t="s">
        <v>207</v>
      </c>
    </row>
    <row r="2021" spans="1:9" x14ac:dyDescent="0.25">
      <c r="A2021" s="29" t="s">
        <v>22</v>
      </c>
      <c r="B2021" s="29" t="s">
        <v>117</v>
      </c>
      <c r="C2021" s="29" t="s">
        <v>34</v>
      </c>
      <c r="D2021" s="37" t="s">
        <v>1782</v>
      </c>
      <c r="E2021" s="29" t="s">
        <v>37</v>
      </c>
      <c r="F2021" s="29" t="s">
        <v>36</v>
      </c>
      <c r="G2021" s="29">
        <v>46.89</v>
      </c>
      <c r="H2021" s="71" t="s">
        <v>740</v>
      </c>
      <c r="I2021" s="37" t="str">
        <f>"https://orcamentor.com/insumo/4111/"</f>
        <v>https://orcamentor.com/insumo/4111/</v>
      </c>
    </row>
    <row r="2022" spans="1:9" x14ac:dyDescent="0.25">
      <c r="A2022" s="29" t="s">
        <v>22</v>
      </c>
      <c r="B2022" s="29" t="s">
        <v>117</v>
      </c>
      <c r="C2022" s="29">
        <v>4114</v>
      </c>
      <c r="D2022" s="37" t="s">
        <v>3084</v>
      </c>
      <c r="E2022" s="29" t="s">
        <v>37</v>
      </c>
      <c r="F2022" s="29" t="s">
        <v>36</v>
      </c>
      <c r="G2022" s="29">
        <v>69.28</v>
      </c>
      <c r="H2022" s="71" t="s">
        <v>38</v>
      </c>
      <c r="I2022" s="37" t="s">
        <v>207</v>
      </c>
    </row>
    <row r="2023" spans="1:9" x14ac:dyDescent="0.25">
      <c r="A2023" s="29" t="s">
        <v>22</v>
      </c>
      <c r="B2023" s="29" t="s">
        <v>117</v>
      </c>
      <c r="C2023" s="29">
        <v>36797</v>
      </c>
      <c r="D2023" s="37" t="s">
        <v>3085</v>
      </c>
      <c r="E2023" s="29" t="s">
        <v>37</v>
      </c>
      <c r="F2023" s="29" t="s">
        <v>36</v>
      </c>
      <c r="G2023" s="29">
        <v>61.69</v>
      </c>
      <c r="H2023" s="71" t="s">
        <v>38</v>
      </c>
      <c r="I2023" s="37" t="s">
        <v>207</v>
      </c>
    </row>
    <row r="2024" spans="1:9" x14ac:dyDescent="0.25">
      <c r="A2024" s="29" t="s">
        <v>22</v>
      </c>
      <c r="B2024" s="29" t="s">
        <v>117</v>
      </c>
      <c r="C2024" s="29">
        <v>4107</v>
      </c>
      <c r="D2024" s="37" t="s">
        <v>1783</v>
      </c>
      <c r="E2024" s="29" t="s">
        <v>37</v>
      </c>
      <c r="F2024" s="29" t="s">
        <v>36</v>
      </c>
      <c r="G2024" s="29">
        <v>58.16</v>
      </c>
      <c r="H2024" s="71" t="s">
        <v>38</v>
      </c>
      <c r="I2024" s="37" t="s">
        <v>207</v>
      </c>
    </row>
    <row r="2025" spans="1:9" x14ac:dyDescent="0.25">
      <c r="A2025" s="29" t="s">
        <v>22</v>
      </c>
      <c r="B2025" s="29" t="s">
        <v>117</v>
      </c>
      <c r="C2025" s="29">
        <v>4102</v>
      </c>
      <c r="D2025" s="37" t="s">
        <v>1784</v>
      </c>
      <c r="E2025" s="29" t="s">
        <v>37</v>
      </c>
      <c r="F2025" s="29" t="s">
        <v>36</v>
      </c>
      <c r="G2025" s="29">
        <v>71</v>
      </c>
      <c r="H2025" s="71" t="s">
        <v>38</v>
      </c>
      <c r="I2025" s="37" t="s">
        <v>207</v>
      </c>
    </row>
    <row r="2026" spans="1:9" x14ac:dyDescent="0.25">
      <c r="A2026" s="29" t="s">
        <v>22</v>
      </c>
      <c r="B2026" s="29" t="s">
        <v>117</v>
      </c>
      <c r="C2026" s="29">
        <v>36799</v>
      </c>
      <c r="D2026" s="37" t="s">
        <v>1785</v>
      </c>
      <c r="E2026" s="29" t="s">
        <v>37</v>
      </c>
      <c r="F2026" s="29" t="s">
        <v>36</v>
      </c>
      <c r="G2026" s="29">
        <v>59.87</v>
      </c>
      <c r="H2026" s="71" t="s">
        <v>38</v>
      </c>
      <c r="I2026" s="37" t="s">
        <v>207</v>
      </c>
    </row>
    <row r="2027" spans="1:9" x14ac:dyDescent="0.25">
      <c r="A2027" s="29" t="s">
        <v>22</v>
      </c>
      <c r="B2027" s="29" t="s">
        <v>119</v>
      </c>
      <c r="C2027" s="29" t="s">
        <v>34</v>
      </c>
      <c r="D2027" s="37" t="s">
        <v>1786</v>
      </c>
      <c r="E2027" s="29" t="s">
        <v>37</v>
      </c>
      <c r="F2027" s="29" t="s">
        <v>36</v>
      </c>
      <c r="I2027" s="37" t="s">
        <v>37</v>
      </c>
    </row>
    <row r="2028" spans="1:9" x14ac:dyDescent="0.25">
      <c r="A2028" s="29" t="s">
        <v>22</v>
      </c>
      <c r="B2028" s="29" t="s">
        <v>119</v>
      </c>
      <c r="C2028" s="29" t="s">
        <v>34</v>
      </c>
      <c r="D2028" s="37" t="s">
        <v>1787</v>
      </c>
      <c r="E2028" s="29" t="s">
        <v>37</v>
      </c>
      <c r="F2028" s="29" t="s">
        <v>36</v>
      </c>
      <c r="I2028" s="37" t="s">
        <v>37</v>
      </c>
    </row>
    <row r="2029" spans="1:9" x14ac:dyDescent="0.25">
      <c r="A2029" s="29" t="s">
        <v>22</v>
      </c>
      <c r="B2029" s="29" t="s">
        <v>132</v>
      </c>
      <c r="C2029" s="29" t="s">
        <v>34</v>
      </c>
      <c r="D2029" s="37" t="s">
        <v>1097</v>
      </c>
      <c r="E2029" s="29" t="s">
        <v>37</v>
      </c>
      <c r="F2029" s="29" t="s">
        <v>44</v>
      </c>
      <c r="G2029" s="29">
        <v>19.5</v>
      </c>
      <c r="H2029" s="71" t="s">
        <v>740</v>
      </c>
      <c r="I2029" s="37" t="str">
        <f>"https://www.casadascercas.com.br/tela-alambrado-galvanizada-fio-14-210mm-malha-3-76cm-rolo-20m"</f>
        <v>https://www.casadascercas.com.br/tela-alambrado-galvanizada-fio-14-210mm-malha-3-76cm-rolo-20m</v>
      </c>
    </row>
    <row r="2030" spans="1:9" x14ac:dyDescent="0.25">
      <c r="A2030" s="29" t="s">
        <v>14</v>
      </c>
      <c r="B2030" s="29" t="s">
        <v>660</v>
      </c>
      <c r="C2030" s="29" t="s">
        <v>34</v>
      </c>
      <c r="D2030" s="37" t="s">
        <v>1098</v>
      </c>
      <c r="E2030" s="29" t="s">
        <v>104</v>
      </c>
      <c r="F2030" s="29" t="s">
        <v>36</v>
      </c>
      <c r="I2030" s="37" t="s">
        <v>37</v>
      </c>
    </row>
    <row r="2031" spans="1:9" x14ac:dyDescent="0.25">
      <c r="A2031" s="29" t="s">
        <v>14</v>
      </c>
      <c r="B2031" s="29" t="s">
        <v>660</v>
      </c>
      <c r="C2031" s="29" t="s">
        <v>34</v>
      </c>
      <c r="D2031" s="37" t="s">
        <v>3442</v>
      </c>
      <c r="E2031" s="29" t="s">
        <v>106</v>
      </c>
      <c r="F2031" s="29" t="s">
        <v>36</v>
      </c>
      <c r="I2031" s="37" t="s">
        <v>37</v>
      </c>
    </row>
    <row r="2032" spans="1:9" x14ac:dyDescent="0.25">
      <c r="A2032" s="29" t="s">
        <v>14</v>
      </c>
      <c r="B2032" s="29" t="s">
        <v>660</v>
      </c>
      <c r="C2032" s="29" t="s">
        <v>34</v>
      </c>
      <c r="D2032" s="37" t="s">
        <v>3443</v>
      </c>
      <c r="E2032" s="29" t="s">
        <v>106</v>
      </c>
      <c r="F2032" s="29" t="s">
        <v>36</v>
      </c>
      <c r="I2032" s="37" t="s">
        <v>37</v>
      </c>
    </row>
    <row r="2033" spans="1:9" x14ac:dyDescent="0.25">
      <c r="A2033" s="29" t="s">
        <v>14</v>
      </c>
      <c r="B2033" s="29" t="s">
        <v>660</v>
      </c>
      <c r="C2033" s="29" t="s">
        <v>34</v>
      </c>
      <c r="D2033" s="37" t="s">
        <v>1611</v>
      </c>
      <c r="E2033" s="29" t="s">
        <v>111</v>
      </c>
      <c r="F2033" s="29" t="s">
        <v>36</v>
      </c>
      <c r="G2033" s="29">
        <v>691.96</v>
      </c>
      <c r="H2033" s="71" t="s">
        <v>800</v>
      </c>
      <c r="I2033" s="37" t="str">
        <f>"https://www.rackfort.com.br/mini-rack-de-parede-12u-x-670mm"</f>
        <v>https://www.rackfort.com.br/mini-rack-de-parede-12u-x-670mm</v>
      </c>
    </row>
    <row r="2034" spans="1:9" x14ac:dyDescent="0.25">
      <c r="A2034" s="29" t="s">
        <v>14</v>
      </c>
      <c r="B2034" s="29" t="s">
        <v>660</v>
      </c>
      <c r="C2034" s="29" t="s">
        <v>34</v>
      </c>
      <c r="D2034" s="37" t="s">
        <v>3444</v>
      </c>
      <c r="E2034" s="29" t="s">
        <v>106</v>
      </c>
      <c r="F2034" s="29" t="s">
        <v>36</v>
      </c>
      <c r="I2034" s="37" t="s">
        <v>37</v>
      </c>
    </row>
    <row r="2035" spans="1:9" x14ac:dyDescent="0.25">
      <c r="A2035" s="29" t="s">
        <v>14</v>
      </c>
      <c r="B2035" s="29" t="s">
        <v>660</v>
      </c>
      <c r="C2035" s="29" t="s">
        <v>34</v>
      </c>
      <c r="D2035" s="37" t="s">
        <v>3445</v>
      </c>
      <c r="E2035" s="29" t="s">
        <v>106</v>
      </c>
      <c r="F2035" s="29" t="s">
        <v>36</v>
      </c>
      <c r="I2035" s="37" t="s">
        <v>37</v>
      </c>
    </row>
    <row r="2036" spans="1:9" x14ac:dyDescent="0.25">
      <c r="A2036" s="29" t="s">
        <v>14</v>
      </c>
      <c r="B2036" s="29" t="s">
        <v>655</v>
      </c>
      <c r="C2036" s="29" t="s">
        <v>34</v>
      </c>
      <c r="D2036" s="37" t="s">
        <v>3086</v>
      </c>
      <c r="E2036" s="29" t="s">
        <v>35</v>
      </c>
      <c r="F2036" s="29" t="s">
        <v>36</v>
      </c>
      <c r="I2036" s="37" t="s">
        <v>37</v>
      </c>
    </row>
    <row r="2037" spans="1:9" x14ac:dyDescent="0.25">
      <c r="A2037" s="29" t="s">
        <v>14</v>
      </c>
      <c r="B2037" s="29" t="s">
        <v>655</v>
      </c>
      <c r="C2037" s="29" t="s">
        <v>34</v>
      </c>
      <c r="D2037" s="37" t="s">
        <v>3087</v>
      </c>
      <c r="E2037" s="29" t="s">
        <v>35</v>
      </c>
      <c r="F2037" s="29" t="s">
        <v>36</v>
      </c>
      <c r="I2037" s="37" t="s">
        <v>37</v>
      </c>
    </row>
    <row r="2038" spans="1:9" x14ac:dyDescent="0.25">
      <c r="A2038" s="29" t="s">
        <v>14</v>
      </c>
      <c r="B2038" s="29" t="s">
        <v>655</v>
      </c>
      <c r="C2038" s="29" t="s">
        <v>34</v>
      </c>
      <c r="D2038" s="37" t="s">
        <v>1368</v>
      </c>
      <c r="E2038" s="29" t="s">
        <v>35</v>
      </c>
      <c r="F2038" s="29" t="s">
        <v>36</v>
      </c>
      <c r="G2038" s="29">
        <v>131.84</v>
      </c>
      <c r="H2038" s="71" t="s">
        <v>515</v>
      </c>
      <c r="I2038" s="37" t="str">
        <f>"https://www.prontax.com.br/product/camera-analog-bullet-thc-b120-p28mm"</f>
        <v>https://www.prontax.com.br/product/camera-analog-bullet-thc-b120-p28mm</v>
      </c>
    </row>
    <row r="2039" spans="1:9" x14ac:dyDescent="0.25">
      <c r="A2039" s="29" t="s">
        <v>14</v>
      </c>
      <c r="B2039" s="29" t="s">
        <v>655</v>
      </c>
      <c r="C2039" s="29" t="s">
        <v>34</v>
      </c>
      <c r="D2039" s="37" t="s">
        <v>2188</v>
      </c>
      <c r="E2039" s="29" t="s">
        <v>35</v>
      </c>
      <c r="F2039" s="29" t="s">
        <v>36</v>
      </c>
      <c r="G2039" s="29">
        <v>198.62</v>
      </c>
      <c r="H2039" s="71" t="s">
        <v>515</v>
      </c>
      <c r="I2039" s="37" t="str">
        <f>"https://www.prontax.com.br/product/camera-analogica-ds-2ce10df0t-pf-hikvision"</f>
        <v>https://www.prontax.com.br/product/camera-analogica-ds-2ce10df0t-pf-hikvision</v>
      </c>
    </row>
    <row r="2040" spans="1:9" x14ac:dyDescent="0.25">
      <c r="A2040" s="29" t="s">
        <v>14</v>
      </c>
      <c r="B2040" s="29" t="s">
        <v>655</v>
      </c>
      <c r="C2040" s="29" t="s">
        <v>34</v>
      </c>
      <c r="D2040" s="37" t="s">
        <v>3088</v>
      </c>
      <c r="E2040" s="29" t="s">
        <v>35</v>
      </c>
      <c r="F2040" s="29" t="s">
        <v>36</v>
      </c>
      <c r="G2040" s="29">
        <v>103.78</v>
      </c>
      <c r="H2040" s="71" t="s">
        <v>515</v>
      </c>
      <c r="I2040" s="37" t="str">
        <f>"https://www.prontax.com.br/product/camera-hik-bul-720p-l28-mm-ir-20m-ds-2ce16cot-irpf"</f>
        <v>https://www.prontax.com.br/product/camera-hik-bul-720p-l28-mm-ir-20m-ds-2ce16cot-irpf</v>
      </c>
    </row>
    <row r="2041" spans="1:9" x14ac:dyDescent="0.25">
      <c r="A2041" s="29" t="s">
        <v>14</v>
      </c>
      <c r="B2041" s="29" t="s">
        <v>655</v>
      </c>
      <c r="C2041" s="29" t="s">
        <v>34</v>
      </c>
      <c r="D2041" s="37" t="s">
        <v>3089</v>
      </c>
      <c r="E2041" s="29" t="s">
        <v>35</v>
      </c>
      <c r="F2041" s="29" t="s">
        <v>36</v>
      </c>
      <c r="G2041" s="29">
        <v>244.59</v>
      </c>
      <c r="H2041" s="71" t="s">
        <v>515</v>
      </c>
      <c r="I2041" s="37" t="str">
        <f>"https://www.prontax.com.br/product/camera-hik-ds-2ce10df0t-lpfs28mm"</f>
        <v>https://www.prontax.com.br/product/camera-hik-ds-2ce10df0t-lpfs28mm</v>
      </c>
    </row>
    <row r="2042" spans="1:9" x14ac:dyDescent="0.25">
      <c r="A2042" s="29" t="s">
        <v>14</v>
      </c>
      <c r="B2042" s="29" t="s">
        <v>655</v>
      </c>
      <c r="C2042" s="29" t="s">
        <v>34</v>
      </c>
      <c r="D2042" s="37" t="s">
        <v>3090</v>
      </c>
      <c r="E2042" s="29" t="s">
        <v>35</v>
      </c>
      <c r="F2042" s="29" t="s">
        <v>36</v>
      </c>
      <c r="G2042" s="29">
        <v>452.73</v>
      </c>
      <c r="H2042" s="71" t="s">
        <v>515</v>
      </c>
      <c r="I2042" s="37" t="str">
        <f>"https://www.prontax.com.br/product/camera-hikvision-bullet-colorvu-ip-ds-2cd1027gh-liu"</f>
        <v>https://www.prontax.com.br/product/camera-hikvision-bullet-colorvu-ip-ds-2cd1027gh-liu</v>
      </c>
    </row>
    <row r="2043" spans="1:9" x14ac:dyDescent="0.25">
      <c r="A2043" s="29" t="s">
        <v>14</v>
      </c>
      <c r="B2043" s="29" t="s">
        <v>655</v>
      </c>
      <c r="C2043" s="29" t="s">
        <v>34</v>
      </c>
      <c r="D2043" s="37" t="s">
        <v>3091</v>
      </c>
      <c r="E2043" s="29" t="s">
        <v>35</v>
      </c>
      <c r="F2043" s="29" t="s">
        <v>36</v>
      </c>
      <c r="G2043" s="29">
        <v>423.86</v>
      </c>
      <c r="H2043" s="71" t="s">
        <v>515</v>
      </c>
      <c r="I2043" s="37" t="str">
        <f>"https://www.prontax.com.br/product/cam-hik-bul-ip-2mp-l28-mm-ir-30m-ds-2cd1023goe-i"</f>
        <v>https://www.prontax.com.br/product/cam-hik-bul-ip-2mp-l28-mm-ir-30m-ds-2cd1023goe-i</v>
      </c>
    </row>
    <row r="2044" spans="1:9" x14ac:dyDescent="0.25">
      <c r="A2044" s="29" t="s">
        <v>14</v>
      </c>
      <c r="B2044" s="29" t="s">
        <v>655</v>
      </c>
      <c r="C2044" s="29" t="s">
        <v>34</v>
      </c>
      <c r="D2044" s="37" t="s">
        <v>3092</v>
      </c>
      <c r="E2044" s="29" t="s">
        <v>35</v>
      </c>
      <c r="F2044" s="29" t="s">
        <v>36</v>
      </c>
      <c r="G2044" s="29">
        <v>138.13999999999999</v>
      </c>
      <c r="H2044" s="71" t="s">
        <v>515</v>
      </c>
      <c r="I2044" s="37" t="str">
        <f>"https://www.prontax.com.br/product/camera-bu-1080p-l28-mm-ir-25m-exir-ds-2ce16dot-itpf"</f>
        <v>https://www.prontax.com.br/product/camera-bu-1080p-l28-mm-ir-25m-exir-ds-2ce16dot-itpf</v>
      </c>
    </row>
    <row r="2045" spans="1:9" x14ac:dyDescent="0.25">
      <c r="A2045" s="29" t="s">
        <v>14</v>
      </c>
      <c r="B2045" s="29" t="s">
        <v>655</v>
      </c>
      <c r="C2045" s="29" t="s">
        <v>34</v>
      </c>
      <c r="D2045" s="37" t="s">
        <v>3093</v>
      </c>
      <c r="E2045" s="29" t="s">
        <v>35</v>
      </c>
      <c r="F2045" s="29" t="s">
        <v>36</v>
      </c>
      <c r="G2045" s="29">
        <v>1263.68</v>
      </c>
      <c r="H2045" s="71" t="s">
        <v>515</v>
      </c>
      <c r="I2045" s="37" t="str">
        <f>"https://www.prontax.com.br/product/camera-ip-bul-ds-2cd2t46g2-isusl4mm"</f>
        <v>https://www.prontax.com.br/product/camera-ip-bul-ds-2cd2t46g2-isusl4mm</v>
      </c>
    </row>
    <row r="2046" spans="1:9" x14ac:dyDescent="0.25">
      <c r="A2046" s="29" t="s">
        <v>14</v>
      </c>
      <c r="B2046" s="29" t="s">
        <v>655</v>
      </c>
      <c r="C2046" s="29" t="s">
        <v>34</v>
      </c>
      <c r="D2046" s="37" t="s">
        <v>3094</v>
      </c>
      <c r="E2046" s="29" t="s">
        <v>35</v>
      </c>
      <c r="F2046" s="29" t="s">
        <v>36</v>
      </c>
      <c r="G2046" s="29">
        <v>404.26</v>
      </c>
      <c r="H2046" s="71" t="s">
        <v>515</v>
      </c>
      <c r="I2046" s="37" t="str">
        <f>"https://www.prontax.com.br/product/camera-hik-smart-ip-2mp-bullet-smart-h-light-ds-2cd1023g2-28-mm"</f>
        <v>https://www.prontax.com.br/product/camera-hik-smart-ip-2mp-bullet-smart-h-light-ds-2cd1023g2-28-mm</v>
      </c>
    </row>
    <row r="2047" spans="1:9" x14ac:dyDescent="0.25">
      <c r="A2047" s="29" t="s">
        <v>14</v>
      </c>
      <c r="B2047" s="29" t="s">
        <v>655</v>
      </c>
      <c r="C2047" s="29" t="s">
        <v>34</v>
      </c>
      <c r="D2047" s="37" t="s">
        <v>2189</v>
      </c>
      <c r="E2047" s="29" t="s">
        <v>35</v>
      </c>
      <c r="F2047" s="29" t="s">
        <v>36</v>
      </c>
      <c r="I2047" s="37" t="s">
        <v>37</v>
      </c>
    </row>
    <row r="2048" spans="1:9" x14ac:dyDescent="0.25">
      <c r="A2048" s="29" t="s">
        <v>14</v>
      </c>
      <c r="B2048" s="29" t="s">
        <v>655</v>
      </c>
      <c r="C2048" s="29" t="s">
        <v>34</v>
      </c>
      <c r="D2048" s="37" t="s">
        <v>3095</v>
      </c>
      <c r="E2048" s="29" t="s">
        <v>35</v>
      </c>
      <c r="F2048" s="29" t="s">
        <v>36</v>
      </c>
      <c r="G2048" s="29">
        <v>482.24</v>
      </c>
      <c r="H2048" s="71" t="s">
        <v>515</v>
      </c>
      <c r="I2048" s="37" t="str">
        <f>"https://www.prontax.com.br/product/camera-wi-fi-hikvision-ds-2cv1023g2-lidwf28-mm"</f>
        <v>https://www.prontax.com.br/product/camera-wi-fi-hikvision-ds-2cv1023g2-lidwf28-mm</v>
      </c>
    </row>
    <row r="2049" spans="1:9" x14ac:dyDescent="0.25">
      <c r="A2049" s="29" t="s">
        <v>14</v>
      </c>
      <c r="B2049" s="29" t="s">
        <v>655</v>
      </c>
      <c r="C2049" s="29" t="s">
        <v>34</v>
      </c>
      <c r="D2049" s="37" t="s">
        <v>3096</v>
      </c>
      <c r="E2049" s="29" t="s">
        <v>35</v>
      </c>
      <c r="F2049" s="29" t="s">
        <v>36</v>
      </c>
      <c r="G2049" s="29">
        <v>208.01</v>
      </c>
      <c r="H2049" s="71" t="s">
        <v>515</v>
      </c>
      <c r="I2049" s="37" t="str">
        <f>"https://www.prontax.com.br/product/camera-hikvision-dome-1080p-colorvu-ds-2ce70dfot-pf"</f>
        <v>https://www.prontax.com.br/product/camera-hikvision-dome-1080p-colorvu-ds-2ce70dfot-pf</v>
      </c>
    </row>
    <row r="2050" spans="1:9" x14ac:dyDescent="0.25">
      <c r="A2050" s="29" t="s">
        <v>14</v>
      </c>
      <c r="B2050" s="29" t="s">
        <v>655</v>
      </c>
      <c r="C2050" s="29" t="s">
        <v>34</v>
      </c>
      <c r="D2050" s="37" t="s">
        <v>3097</v>
      </c>
      <c r="E2050" s="29" t="s">
        <v>35</v>
      </c>
      <c r="F2050" s="29" t="s">
        <v>36</v>
      </c>
      <c r="G2050" s="29">
        <v>218.15</v>
      </c>
      <c r="H2050" s="71" t="s">
        <v>515</v>
      </c>
      <c r="I2050" s="37" t="str">
        <f>"https://www.prontax.com.br/product/camera-hik-ext-dome-1536p-l28mm-ir20m-ds-2ce56f1t-hi15m10-at"</f>
        <v>https://www.prontax.com.br/product/camera-hik-ext-dome-1536p-l28mm-ir20m-ds-2ce56f1t-hi15m10-at</v>
      </c>
    </row>
    <row r="2051" spans="1:9" x14ac:dyDescent="0.25">
      <c r="A2051" s="29" t="s">
        <v>14</v>
      </c>
      <c r="B2051" s="29" t="s">
        <v>655</v>
      </c>
      <c r="C2051" s="29" t="s">
        <v>34</v>
      </c>
      <c r="D2051" s="37" t="s">
        <v>1369</v>
      </c>
      <c r="E2051" s="29" t="s">
        <v>35</v>
      </c>
      <c r="F2051" s="29" t="s">
        <v>36</v>
      </c>
      <c r="G2051" s="29">
        <v>442.69</v>
      </c>
      <c r="H2051" s="71" t="s">
        <v>515</v>
      </c>
      <c r="I2051" s="37" t="str">
        <f>"https://www.prontax.com.br/product/camera-hikvision-dome-colorvu-ip-ds-2cd1027gh-liu28mm"</f>
        <v>https://www.prontax.com.br/product/camera-hikvision-dome-colorvu-ip-ds-2cd1027gh-liu28mm</v>
      </c>
    </row>
    <row r="2052" spans="1:9" x14ac:dyDescent="0.25">
      <c r="A2052" s="29" t="s">
        <v>14</v>
      </c>
      <c r="B2052" s="29" t="s">
        <v>655</v>
      </c>
      <c r="C2052" s="29" t="s">
        <v>34</v>
      </c>
      <c r="D2052" s="37" t="s">
        <v>3098</v>
      </c>
      <c r="E2052" s="29" t="s">
        <v>35</v>
      </c>
      <c r="F2052" s="29" t="s">
        <v>36</v>
      </c>
      <c r="G2052" s="29">
        <v>161.46</v>
      </c>
      <c r="H2052" s="71" t="s">
        <v>515</v>
      </c>
      <c r="I2052" s="37" t="str">
        <f>"https://www.prontax.com.br/product/camera-hik-ds-2ce76d0t-itpfs-28-mm-com-audio"</f>
        <v>https://www.prontax.com.br/product/camera-hik-ds-2ce76d0t-itpfs-28-mm-com-audio</v>
      </c>
    </row>
    <row r="2053" spans="1:9" x14ac:dyDescent="0.25">
      <c r="A2053" s="29" t="s">
        <v>14</v>
      </c>
      <c r="B2053" s="29" t="s">
        <v>655</v>
      </c>
      <c r="C2053" s="29" t="s">
        <v>34</v>
      </c>
      <c r="D2053" s="37" t="s">
        <v>3099</v>
      </c>
      <c r="E2053" s="29" t="s">
        <v>35</v>
      </c>
      <c r="F2053" s="29" t="s">
        <v>36</v>
      </c>
      <c r="G2053" s="29">
        <v>436.86</v>
      </c>
      <c r="H2053" s="71" t="s">
        <v>515</v>
      </c>
      <c r="I2053" s="37" t="str">
        <f>"https://www.prontax.com.br/product/camera-hik-smart-ip-2mp-dome-smart-h-light-ds-2cd1323g2-28-mm"</f>
        <v>https://www.prontax.com.br/product/camera-hik-smart-ip-2mp-dome-smart-h-light-ds-2cd1323g2-28-mm</v>
      </c>
    </row>
    <row r="2054" spans="1:9" x14ac:dyDescent="0.25">
      <c r="A2054" s="29" t="s">
        <v>14</v>
      </c>
      <c r="B2054" s="29" t="s">
        <v>655</v>
      </c>
      <c r="C2054" s="29" t="s">
        <v>34</v>
      </c>
      <c r="D2054" s="37" t="s">
        <v>3100</v>
      </c>
      <c r="E2054" s="29" t="s">
        <v>35</v>
      </c>
      <c r="F2054" s="29" t="s">
        <v>36</v>
      </c>
      <c r="G2054" s="29">
        <v>4095</v>
      </c>
      <c r="H2054" s="71" t="s">
        <v>515</v>
      </c>
      <c r="I2054" s="37" t="str">
        <f>"https://www.prontax.com.br/product/camera-speed-dome-ptz-ds-2se4c425mwg-e"</f>
        <v>https://www.prontax.com.br/product/camera-speed-dome-ptz-ds-2se4c425mwg-e</v>
      </c>
    </row>
    <row r="2055" spans="1:9" x14ac:dyDescent="0.25">
      <c r="A2055" s="29" t="s">
        <v>14</v>
      </c>
      <c r="B2055" s="29" t="s">
        <v>656</v>
      </c>
      <c r="C2055" s="29">
        <v>39600</v>
      </c>
      <c r="D2055" s="37" t="s">
        <v>2190</v>
      </c>
      <c r="E2055" s="29" t="s">
        <v>37</v>
      </c>
      <c r="F2055" s="29" t="s">
        <v>36</v>
      </c>
      <c r="G2055" s="29">
        <v>18.61</v>
      </c>
      <c r="H2055" s="71" t="s">
        <v>38</v>
      </c>
      <c r="I2055" s="37" t="s">
        <v>207</v>
      </c>
    </row>
    <row r="2056" spans="1:9" x14ac:dyDescent="0.25">
      <c r="A2056" s="29" t="s">
        <v>14</v>
      </c>
      <c r="B2056" s="29" t="s">
        <v>656</v>
      </c>
      <c r="C2056" s="29">
        <v>39601</v>
      </c>
      <c r="D2056" s="37" t="s">
        <v>1099</v>
      </c>
      <c r="E2056" s="29" t="s">
        <v>37</v>
      </c>
      <c r="F2056" s="29" t="s">
        <v>36</v>
      </c>
      <c r="G2056" s="29">
        <v>39.479999999999997</v>
      </c>
      <c r="H2056" s="71" t="s">
        <v>38</v>
      </c>
      <c r="I2056" s="37" t="s">
        <v>207</v>
      </c>
    </row>
    <row r="2057" spans="1:9" x14ac:dyDescent="0.25">
      <c r="A2057" s="29" t="s">
        <v>14</v>
      </c>
      <c r="B2057" s="29" t="s">
        <v>658</v>
      </c>
      <c r="C2057" s="29" t="s">
        <v>34</v>
      </c>
      <c r="D2057" s="37" t="s">
        <v>3103</v>
      </c>
      <c r="E2057" s="29" t="s">
        <v>35</v>
      </c>
      <c r="F2057" s="29" t="s">
        <v>36</v>
      </c>
      <c r="G2057" s="29">
        <v>2907.86</v>
      </c>
      <c r="H2057" s="71" t="s">
        <v>515</v>
      </c>
      <c r="I2057" s="37" t="str">
        <f>"https://www.prontax.com.br/product/dvr-hikvision-32-canais-ids-723hqhi-m2s"</f>
        <v>https://www.prontax.com.br/product/dvr-hikvision-32-canais-ids-723hqhi-m2s</v>
      </c>
    </row>
    <row r="2058" spans="1:9" x14ac:dyDescent="0.25">
      <c r="A2058" s="29" t="s">
        <v>14</v>
      </c>
      <c r="B2058" s="29" t="s">
        <v>658</v>
      </c>
      <c r="C2058" s="29" t="s">
        <v>34</v>
      </c>
      <c r="D2058" s="37" t="s">
        <v>3104</v>
      </c>
      <c r="E2058" s="29" t="s">
        <v>35</v>
      </c>
      <c r="F2058" s="29" t="s">
        <v>36</v>
      </c>
      <c r="G2058" s="29">
        <v>2402.11</v>
      </c>
      <c r="H2058" s="71" t="s">
        <v>515</v>
      </c>
      <c r="I2058" s="37" t="str">
        <f>"https://www.prontax.com.br/product/dvr-hikvision-32-canais-ds-7232hghi-m2"</f>
        <v>https://www.prontax.com.br/product/dvr-hikvision-32-canais-ds-7232hghi-m2</v>
      </c>
    </row>
    <row r="2059" spans="1:9" x14ac:dyDescent="0.25">
      <c r="A2059" s="29" t="s">
        <v>14</v>
      </c>
      <c r="B2059" s="29" t="s">
        <v>658</v>
      </c>
      <c r="C2059" s="29" t="s">
        <v>34</v>
      </c>
      <c r="D2059" s="37" t="s">
        <v>3316</v>
      </c>
      <c r="E2059" s="29" t="s">
        <v>35</v>
      </c>
      <c r="F2059" s="29" t="s">
        <v>36</v>
      </c>
      <c r="I2059" s="37" t="s">
        <v>37</v>
      </c>
    </row>
    <row r="2060" spans="1:9" x14ac:dyDescent="0.25">
      <c r="A2060" s="29" t="s">
        <v>14</v>
      </c>
      <c r="B2060" s="29" t="s">
        <v>658</v>
      </c>
      <c r="C2060" s="29" t="s">
        <v>34</v>
      </c>
      <c r="D2060" s="37" t="s">
        <v>1100</v>
      </c>
      <c r="E2060" s="29" t="s">
        <v>35</v>
      </c>
      <c r="F2060" s="29" t="s">
        <v>36</v>
      </c>
      <c r="G2060" s="29">
        <v>92.86</v>
      </c>
      <c r="H2060" s="71" t="s">
        <v>203</v>
      </c>
      <c r="I2060" s="37" t="str">
        <f>"https://www.tekdistribuidor.com.br/suporte-para-camera-montagem-vertical-hikvision-ds-1275zj-sus"</f>
        <v>https://www.tekdistribuidor.com.br/suporte-para-camera-montagem-vertical-hikvision-ds-1275zj-sus</v>
      </c>
    </row>
    <row r="2061" spans="1:9" x14ac:dyDescent="0.25">
      <c r="A2061" s="29" t="s">
        <v>14</v>
      </c>
      <c r="B2061" s="29" t="s">
        <v>659</v>
      </c>
      <c r="C2061" s="29" t="s">
        <v>34</v>
      </c>
      <c r="D2061" s="37" t="s">
        <v>1101</v>
      </c>
      <c r="E2061" s="29" t="s">
        <v>45</v>
      </c>
      <c r="F2061" s="29" t="s">
        <v>36</v>
      </c>
      <c r="I2061" s="37" t="s">
        <v>37</v>
      </c>
    </row>
    <row r="2062" spans="1:9" x14ac:dyDescent="0.25">
      <c r="A2062" s="29" t="s">
        <v>14</v>
      </c>
      <c r="B2062" s="29" t="s">
        <v>659</v>
      </c>
      <c r="C2062" s="29" t="s">
        <v>34</v>
      </c>
      <c r="D2062" s="37" t="s">
        <v>1612</v>
      </c>
      <c r="E2062" s="29" t="s">
        <v>35</v>
      </c>
      <c r="F2062" s="29" t="s">
        <v>36</v>
      </c>
      <c r="G2062" s="29">
        <v>806.74</v>
      </c>
      <c r="H2062" s="71" t="s">
        <v>515</v>
      </c>
      <c r="I2062" s="37" t="str">
        <f>"https://www.prontax.com.br/product/central-de-controle-wifi-ds-pwa64-l-we868mhz-lan"</f>
        <v>https://www.prontax.com.br/product/central-de-controle-wifi-ds-pwa64-l-we868mhz-lan</v>
      </c>
    </row>
    <row r="2063" spans="1:9" x14ac:dyDescent="0.25">
      <c r="A2063" s="29" t="s">
        <v>14</v>
      </c>
      <c r="B2063" s="29" t="s">
        <v>659</v>
      </c>
      <c r="C2063" s="29" t="s">
        <v>34</v>
      </c>
      <c r="D2063" s="37" t="s">
        <v>3102</v>
      </c>
      <c r="E2063" s="29" t="s">
        <v>35</v>
      </c>
      <c r="F2063" s="29" t="s">
        <v>36</v>
      </c>
      <c r="G2063" s="29">
        <v>234.74</v>
      </c>
      <c r="H2063" s="71" t="s">
        <v>515</v>
      </c>
      <c r="I2063" s="37" t="str">
        <f>"https://www.prontax.com.br/product/detector-wifi-pir-infra-red-ds-pdp15p-eg2-we"</f>
        <v>https://www.prontax.com.br/product/detector-wifi-pir-infra-red-ds-pdp15p-eg2-we</v>
      </c>
    </row>
    <row r="2064" spans="1:9" x14ac:dyDescent="0.25">
      <c r="A2064" s="29" t="s">
        <v>14</v>
      </c>
      <c r="B2064" s="29" t="s">
        <v>657</v>
      </c>
      <c r="C2064" s="29" t="s">
        <v>34</v>
      </c>
      <c r="D2064" s="37" t="s">
        <v>1102</v>
      </c>
      <c r="E2064" s="29" t="s">
        <v>35</v>
      </c>
      <c r="F2064" s="29" t="s">
        <v>36</v>
      </c>
      <c r="G2064" s="29">
        <v>322.66000000000003</v>
      </c>
      <c r="H2064" s="71" t="s">
        <v>738</v>
      </c>
      <c r="I2064" s="37" t="str">
        <f>"https://www.prontax.com.br/product/sirene-interna-wifi-ds-ps1-i-wered868mhz"</f>
        <v>https://www.prontax.com.br/product/sirene-interna-wifi-ds-ps1-i-wered868mhz</v>
      </c>
    </row>
    <row r="2065" spans="1:9" x14ac:dyDescent="0.25">
      <c r="A2065" s="29" t="s">
        <v>21</v>
      </c>
      <c r="B2065" s="29" t="s">
        <v>40</v>
      </c>
      <c r="C2065" s="29">
        <v>43054</v>
      </c>
      <c r="D2065" s="37" t="s">
        <v>1823</v>
      </c>
      <c r="E2065" s="29" t="s">
        <v>37</v>
      </c>
      <c r="F2065" s="29" t="s">
        <v>41</v>
      </c>
      <c r="G2065" s="29">
        <v>8.89</v>
      </c>
      <c r="H2065" s="71" t="s">
        <v>38</v>
      </c>
      <c r="I2065" s="37" t="s">
        <v>207</v>
      </c>
    </row>
    <row r="2066" spans="1:9" x14ac:dyDescent="0.25">
      <c r="A2066" s="29" t="s">
        <v>21</v>
      </c>
      <c r="B2066" s="29" t="s">
        <v>40</v>
      </c>
      <c r="C2066" s="29">
        <v>42402</v>
      </c>
      <c r="D2066" s="37" t="s">
        <v>3437</v>
      </c>
      <c r="E2066" s="29" t="s">
        <v>37</v>
      </c>
      <c r="F2066" s="29" t="s">
        <v>41</v>
      </c>
      <c r="G2066" s="29">
        <v>8.5</v>
      </c>
      <c r="H2066" s="71" t="s">
        <v>38</v>
      </c>
      <c r="I2066" s="37" t="s">
        <v>207</v>
      </c>
    </row>
    <row r="2067" spans="1:9" x14ac:dyDescent="0.25">
      <c r="A2067" s="29" t="s">
        <v>21</v>
      </c>
      <c r="B2067" s="29" t="s">
        <v>40</v>
      </c>
      <c r="C2067" s="29">
        <v>42403</v>
      </c>
      <c r="D2067" s="37" t="s">
        <v>3438</v>
      </c>
      <c r="E2067" s="29" t="s">
        <v>37</v>
      </c>
      <c r="F2067" s="29" t="s">
        <v>41</v>
      </c>
      <c r="G2067" s="29">
        <v>10.9</v>
      </c>
      <c r="H2067" s="71" t="s">
        <v>38</v>
      </c>
      <c r="I2067" s="37" t="s">
        <v>207</v>
      </c>
    </row>
    <row r="2068" spans="1:9" x14ac:dyDescent="0.25">
      <c r="A2068" s="29" t="s">
        <v>21</v>
      </c>
      <c r="B2068" s="29" t="s">
        <v>40</v>
      </c>
      <c r="C2068" s="29">
        <v>42404</v>
      </c>
      <c r="D2068" s="37" t="s">
        <v>3439</v>
      </c>
      <c r="E2068" s="29" t="s">
        <v>37</v>
      </c>
      <c r="F2068" s="29" t="s">
        <v>41</v>
      </c>
      <c r="G2068" s="29">
        <v>10.84</v>
      </c>
      <c r="H2068" s="71" t="s">
        <v>38</v>
      </c>
      <c r="I2068" s="37" t="s">
        <v>207</v>
      </c>
    </row>
    <row r="2069" spans="1:9" x14ac:dyDescent="0.25">
      <c r="A2069" s="29" t="s">
        <v>21</v>
      </c>
      <c r="B2069" s="29" t="s">
        <v>40</v>
      </c>
      <c r="C2069" s="29">
        <v>42405</v>
      </c>
      <c r="D2069" s="37" t="s">
        <v>3440</v>
      </c>
      <c r="E2069" s="29" t="s">
        <v>37</v>
      </c>
      <c r="F2069" s="29" t="s">
        <v>41</v>
      </c>
      <c r="G2069" s="29">
        <v>11.55</v>
      </c>
      <c r="H2069" s="71" t="s">
        <v>38</v>
      </c>
      <c r="I2069" s="37" t="s">
        <v>207</v>
      </c>
    </row>
    <row r="2070" spans="1:9" x14ac:dyDescent="0.25">
      <c r="A2070" s="29" t="s">
        <v>21</v>
      </c>
      <c r="B2070" s="29" t="s">
        <v>40</v>
      </c>
      <c r="C2070" s="29">
        <v>34341</v>
      </c>
      <c r="D2070" s="37" t="s">
        <v>1370</v>
      </c>
      <c r="E2070" s="29" t="s">
        <v>37</v>
      </c>
      <c r="F2070" s="29" t="s">
        <v>41</v>
      </c>
      <c r="G2070" s="29">
        <v>10.02</v>
      </c>
      <c r="H2070" s="71" t="s">
        <v>38</v>
      </c>
      <c r="I2070" s="37" t="s">
        <v>207</v>
      </c>
    </row>
    <row r="2071" spans="1:9" x14ac:dyDescent="0.25">
      <c r="A2071" s="29" t="s">
        <v>21</v>
      </c>
      <c r="B2071" s="29" t="s">
        <v>40</v>
      </c>
      <c r="C2071" s="29">
        <v>43053</v>
      </c>
      <c r="D2071" s="37" t="s">
        <v>1824</v>
      </c>
      <c r="E2071" s="29" t="s">
        <v>37</v>
      </c>
      <c r="F2071" s="29" t="s">
        <v>41</v>
      </c>
      <c r="G2071" s="29">
        <v>7.94</v>
      </c>
      <c r="H2071" s="71" t="s">
        <v>38</v>
      </c>
      <c r="I2071" s="37" t="s">
        <v>207</v>
      </c>
    </row>
    <row r="2072" spans="1:9" x14ac:dyDescent="0.25">
      <c r="A2072" s="29" t="s">
        <v>21</v>
      </c>
      <c r="B2072" s="29" t="s">
        <v>40</v>
      </c>
      <c r="C2072" s="29">
        <v>43058</v>
      </c>
      <c r="D2072" s="37" t="s">
        <v>2191</v>
      </c>
      <c r="E2072" s="29" t="s">
        <v>37</v>
      </c>
      <c r="F2072" s="29" t="s">
        <v>41</v>
      </c>
      <c r="G2072" s="29">
        <v>8.24</v>
      </c>
      <c r="H2072" s="71" t="s">
        <v>38</v>
      </c>
      <c r="I2072" s="37" t="s">
        <v>207</v>
      </c>
    </row>
    <row r="2073" spans="1:9" x14ac:dyDescent="0.25">
      <c r="A2073" s="29" t="s">
        <v>21</v>
      </c>
      <c r="B2073" s="29" t="s">
        <v>40</v>
      </c>
      <c r="C2073" s="29">
        <v>34</v>
      </c>
      <c r="D2073" s="37" t="s">
        <v>1371</v>
      </c>
      <c r="E2073" s="29" t="s">
        <v>37</v>
      </c>
      <c r="F2073" s="29" t="s">
        <v>41</v>
      </c>
      <c r="G2073" s="29">
        <v>8.2799999999999994</v>
      </c>
      <c r="H2073" s="71" t="s">
        <v>38</v>
      </c>
      <c r="I2073" s="37" t="s">
        <v>207</v>
      </c>
    </row>
    <row r="2074" spans="1:9" x14ac:dyDescent="0.25">
      <c r="A2074" s="29" t="s">
        <v>21</v>
      </c>
      <c r="B2074" s="29" t="s">
        <v>40</v>
      </c>
      <c r="C2074" s="29">
        <v>43055</v>
      </c>
      <c r="D2074" s="37" t="s">
        <v>1825</v>
      </c>
      <c r="E2074" s="29" t="s">
        <v>37</v>
      </c>
      <c r="F2074" s="29" t="s">
        <v>41</v>
      </c>
      <c r="G2074" s="29">
        <v>7.17</v>
      </c>
      <c r="H2074" s="71" t="s">
        <v>38</v>
      </c>
      <c r="I2074" s="37" t="s">
        <v>207</v>
      </c>
    </row>
    <row r="2075" spans="1:9" x14ac:dyDescent="0.25">
      <c r="A2075" s="29" t="s">
        <v>21</v>
      </c>
      <c r="B2075" s="29" t="s">
        <v>40</v>
      </c>
      <c r="C2075" s="29">
        <v>43056</v>
      </c>
      <c r="D2075" s="37" t="s">
        <v>1826</v>
      </c>
      <c r="E2075" s="29" t="s">
        <v>37</v>
      </c>
      <c r="F2075" s="29" t="s">
        <v>41</v>
      </c>
      <c r="G2075" s="29">
        <v>8.27</v>
      </c>
      <c r="H2075" s="71" t="s">
        <v>38</v>
      </c>
      <c r="I2075" s="37" t="s">
        <v>207</v>
      </c>
    </row>
    <row r="2076" spans="1:9" x14ac:dyDescent="0.25">
      <c r="A2076" s="29" t="s">
        <v>21</v>
      </c>
      <c r="B2076" s="29" t="s">
        <v>40</v>
      </c>
      <c r="C2076" s="29">
        <v>43057</v>
      </c>
      <c r="D2076" s="37" t="s">
        <v>1372</v>
      </c>
      <c r="E2076" s="29" t="s">
        <v>37</v>
      </c>
      <c r="F2076" s="29" t="s">
        <v>41</v>
      </c>
      <c r="G2076" s="29">
        <v>9.08</v>
      </c>
      <c r="H2076" s="71" t="s">
        <v>38</v>
      </c>
      <c r="I2076" s="37" t="s">
        <v>207</v>
      </c>
    </row>
    <row r="2077" spans="1:9" x14ac:dyDescent="0.25">
      <c r="A2077" s="29" t="s">
        <v>21</v>
      </c>
      <c r="B2077" s="29" t="s">
        <v>40</v>
      </c>
      <c r="C2077" s="29">
        <v>34449</v>
      </c>
      <c r="D2077" s="37" t="s">
        <v>2192</v>
      </c>
      <c r="E2077" s="29" t="s">
        <v>37</v>
      </c>
      <c r="F2077" s="29" t="s">
        <v>41</v>
      </c>
      <c r="G2077" s="29">
        <v>9.7100000000000009</v>
      </c>
      <c r="H2077" s="71" t="s">
        <v>38</v>
      </c>
      <c r="I2077" s="37" t="s">
        <v>207</v>
      </c>
    </row>
    <row r="2078" spans="1:9" x14ac:dyDescent="0.25">
      <c r="A2078" s="29" t="s">
        <v>21</v>
      </c>
      <c r="B2078" s="29" t="s">
        <v>40</v>
      </c>
      <c r="C2078" s="29">
        <v>32</v>
      </c>
      <c r="D2078" s="37" t="s">
        <v>1373</v>
      </c>
      <c r="E2078" s="29" t="s">
        <v>37</v>
      </c>
      <c r="F2078" s="29" t="s">
        <v>41</v>
      </c>
      <c r="G2078" s="29">
        <v>8.73</v>
      </c>
      <c r="H2078" s="71" t="s">
        <v>38</v>
      </c>
      <c r="I2078" s="37" t="s">
        <v>207</v>
      </c>
    </row>
    <row r="2079" spans="1:9" x14ac:dyDescent="0.25">
      <c r="A2079" s="29" t="s">
        <v>21</v>
      </c>
      <c r="B2079" s="29" t="s">
        <v>40</v>
      </c>
      <c r="C2079" s="29">
        <v>33</v>
      </c>
      <c r="D2079" s="37" t="s">
        <v>1374</v>
      </c>
      <c r="E2079" s="29" t="s">
        <v>37</v>
      </c>
      <c r="F2079" s="29" t="s">
        <v>41</v>
      </c>
      <c r="G2079" s="29">
        <v>8.7799999999999994</v>
      </c>
      <c r="H2079" s="71" t="s">
        <v>38</v>
      </c>
      <c r="I2079" s="37" t="s">
        <v>207</v>
      </c>
    </row>
    <row r="2080" spans="1:9" x14ac:dyDescent="0.25">
      <c r="A2080" s="29" t="s">
        <v>21</v>
      </c>
      <c r="B2080" s="29" t="s">
        <v>40</v>
      </c>
      <c r="C2080" s="29">
        <v>43061</v>
      </c>
      <c r="D2080" s="37" t="s">
        <v>2193</v>
      </c>
      <c r="E2080" s="29" t="s">
        <v>37</v>
      </c>
      <c r="F2080" s="29" t="s">
        <v>41</v>
      </c>
      <c r="G2080" s="29">
        <v>8.2100000000000009</v>
      </c>
      <c r="H2080" s="71" t="s">
        <v>38</v>
      </c>
      <c r="I2080" s="37" t="s">
        <v>207</v>
      </c>
    </row>
    <row r="2081" spans="1:9" x14ac:dyDescent="0.25">
      <c r="A2081" s="29" t="s">
        <v>21</v>
      </c>
      <c r="B2081" s="29" t="s">
        <v>40</v>
      </c>
      <c r="C2081" s="29">
        <v>43059</v>
      </c>
      <c r="D2081" s="37" t="s">
        <v>1827</v>
      </c>
      <c r="E2081" s="29" t="s">
        <v>37</v>
      </c>
      <c r="F2081" s="29" t="s">
        <v>41</v>
      </c>
      <c r="G2081" s="29">
        <v>7.83</v>
      </c>
      <c r="H2081" s="71" t="s">
        <v>38</v>
      </c>
      <c r="I2081" s="37" t="s">
        <v>207</v>
      </c>
    </row>
    <row r="2082" spans="1:9" x14ac:dyDescent="0.25">
      <c r="A2082" s="29" t="s">
        <v>21</v>
      </c>
      <c r="B2082" s="29" t="s">
        <v>40</v>
      </c>
      <c r="C2082" s="29">
        <v>43062</v>
      </c>
      <c r="D2082" s="37" t="s">
        <v>2194</v>
      </c>
      <c r="E2082" s="29" t="s">
        <v>37</v>
      </c>
      <c r="F2082" s="29" t="s">
        <v>41</v>
      </c>
      <c r="G2082" s="29">
        <v>8.68</v>
      </c>
      <c r="H2082" s="71" t="s">
        <v>38</v>
      </c>
      <c r="I2082" s="37" t="s">
        <v>207</v>
      </c>
    </row>
    <row r="2083" spans="1:9" x14ac:dyDescent="0.25">
      <c r="A2083" s="29" t="s">
        <v>21</v>
      </c>
      <c r="B2083" s="29" t="s">
        <v>40</v>
      </c>
      <c r="C2083" s="29">
        <v>43060</v>
      </c>
      <c r="D2083" s="37" t="s">
        <v>1828</v>
      </c>
      <c r="E2083" s="29" t="s">
        <v>37</v>
      </c>
      <c r="F2083" s="29" t="s">
        <v>41</v>
      </c>
      <c r="G2083" s="29">
        <v>6.82</v>
      </c>
      <c r="H2083" s="71" t="s">
        <v>38</v>
      </c>
      <c r="I2083" s="37" t="s">
        <v>207</v>
      </c>
    </row>
    <row r="2084" spans="1:9" x14ac:dyDescent="0.25">
      <c r="A2084" s="29" t="s">
        <v>21</v>
      </c>
      <c r="B2084" s="29" t="s">
        <v>47</v>
      </c>
      <c r="C2084" s="29">
        <v>4720</v>
      </c>
      <c r="D2084" s="37" t="s">
        <v>2320</v>
      </c>
      <c r="E2084" s="29" t="s">
        <v>37</v>
      </c>
      <c r="F2084" s="29" t="s">
        <v>48</v>
      </c>
      <c r="G2084" s="29">
        <v>129.19999999999999</v>
      </c>
      <c r="H2084" s="71" t="s">
        <v>38</v>
      </c>
      <c r="I2084" s="37" t="s">
        <v>207</v>
      </c>
    </row>
    <row r="2085" spans="1:9" x14ac:dyDescent="0.25">
      <c r="A2085" s="29" t="s">
        <v>21</v>
      </c>
      <c r="B2085" s="29" t="s">
        <v>47</v>
      </c>
      <c r="C2085" s="29">
        <v>4721</v>
      </c>
      <c r="D2085" s="37" t="s">
        <v>2321</v>
      </c>
      <c r="E2085" s="29" t="s">
        <v>37</v>
      </c>
      <c r="F2085" s="29" t="s">
        <v>48</v>
      </c>
      <c r="G2085" s="29">
        <v>111.91</v>
      </c>
      <c r="H2085" s="71" t="s">
        <v>38</v>
      </c>
      <c r="I2085" s="37" t="s">
        <v>207</v>
      </c>
    </row>
    <row r="2086" spans="1:9" x14ac:dyDescent="0.25">
      <c r="A2086" s="29" t="s">
        <v>21</v>
      </c>
      <c r="B2086" s="29" t="s">
        <v>47</v>
      </c>
      <c r="C2086" s="29">
        <v>4718</v>
      </c>
      <c r="D2086" s="37" t="s">
        <v>2322</v>
      </c>
      <c r="E2086" s="29" t="s">
        <v>37</v>
      </c>
      <c r="F2086" s="29" t="s">
        <v>48</v>
      </c>
      <c r="G2086" s="29">
        <v>112.5</v>
      </c>
      <c r="H2086" s="71" t="s">
        <v>38</v>
      </c>
      <c r="I2086" s="37" t="s">
        <v>207</v>
      </c>
    </row>
    <row r="2087" spans="1:9" x14ac:dyDescent="0.25">
      <c r="A2087" s="29" t="s">
        <v>21</v>
      </c>
      <c r="B2087" s="29" t="s">
        <v>47</v>
      </c>
      <c r="C2087" s="29">
        <v>4722</v>
      </c>
      <c r="D2087" s="37" t="s">
        <v>2323</v>
      </c>
      <c r="E2087" s="29" t="s">
        <v>37</v>
      </c>
      <c r="F2087" s="29" t="s">
        <v>48</v>
      </c>
      <c r="G2087" s="29">
        <v>105.71</v>
      </c>
      <c r="H2087" s="71" t="s">
        <v>38</v>
      </c>
      <c r="I2087" s="37" t="s">
        <v>207</v>
      </c>
    </row>
    <row r="2088" spans="1:9" x14ac:dyDescent="0.25">
      <c r="A2088" s="29" t="s">
        <v>21</v>
      </c>
      <c r="B2088" s="29" t="s">
        <v>60</v>
      </c>
      <c r="C2088" s="29">
        <v>11146</v>
      </c>
      <c r="D2088" s="37" t="s">
        <v>2803</v>
      </c>
      <c r="E2088" s="29" t="s">
        <v>37</v>
      </c>
      <c r="F2088" s="29" t="s">
        <v>48</v>
      </c>
      <c r="G2088" s="29">
        <v>605.66</v>
      </c>
      <c r="H2088" s="71" t="s">
        <v>38</v>
      </c>
      <c r="I2088" s="37" t="s">
        <v>207</v>
      </c>
    </row>
    <row r="2089" spans="1:9" x14ac:dyDescent="0.25">
      <c r="A2089" s="29" t="s">
        <v>21</v>
      </c>
      <c r="B2089" s="29" t="s">
        <v>60</v>
      </c>
      <c r="C2089" s="29">
        <v>11147</v>
      </c>
      <c r="D2089" s="37" t="s">
        <v>2804</v>
      </c>
      <c r="E2089" s="29" t="s">
        <v>37</v>
      </c>
      <c r="F2089" s="29" t="s">
        <v>48</v>
      </c>
      <c r="G2089" s="29">
        <v>629.37</v>
      </c>
      <c r="H2089" s="71" t="s">
        <v>38</v>
      </c>
      <c r="I2089" s="37" t="s">
        <v>207</v>
      </c>
    </row>
    <row r="2090" spans="1:9" x14ac:dyDescent="0.25">
      <c r="A2090" s="29" t="s">
        <v>21</v>
      </c>
      <c r="B2090" s="29" t="s">
        <v>60</v>
      </c>
      <c r="C2090" s="29">
        <v>34872</v>
      </c>
      <c r="D2090" s="37" t="s">
        <v>2805</v>
      </c>
      <c r="E2090" s="29" t="s">
        <v>37</v>
      </c>
      <c r="F2090" s="29" t="s">
        <v>48</v>
      </c>
      <c r="G2090" s="29">
        <v>636.42999999999995</v>
      </c>
      <c r="H2090" s="71" t="s">
        <v>38</v>
      </c>
      <c r="I2090" s="37" t="s">
        <v>207</v>
      </c>
    </row>
    <row r="2091" spans="1:9" x14ac:dyDescent="0.25">
      <c r="A2091" s="29" t="s">
        <v>21</v>
      </c>
      <c r="B2091" s="29" t="s">
        <v>60</v>
      </c>
      <c r="C2091" s="29">
        <v>34491</v>
      </c>
      <c r="D2091" s="37" t="s">
        <v>2806</v>
      </c>
      <c r="E2091" s="29" t="s">
        <v>37</v>
      </c>
      <c r="F2091" s="29" t="s">
        <v>48</v>
      </c>
      <c r="G2091" s="29">
        <v>654.88</v>
      </c>
      <c r="H2091" s="71" t="s">
        <v>38</v>
      </c>
      <c r="I2091" s="37" t="s">
        <v>207</v>
      </c>
    </row>
    <row r="2092" spans="1:9" x14ac:dyDescent="0.25">
      <c r="A2092" s="29" t="s">
        <v>21</v>
      </c>
      <c r="B2092" s="29" t="s">
        <v>60</v>
      </c>
      <c r="C2092" s="29">
        <v>34770</v>
      </c>
      <c r="D2092" s="37" t="s">
        <v>3150</v>
      </c>
      <c r="E2092" s="29" t="s">
        <v>37</v>
      </c>
      <c r="F2092" s="29" t="s">
        <v>61</v>
      </c>
      <c r="G2092" s="29">
        <v>622.86</v>
      </c>
      <c r="H2092" s="71" t="s">
        <v>38</v>
      </c>
      <c r="I2092" s="37" t="s">
        <v>207</v>
      </c>
    </row>
    <row r="2093" spans="1:9" x14ac:dyDescent="0.25">
      <c r="A2093" s="29" t="s">
        <v>21</v>
      </c>
      <c r="B2093" s="29" t="s">
        <v>60</v>
      </c>
      <c r="C2093" s="29">
        <v>1518</v>
      </c>
      <c r="D2093" s="37" t="s">
        <v>3151</v>
      </c>
      <c r="E2093" s="29" t="s">
        <v>37</v>
      </c>
      <c r="F2093" s="29" t="s">
        <v>61</v>
      </c>
      <c r="G2093" s="29">
        <v>635</v>
      </c>
      <c r="H2093" s="71" t="s">
        <v>38</v>
      </c>
      <c r="I2093" s="37" t="s">
        <v>207</v>
      </c>
    </row>
    <row r="2094" spans="1:9" x14ac:dyDescent="0.25">
      <c r="A2094" s="29" t="s">
        <v>21</v>
      </c>
      <c r="B2094" s="29" t="s">
        <v>60</v>
      </c>
      <c r="C2094" s="29">
        <v>41965</v>
      </c>
      <c r="D2094" s="37" t="s">
        <v>3152</v>
      </c>
      <c r="E2094" s="29" t="s">
        <v>37</v>
      </c>
      <c r="F2094" s="29" t="s">
        <v>61</v>
      </c>
      <c r="G2094" s="29">
        <v>556.79</v>
      </c>
      <c r="H2094" s="71" t="s">
        <v>38</v>
      </c>
      <c r="I2094" s="37" t="s">
        <v>207</v>
      </c>
    </row>
    <row r="2095" spans="1:9" x14ac:dyDescent="0.25">
      <c r="A2095" s="29" t="s">
        <v>21</v>
      </c>
      <c r="B2095" s="29" t="s">
        <v>60</v>
      </c>
      <c r="C2095" s="29">
        <v>1524</v>
      </c>
      <c r="D2095" s="37" t="s">
        <v>2807</v>
      </c>
      <c r="E2095" s="29" t="s">
        <v>37</v>
      </c>
      <c r="F2095" s="29" t="s">
        <v>48</v>
      </c>
      <c r="G2095" s="29">
        <v>581.09</v>
      </c>
      <c r="H2095" s="71" t="s">
        <v>38</v>
      </c>
      <c r="I2095" s="37" t="s">
        <v>207</v>
      </c>
    </row>
    <row r="2096" spans="1:9" x14ac:dyDescent="0.25">
      <c r="A2096" s="29" t="s">
        <v>21</v>
      </c>
      <c r="B2096" s="29" t="s">
        <v>60</v>
      </c>
      <c r="C2096" s="29">
        <v>34492</v>
      </c>
      <c r="D2096" s="37" t="s">
        <v>2195</v>
      </c>
      <c r="E2096" s="29" t="s">
        <v>37</v>
      </c>
      <c r="F2096" s="29" t="s">
        <v>48</v>
      </c>
      <c r="G2096" s="29">
        <v>538.25</v>
      </c>
      <c r="H2096" s="71" t="s">
        <v>38</v>
      </c>
      <c r="I2096" s="37" t="s">
        <v>207</v>
      </c>
    </row>
    <row r="2097" spans="1:9" x14ac:dyDescent="0.25">
      <c r="A2097" s="29" t="s">
        <v>21</v>
      </c>
      <c r="B2097" s="29" t="s">
        <v>60</v>
      </c>
      <c r="C2097" s="29">
        <v>38404</v>
      </c>
      <c r="D2097" s="37" t="s">
        <v>2196</v>
      </c>
      <c r="E2097" s="29" t="s">
        <v>37</v>
      </c>
      <c r="F2097" s="29" t="s">
        <v>48</v>
      </c>
      <c r="G2097" s="29">
        <v>557.52</v>
      </c>
      <c r="H2097" s="71" t="s">
        <v>38</v>
      </c>
      <c r="I2097" s="37" t="s">
        <v>207</v>
      </c>
    </row>
    <row r="2098" spans="1:9" x14ac:dyDescent="0.25">
      <c r="A2098" s="29" t="s">
        <v>21</v>
      </c>
      <c r="B2098" s="29" t="s">
        <v>60</v>
      </c>
      <c r="C2098" s="29">
        <v>39849</v>
      </c>
      <c r="D2098" s="37" t="s">
        <v>2808</v>
      </c>
      <c r="E2098" s="29" t="s">
        <v>37</v>
      </c>
      <c r="F2098" s="29" t="s">
        <v>48</v>
      </c>
      <c r="G2098" s="29">
        <v>638.91999999999996</v>
      </c>
      <c r="H2098" s="71" t="s">
        <v>38</v>
      </c>
      <c r="I2098" s="37" t="s">
        <v>207</v>
      </c>
    </row>
    <row r="2099" spans="1:9" x14ac:dyDescent="0.25">
      <c r="A2099" s="29" t="s">
        <v>21</v>
      </c>
      <c r="B2099" s="29" t="s">
        <v>60</v>
      </c>
      <c r="C2099" s="29">
        <v>38464</v>
      </c>
      <c r="D2099" s="37" t="s">
        <v>2809</v>
      </c>
      <c r="E2099" s="29" t="s">
        <v>37</v>
      </c>
      <c r="F2099" s="29" t="s">
        <v>48</v>
      </c>
      <c r="G2099" s="29">
        <v>648.19000000000005</v>
      </c>
      <c r="H2099" s="71" t="s">
        <v>38</v>
      </c>
      <c r="I2099" s="37" t="s">
        <v>207</v>
      </c>
    </row>
    <row r="2100" spans="1:9" x14ac:dyDescent="0.25">
      <c r="A2100" s="29" t="s">
        <v>21</v>
      </c>
      <c r="B2100" s="29" t="s">
        <v>60</v>
      </c>
      <c r="C2100" s="29">
        <v>1527</v>
      </c>
      <c r="D2100" s="37" t="s">
        <v>2810</v>
      </c>
      <c r="E2100" s="29" t="s">
        <v>37</v>
      </c>
      <c r="F2100" s="29" t="s">
        <v>48</v>
      </c>
      <c r="G2100" s="29">
        <v>599.54</v>
      </c>
      <c r="H2100" s="71" t="s">
        <v>38</v>
      </c>
      <c r="I2100" s="37" t="s">
        <v>207</v>
      </c>
    </row>
    <row r="2101" spans="1:9" x14ac:dyDescent="0.25">
      <c r="A2101" s="29" t="s">
        <v>21</v>
      </c>
      <c r="B2101" s="29" t="s">
        <v>60</v>
      </c>
      <c r="C2101" s="29">
        <v>34493</v>
      </c>
      <c r="D2101" s="37" t="s">
        <v>2197</v>
      </c>
      <c r="E2101" s="29" t="s">
        <v>37</v>
      </c>
      <c r="F2101" s="29" t="s">
        <v>48</v>
      </c>
      <c r="G2101" s="29">
        <v>553.41999999999996</v>
      </c>
      <c r="H2101" s="71" t="s">
        <v>38</v>
      </c>
      <c r="I2101" s="37" t="s">
        <v>207</v>
      </c>
    </row>
    <row r="2102" spans="1:9" x14ac:dyDescent="0.25">
      <c r="A2102" s="29" t="s">
        <v>21</v>
      </c>
      <c r="B2102" s="29" t="s">
        <v>60</v>
      </c>
      <c r="C2102" s="29">
        <v>38405</v>
      </c>
      <c r="D2102" s="37" t="s">
        <v>2198</v>
      </c>
      <c r="E2102" s="29" t="s">
        <v>37</v>
      </c>
      <c r="F2102" s="29" t="s">
        <v>48</v>
      </c>
      <c r="G2102" s="29">
        <v>574.71</v>
      </c>
      <c r="H2102" s="71" t="s">
        <v>38</v>
      </c>
      <c r="I2102" s="37" t="s">
        <v>207</v>
      </c>
    </row>
    <row r="2103" spans="1:9" x14ac:dyDescent="0.25">
      <c r="A2103" s="29" t="s">
        <v>21</v>
      </c>
      <c r="B2103" s="29" t="s">
        <v>60</v>
      </c>
      <c r="C2103" s="29">
        <v>38408</v>
      </c>
      <c r="D2103" s="37" t="s">
        <v>2199</v>
      </c>
      <c r="E2103" s="29" t="s">
        <v>37</v>
      </c>
      <c r="F2103" s="29" t="s">
        <v>48</v>
      </c>
      <c r="G2103" s="29">
        <v>636.15</v>
      </c>
      <c r="H2103" s="71" t="s">
        <v>38</v>
      </c>
      <c r="I2103" s="37" t="s">
        <v>207</v>
      </c>
    </row>
    <row r="2104" spans="1:9" x14ac:dyDescent="0.25">
      <c r="A2104" s="29" t="s">
        <v>21</v>
      </c>
      <c r="B2104" s="29" t="s">
        <v>60</v>
      </c>
      <c r="C2104" s="29">
        <v>1525</v>
      </c>
      <c r="D2104" s="37" t="s">
        <v>2811</v>
      </c>
      <c r="E2104" s="29" t="s">
        <v>37</v>
      </c>
      <c r="F2104" s="29" t="s">
        <v>48</v>
      </c>
      <c r="G2104" s="29">
        <v>617.98</v>
      </c>
      <c r="H2104" s="71" t="s">
        <v>38</v>
      </c>
      <c r="I2104" s="37" t="s">
        <v>207</v>
      </c>
    </row>
    <row r="2105" spans="1:9" x14ac:dyDescent="0.25">
      <c r="A2105" s="29" t="s">
        <v>21</v>
      </c>
      <c r="B2105" s="29" t="s">
        <v>60</v>
      </c>
      <c r="C2105" s="29">
        <v>34494</v>
      </c>
      <c r="D2105" s="37" t="s">
        <v>2200</v>
      </c>
      <c r="E2105" s="29" t="s">
        <v>37</v>
      </c>
      <c r="F2105" s="29" t="s">
        <v>48</v>
      </c>
      <c r="G2105" s="29">
        <v>571.87</v>
      </c>
      <c r="H2105" s="71" t="s">
        <v>38</v>
      </c>
      <c r="I2105" s="37" t="s">
        <v>207</v>
      </c>
    </row>
    <row r="2106" spans="1:9" x14ac:dyDescent="0.25">
      <c r="A2106" s="29" t="s">
        <v>21</v>
      </c>
      <c r="B2106" s="29" t="s">
        <v>60</v>
      </c>
      <c r="C2106" s="29">
        <v>38406</v>
      </c>
      <c r="D2106" s="37" t="s">
        <v>2201</v>
      </c>
      <c r="E2106" s="29" t="s">
        <v>37</v>
      </c>
      <c r="F2106" s="29" t="s">
        <v>48</v>
      </c>
      <c r="G2106" s="29">
        <v>606.86</v>
      </c>
      <c r="H2106" s="71" t="s">
        <v>38</v>
      </c>
      <c r="I2106" s="37" t="s">
        <v>207</v>
      </c>
    </row>
    <row r="2107" spans="1:9" x14ac:dyDescent="0.25">
      <c r="A2107" s="29" t="s">
        <v>21</v>
      </c>
      <c r="B2107" s="29" t="s">
        <v>60</v>
      </c>
      <c r="C2107" s="29">
        <v>38409</v>
      </c>
      <c r="D2107" s="37" t="s">
        <v>2202</v>
      </c>
      <c r="E2107" s="29" t="s">
        <v>37</v>
      </c>
      <c r="F2107" s="29" t="s">
        <v>48</v>
      </c>
      <c r="G2107" s="29">
        <v>640.49</v>
      </c>
      <c r="H2107" s="71" t="s">
        <v>38</v>
      </c>
      <c r="I2107" s="37" t="s">
        <v>207</v>
      </c>
    </row>
    <row r="2108" spans="1:9" x14ac:dyDescent="0.25">
      <c r="A2108" s="29" t="s">
        <v>21</v>
      </c>
      <c r="B2108" s="29" t="s">
        <v>60</v>
      </c>
      <c r="C2108" s="29">
        <v>43360</v>
      </c>
      <c r="D2108" s="37" t="s">
        <v>2203</v>
      </c>
      <c r="E2108" s="29" t="s">
        <v>37</v>
      </c>
      <c r="F2108" s="29" t="s">
        <v>48</v>
      </c>
      <c r="G2108" s="29">
        <v>667.85</v>
      </c>
      <c r="H2108" s="71" t="s">
        <v>38</v>
      </c>
      <c r="I2108" s="37" t="s">
        <v>207</v>
      </c>
    </row>
    <row r="2109" spans="1:9" x14ac:dyDescent="0.25">
      <c r="A2109" s="29" t="s">
        <v>21</v>
      </c>
      <c r="B2109" s="29" t="s">
        <v>60</v>
      </c>
      <c r="C2109" s="29">
        <v>11145</v>
      </c>
      <c r="D2109" s="37" t="s">
        <v>2812</v>
      </c>
      <c r="E2109" s="29" t="s">
        <v>37</v>
      </c>
      <c r="F2109" s="29" t="s">
        <v>48</v>
      </c>
      <c r="G2109" s="29">
        <v>636.42999999999995</v>
      </c>
      <c r="H2109" s="71" t="s">
        <v>38</v>
      </c>
      <c r="I2109" s="37" t="s">
        <v>207</v>
      </c>
    </row>
    <row r="2110" spans="1:9" x14ac:dyDescent="0.25">
      <c r="A2110" s="29" t="s">
        <v>21</v>
      </c>
      <c r="B2110" s="29" t="s">
        <v>60</v>
      </c>
      <c r="C2110" s="29">
        <v>34495</v>
      </c>
      <c r="D2110" s="37" t="s">
        <v>2204</v>
      </c>
      <c r="E2110" s="29" t="s">
        <v>37</v>
      </c>
      <c r="F2110" s="29" t="s">
        <v>48</v>
      </c>
      <c r="G2110" s="29">
        <v>590.30999999999995</v>
      </c>
      <c r="H2110" s="71" t="s">
        <v>38</v>
      </c>
      <c r="I2110" s="37" t="s">
        <v>207</v>
      </c>
    </row>
    <row r="2111" spans="1:9" x14ac:dyDescent="0.25">
      <c r="A2111" s="29" t="s">
        <v>21</v>
      </c>
      <c r="B2111" s="29" t="s">
        <v>60</v>
      </c>
      <c r="C2111" s="29">
        <v>34479</v>
      </c>
      <c r="D2111" s="37" t="s">
        <v>2813</v>
      </c>
      <c r="E2111" s="29" t="s">
        <v>37</v>
      </c>
      <c r="F2111" s="29" t="s">
        <v>48</v>
      </c>
      <c r="G2111" s="29">
        <v>654.88</v>
      </c>
      <c r="H2111" s="71" t="s">
        <v>38</v>
      </c>
      <c r="I2111" s="37" t="s">
        <v>207</v>
      </c>
    </row>
    <row r="2112" spans="1:9" x14ac:dyDescent="0.25">
      <c r="A2112" s="29" t="s">
        <v>21</v>
      </c>
      <c r="B2112" s="29" t="s">
        <v>60</v>
      </c>
      <c r="C2112" s="29">
        <v>34496</v>
      </c>
      <c r="D2112" s="37" t="s">
        <v>2205</v>
      </c>
      <c r="E2112" s="29" t="s">
        <v>37</v>
      </c>
      <c r="F2112" s="29" t="s">
        <v>48</v>
      </c>
      <c r="G2112" s="29">
        <v>615.79999999999995</v>
      </c>
      <c r="H2112" s="71" t="s">
        <v>38</v>
      </c>
      <c r="I2112" s="37" t="s">
        <v>207</v>
      </c>
    </row>
    <row r="2113" spans="1:9" x14ac:dyDescent="0.25">
      <c r="A2113" s="29" t="s">
        <v>21</v>
      </c>
      <c r="B2113" s="29" t="s">
        <v>60</v>
      </c>
      <c r="C2113" s="29">
        <v>34481</v>
      </c>
      <c r="D2113" s="37" t="s">
        <v>2814</v>
      </c>
      <c r="E2113" s="29" t="s">
        <v>37</v>
      </c>
      <c r="F2113" s="29" t="s">
        <v>48</v>
      </c>
      <c r="G2113" s="29">
        <v>684.27</v>
      </c>
      <c r="H2113" s="71" t="s">
        <v>38</v>
      </c>
      <c r="I2113" s="37" t="s">
        <v>207</v>
      </c>
    </row>
    <row r="2114" spans="1:9" x14ac:dyDescent="0.25">
      <c r="A2114" s="29" t="s">
        <v>21</v>
      </c>
      <c r="B2114" s="29" t="s">
        <v>60</v>
      </c>
      <c r="C2114" s="29">
        <v>34483</v>
      </c>
      <c r="D2114" s="37" t="s">
        <v>2815</v>
      </c>
      <c r="E2114" s="29" t="s">
        <v>37</v>
      </c>
      <c r="F2114" s="29" t="s">
        <v>48</v>
      </c>
      <c r="G2114" s="29">
        <v>731.09</v>
      </c>
      <c r="H2114" s="71" t="s">
        <v>38</v>
      </c>
      <c r="I2114" s="37" t="s">
        <v>207</v>
      </c>
    </row>
    <row r="2115" spans="1:9" x14ac:dyDescent="0.25">
      <c r="A2115" s="29" t="s">
        <v>21</v>
      </c>
      <c r="B2115" s="29" t="s">
        <v>60</v>
      </c>
      <c r="C2115" s="29">
        <v>34485</v>
      </c>
      <c r="D2115" s="37" t="s">
        <v>2816</v>
      </c>
      <c r="E2115" s="29" t="s">
        <v>37</v>
      </c>
      <c r="F2115" s="29" t="s">
        <v>48</v>
      </c>
      <c r="G2115" s="29">
        <v>781.82</v>
      </c>
      <c r="H2115" s="71" t="s">
        <v>38</v>
      </c>
      <c r="I2115" s="37" t="s">
        <v>207</v>
      </c>
    </row>
    <row r="2116" spans="1:9" x14ac:dyDescent="0.25">
      <c r="A2116" s="29" t="s">
        <v>21</v>
      </c>
      <c r="B2116" s="29" t="s">
        <v>60</v>
      </c>
      <c r="C2116" s="29">
        <v>14041</v>
      </c>
      <c r="D2116" s="37" t="s">
        <v>2206</v>
      </c>
      <c r="E2116" s="29" t="s">
        <v>37</v>
      </c>
      <c r="F2116" s="29" t="s">
        <v>48</v>
      </c>
      <c r="G2116" s="29">
        <v>508.22</v>
      </c>
      <c r="H2116" s="71" t="s">
        <v>38</v>
      </c>
      <c r="I2116" s="37" t="s">
        <v>207</v>
      </c>
    </row>
    <row r="2117" spans="1:9" x14ac:dyDescent="0.25">
      <c r="A2117" s="29" t="s">
        <v>21</v>
      </c>
      <c r="B2117" s="29" t="s">
        <v>60</v>
      </c>
      <c r="C2117" s="29">
        <v>1523</v>
      </c>
      <c r="D2117" s="37" t="s">
        <v>2207</v>
      </c>
      <c r="E2117" s="29" t="s">
        <v>37</v>
      </c>
      <c r="F2117" s="29" t="s">
        <v>48</v>
      </c>
      <c r="G2117" s="29">
        <v>516.52</v>
      </c>
      <c r="H2117" s="71" t="s">
        <v>38</v>
      </c>
      <c r="I2117" s="37" t="s">
        <v>207</v>
      </c>
    </row>
    <row r="2118" spans="1:9" x14ac:dyDescent="0.25">
      <c r="A2118" s="29" t="s">
        <v>21</v>
      </c>
      <c r="B2118" s="29" t="s">
        <v>74</v>
      </c>
      <c r="C2118" s="29">
        <v>34519</v>
      </c>
      <c r="D2118" s="37" t="s">
        <v>1613</v>
      </c>
      <c r="E2118" s="29" t="s">
        <v>37</v>
      </c>
      <c r="F2118" s="29" t="s">
        <v>36</v>
      </c>
      <c r="G2118" s="29">
        <v>82.03</v>
      </c>
      <c r="H2118" s="71" t="s">
        <v>38</v>
      </c>
      <c r="I2118" s="37" t="s">
        <v>207</v>
      </c>
    </row>
    <row r="2119" spans="1:9" x14ac:dyDescent="0.25">
      <c r="A2119" s="29" t="s">
        <v>21</v>
      </c>
      <c r="B2119" s="29" t="s">
        <v>24</v>
      </c>
      <c r="C2119" s="29" t="s">
        <v>34</v>
      </c>
      <c r="D2119" s="37" t="s">
        <v>3156</v>
      </c>
      <c r="E2119" s="29" t="s">
        <v>37</v>
      </c>
      <c r="F2119" s="29" t="s">
        <v>48</v>
      </c>
      <c r="G2119" s="29">
        <v>37.49</v>
      </c>
      <c r="H2119" s="71" t="s">
        <v>3153</v>
      </c>
      <c r="I2119" s="37" t="str">
        <f>"https://brasil.geradordeprecos.info/obra_nova/Preparacao_do_terreno/Movimento_de_terras_em_edificacao/Escavacoes/Escavacao_de_valas_e_cavas.html"</f>
        <v>https://brasil.geradordeprecos.info/obra_nova/Preparacao_do_terreno/Movimento_de_terras_em_edificacao/Escavacoes/Escavacao_de_valas_e_cavas.html</v>
      </c>
    </row>
    <row r="2120" spans="1:9" x14ac:dyDescent="0.25">
      <c r="A2120" s="29" t="s">
        <v>21</v>
      </c>
      <c r="B2120" s="29" t="s">
        <v>24</v>
      </c>
      <c r="C2120" s="29" t="s">
        <v>34</v>
      </c>
      <c r="D2120" s="37" t="s">
        <v>3154</v>
      </c>
      <c r="E2120" s="29" t="s">
        <v>37</v>
      </c>
      <c r="F2120" s="29" t="s">
        <v>48</v>
      </c>
      <c r="G2120" s="29">
        <v>36.47</v>
      </c>
      <c r="H2120" s="71" t="s">
        <v>3153</v>
      </c>
      <c r="I2120" s="37" t="str">
        <f>"https://brasil.geradordeprecos.info/obra_nova/Preparacao_do_terreno/Movimento_de_terras_em_edificacao/Escavacoes/Escavacao_de_valas_e_cavas.html"</f>
        <v>https://brasil.geradordeprecos.info/obra_nova/Preparacao_do_terreno/Movimento_de_terras_em_edificacao/Escavacoes/Escavacao_de_valas_e_cavas.html</v>
      </c>
    </row>
    <row r="2121" spans="1:9" x14ac:dyDescent="0.25">
      <c r="A2121" s="29" t="s">
        <v>21</v>
      </c>
      <c r="B2121" s="29" t="s">
        <v>24</v>
      </c>
      <c r="C2121" s="29" t="s">
        <v>34</v>
      </c>
      <c r="D2121" s="37" t="s">
        <v>3157</v>
      </c>
      <c r="E2121" s="29" t="s">
        <v>37</v>
      </c>
      <c r="F2121" s="29" t="s">
        <v>48</v>
      </c>
      <c r="G2121" s="29">
        <v>37.49</v>
      </c>
      <c r="H2121" s="71" t="s">
        <v>3153</v>
      </c>
      <c r="I2121" s="37" t="str">
        <f>"https://brasil.geradordeprecos.info/obra_nova/Preparacao_do_terreno/Movimento_de_terras_em_edificacao/Escavacoes/Escavacao_de_valas_e_cavas.html"</f>
        <v>https://brasil.geradordeprecos.info/obra_nova/Preparacao_do_terreno/Movimento_de_terras_em_edificacao/Escavacoes/Escavacao_de_valas_e_cavas.html</v>
      </c>
    </row>
    <row r="2122" spans="1:9" x14ac:dyDescent="0.25">
      <c r="A2122" s="29" t="s">
        <v>21</v>
      </c>
      <c r="B2122" s="29" t="s">
        <v>24</v>
      </c>
      <c r="C2122" s="29" t="s">
        <v>34</v>
      </c>
      <c r="D2122" s="37" t="s">
        <v>3155</v>
      </c>
      <c r="E2122" s="29" t="s">
        <v>37</v>
      </c>
      <c r="F2122" s="29" t="s">
        <v>48</v>
      </c>
      <c r="G2122" s="29">
        <v>35.32</v>
      </c>
      <c r="H2122" s="71" t="s">
        <v>3153</v>
      </c>
      <c r="I2122" s="37" t="str">
        <f>"https://brasil.geradordeprecos.info/obra_nova/Preparacao_do_terreno/Movimento_de_terras_em_edificacao/Escavacoes/Escavacao_de_valas_e_cavas.html"</f>
        <v>https://brasil.geradordeprecos.info/obra_nova/Preparacao_do_terreno/Movimento_de_terras_em_edificacao/Escavacoes/Escavacao_de_valas_e_cavas.html</v>
      </c>
    </row>
    <row r="2123" spans="1:9" x14ac:dyDescent="0.25">
      <c r="A2123" s="29" t="s">
        <v>21</v>
      </c>
      <c r="B2123" s="29" t="s">
        <v>24</v>
      </c>
      <c r="C2123" s="29" t="s">
        <v>34</v>
      </c>
      <c r="D2123" s="37" t="s">
        <v>2035</v>
      </c>
      <c r="E2123" s="29" t="s">
        <v>37</v>
      </c>
      <c r="F2123" s="29" t="s">
        <v>36</v>
      </c>
      <c r="G2123" s="29">
        <v>157.5</v>
      </c>
      <c r="H2123" s="71" t="s">
        <v>549</v>
      </c>
      <c r="I2123" s="37" t="str">
        <f>"https://panelasferreira.com.br/grelha-de-ferro-fundido-pedestre-30x100-cm183"</f>
        <v>https://panelasferreira.com.br/grelha-de-ferro-fundido-pedestre-30x100-cm183</v>
      </c>
    </row>
    <row r="2124" spans="1:9" x14ac:dyDescent="0.25">
      <c r="A2124" s="29" t="s">
        <v>21</v>
      </c>
      <c r="B2124" s="29" t="s">
        <v>24</v>
      </c>
      <c r="C2124" s="29" t="s">
        <v>34</v>
      </c>
      <c r="D2124" s="37" t="s">
        <v>2036</v>
      </c>
      <c r="E2124" s="29" t="s">
        <v>37</v>
      </c>
      <c r="F2124" s="29" t="s">
        <v>36</v>
      </c>
      <c r="G2124" s="29">
        <v>101.96</v>
      </c>
      <c r="H2124" s="71" t="s">
        <v>549</v>
      </c>
      <c r="I2124" s="37" t="str">
        <f>"https://www.tampaoegrelhagk.com.br/P-grelha-de-ferro-30x50-cm-91"</f>
        <v>https://www.tampaoegrelhagk.com.br/P-grelha-de-ferro-30x50-cm-91</v>
      </c>
    </row>
    <row r="2125" spans="1:9" x14ac:dyDescent="0.25">
      <c r="A2125" s="29" t="s">
        <v>21</v>
      </c>
      <c r="B2125" s="29" t="s">
        <v>118</v>
      </c>
      <c r="C2125" s="29" t="s">
        <v>34</v>
      </c>
      <c r="D2125" s="37" t="s">
        <v>1614</v>
      </c>
      <c r="E2125" s="29" t="s">
        <v>37</v>
      </c>
      <c r="F2125" s="29" t="s">
        <v>103</v>
      </c>
      <c r="G2125" s="29">
        <v>68.900000000000006</v>
      </c>
      <c r="H2125" s="71" t="s">
        <v>829</v>
      </c>
      <c r="I2125" s="37" t="str">
        <f>"https://www.leroymerlin.com.br/espacador-p--ferro-concreto-cobrimento-modelo-circular-roseta-30mm-kit-100-un_1572311532?msockid=1b223b79009e6d3b00a82d0101f56cec"</f>
        <v>https://www.leroymerlin.com.br/espacador-p--ferro-concreto-cobrimento-modelo-circular-roseta-30mm-kit-100-un_1572311532?msockid=1b223b79009e6d3b00a82d0101f56cec</v>
      </c>
    </row>
    <row r="2126" spans="1:9" x14ac:dyDescent="0.25">
      <c r="A2126" s="29" t="s">
        <v>21</v>
      </c>
      <c r="B2126" s="29" t="s">
        <v>118</v>
      </c>
      <c r="C2126" s="29" t="s">
        <v>34</v>
      </c>
      <c r="D2126" s="37" t="s">
        <v>1103</v>
      </c>
      <c r="E2126" s="29" t="s">
        <v>37</v>
      </c>
      <c r="F2126" s="29" t="s">
        <v>36</v>
      </c>
      <c r="G2126" s="29">
        <v>58.9</v>
      </c>
      <c r="H2126" s="71" t="s">
        <v>829</v>
      </c>
      <c r="I2126" s="37" t="str">
        <f>"https://www.sodimac.com.br/sodimac-br/product/1799146/vigota-treli%C3%A7ada-p-laje-h8-3m-mta/1799146/"</f>
        <v>https://www.sodimac.com.br/sodimac-br/product/1799146/vigota-treli%C3%A7ada-p-laje-h8-3m-mta/1799146/</v>
      </c>
    </row>
    <row r="2127" spans="1:9" x14ac:dyDescent="0.25">
      <c r="A2127" s="29" t="s">
        <v>21</v>
      </c>
      <c r="B2127" s="29" t="s">
        <v>118</v>
      </c>
      <c r="C2127" s="29" t="s">
        <v>34</v>
      </c>
      <c r="D2127" s="37" t="s">
        <v>1104</v>
      </c>
      <c r="E2127" s="29" t="s">
        <v>37</v>
      </c>
      <c r="F2127" s="29" t="s">
        <v>36</v>
      </c>
      <c r="G2127" s="29">
        <v>78.900000000000006</v>
      </c>
      <c r="H2127" s="71" t="s">
        <v>829</v>
      </c>
      <c r="I2127" s="37" t="str">
        <f>"https://www.sodimac.com.br/sodimac-br/product/1799148/vigota-treli%C3%A7ada-p-laje-h8-4m-mta/1799148/"</f>
        <v>https://www.sodimac.com.br/sodimac-br/product/1799148/vigota-treli%C3%A7ada-p-laje-h8-4m-mta/1799148/</v>
      </c>
    </row>
    <row r="2128" spans="1:9" x14ac:dyDescent="0.25">
      <c r="A2128" s="29" t="s">
        <v>21</v>
      </c>
      <c r="B2128" s="29" t="s">
        <v>124</v>
      </c>
      <c r="C2128" s="29" t="s">
        <v>34</v>
      </c>
      <c r="D2128" s="37" t="s">
        <v>1615</v>
      </c>
      <c r="E2128" s="29" t="s">
        <v>37</v>
      </c>
      <c r="F2128" s="29" t="s">
        <v>36</v>
      </c>
      <c r="G2128" s="29">
        <v>95.48</v>
      </c>
      <c r="H2128" s="71" t="s">
        <v>549</v>
      </c>
      <c r="I2128" s="37" t="str">
        <f>"https://www.tumelero.com.br/malha-pop-4-2mm-reforcado-q92-15x15-2x3m-arcelormittal-50913112/p#descricao-pdp; https://www.casteloforte.com.br/produto/65594-malha-pop-reforcada-42-painel-15x15cm-2-00x3-00-metros"</f>
        <v>https://www.tumelero.com.br/malha-pop-4-2mm-reforcado-q92-15x15-2x3m-arcelormittal-50913112/p#descricao-pdp; https://www.casteloforte.com.br/produto/65594-malha-pop-reforcada-42-painel-15x15cm-2-00x3-00-metros</v>
      </c>
    </row>
    <row r="2129" spans="1:9" x14ac:dyDescent="0.25">
      <c r="A2129" s="29" t="s">
        <v>21</v>
      </c>
      <c r="B2129" s="29" t="s">
        <v>113</v>
      </c>
      <c r="C2129" s="29">
        <v>42408</v>
      </c>
      <c r="D2129" s="37" t="s">
        <v>2208</v>
      </c>
      <c r="E2129" s="29" t="s">
        <v>37</v>
      </c>
      <c r="F2129" s="29" t="s">
        <v>100</v>
      </c>
      <c r="G2129" s="29">
        <v>2.8</v>
      </c>
      <c r="H2129" s="71" t="s">
        <v>38</v>
      </c>
      <c r="I2129" s="37" t="s">
        <v>207</v>
      </c>
    </row>
    <row r="2130" spans="1:9" x14ac:dyDescent="0.25">
      <c r="A2130" s="29" t="s">
        <v>21</v>
      </c>
      <c r="B2130" s="29" t="s">
        <v>113</v>
      </c>
      <c r="C2130" s="29">
        <v>3777</v>
      </c>
      <c r="D2130" s="37" t="s">
        <v>2209</v>
      </c>
      <c r="E2130" s="29" t="s">
        <v>37</v>
      </c>
      <c r="F2130" s="29" t="s">
        <v>100</v>
      </c>
      <c r="G2130" s="29">
        <v>2.02</v>
      </c>
      <c r="H2130" s="71" t="s">
        <v>38</v>
      </c>
      <c r="I2130" s="37" t="s">
        <v>207</v>
      </c>
    </row>
    <row r="2131" spans="1:9" x14ac:dyDescent="0.25">
      <c r="A2131" s="29" t="s">
        <v>21</v>
      </c>
      <c r="B2131" s="29" t="s">
        <v>113</v>
      </c>
      <c r="C2131" s="29" t="s">
        <v>34</v>
      </c>
      <c r="D2131" s="37" t="s">
        <v>1616</v>
      </c>
      <c r="E2131" s="29" t="s">
        <v>37</v>
      </c>
      <c r="F2131" s="29" t="s">
        <v>36</v>
      </c>
      <c r="G2131" s="29">
        <v>243.9</v>
      </c>
      <c r="H2131" s="71" t="s">
        <v>734</v>
      </c>
      <c r="I2131" s="37" t="str">
        <f>"https://www.lojadomecanico.com.br/produto/119814/11/777/lona-plastica-preta-em-rolo-de-4-x-100m-15kg-vonder-6119604100"</f>
        <v>https://www.lojadomecanico.com.br/produto/119814/11/777/lona-plastica-preta-em-rolo-de-4-x-100m-15kg-vonder-6119604100</v>
      </c>
    </row>
    <row r="2132" spans="1:9" x14ac:dyDescent="0.25">
      <c r="A2132" s="29" t="s">
        <v>21</v>
      </c>
      <c r="B2132" s="29" t="s">
        <v>113</v>
      </c>
      <c r="C2132" s="29" t="s">
        <v>34</v>
      </c>
      <c r="D2132" s="37" t="s">
        <v>1617</v>
      </c>
      <c r="E2132" s="29" t="s">
        <v>37</v>
      </c>
      <c r="F2132" s="29" t="s">
        <v>36</v>
      </c>
      <c r="G2132" s="29">
        <v>175.92</v>
      </c>
      <c r="H2132" s="71" t="s">
        <v>734</v>
      </c>
      <c r="I2132" s="37" t="str">
        <f>"https://www.telhanorte.com.br/lona-plastica-preta-4m-x-50m-bag-brasil-2390779/p"</f>
        <v>https://www.telhanorte.com.br/lona-plastica-preta-4m-x-50m-bag-brasil-2390779/p</v>
      </c>
    </row>
    <row r="2133" spans="1:9" x14ac:dyDescent="0.25">
      <c r="A2133" s="29" t="s">
        <v>21</v>
      </c>
      <c r="B2133" s="29" t="s">
        <v>91</v>
      </c>
      <c r="C2133" s="29">
        <v>4730</v>
      </c>
      <c r="D2133" s="37" t="s">
        <v>1829</v>
      </c>
      <c r="E2133" s="29" t="s">
        <v>37</v>
      </c>
      <c r="F2133" s="29" t="s">
        <v>48</v>
      </c>
      <c r="G2133" s="29">
        <v>105.19</v>
      </c>
      <c r="H2133" s="71" t="s">
        <v>38</v>
      </c>
      <c r="I2133" s="37" t="s">
        <v>207</v>
      </c>
    </row>
    <row r="2134" spans="1:9" x14ac:dyDescent="0.25">
      <c r="A2134" s="29" t="s">
        <v>20</v>
      </c>
      <c r="B2134" s="29" t="s">
        <v>140</v>
      </c>
      <c r="C2134" s="29" t="s">
        <v>34</v>
      </c>
      <c r="D2134" s="37" t="s">
        <v>3317</v>
      </c>
      <c r="E2134" s="29" t="s">
        <v>137</v>
      </c>
      <c r="F2134" s="29" t="s">
        <v>36</v>
      </c>
      <c r="G2134" s="29">
        <v>24453.21</v>
      </c>
      <c r="H2134" s="71" t="s">
        <v>3352</v>
      </c>
      <c r="I2134" s="37" t="s">
        <v>3353</v>
      </c>
    </row>
    <row r="2135" spans="1:9" x14ac:dyDescent="0.25">
      <c r="A2135" s="29" t="s">
        <v>20</v>
      </c>
      <c r="B2135" s="29" t="s">
        <v>138</v>
      </c>
      <c r="C2135" s="29" t="s">
        <v>34</v>
      </c>
      <c r="D2135" s="37" t="s">
        <v>3365</v>
      </c>
      <c r="E2135" s="29" t="s">
        <v>136</v>
      </c>
      <c r="F2135" s="29" t="s">
        <v>36</v>
      </c>
      <c r="G2135" s="29">
        <v>497.02</v>
      </c>
      <c r="H2135" s="71" t="s">
        <v>3352</v>
      </c>
      <c r="I2135" s="37" t="s">
        <v>3353</v>
      </c>
    </row>
    <row r="2136" spans="1:9" x14ac:dyDescent="0.25">
      <c r="A2136" s="29" t="s">
        <v>20</v>
      </c>
      <c r="B2136" s="29" t="s">
        <v>138</v>
      </c>
      <c r="C2136" s="29" t="s">
        <v>34</v>
      </c>
      <c r="D2136" s="37" t="s">
        <v>1105</v>
      </c>
      <c r="E2136" s="29" t="s">
        <v>136</v>
      </c>
      <c r="F2136" s="29" t="s">
        <v>36</v>
      </c>
      <c r="G2136" s="29">
        <v>491.87</v>
      </c>
      <c r="H2136" s="71" t="s">
        <v>3352</v>
      </c>
      <c r="I2136" s="37" t="s">
        <v>3353</v>
      </c>
    </row>
    <row r="2137" spans="1:9" x14ac:dyDescent="0.25">
      <c r="A2137" s="29" t="s">
        <v>20</v>
      </c>
      <c r="B2137" s="29" t="s">
        <v>139</v>
      </c>
      <c r="C2137" s="29" t="s">
        <v>34</v>
      </c>
      <c r="D2137" s="37" t="s">
        <v>1618</v>
      </c>
      <c r="E2137" s="29" t="s">
        <v>137</v>
      </c>
      <c r="F2137" s="29" t="s">
        <v>36</v>
      </c>
      <c r="G2137" s="29">
        <v>378.36</v>
      </c>
      <c r="H2137" s="71" t="s">
        <v>3352</v>
      </c>
      <c r="I2137" s="37" t="s">
        <v>3353</v>
      </c>
    </row>
    <row r="2138" spans="1:9" x14ac:dyDescent="0.25">
      <c r="A2138" s="29" t="s">
        <v>131</v>
      </c>
      <c r="B2138" s="29" t="s">
        <v>46</v>
      </c>
      <c r="C2138" s="29" t="s">
        <v>34</v>
      </c>
      <c r="D2138" s="37" t="s">
        <v>1106</v>
      </c>
      <c r="E2138" s="29" t="s">
        <v>550</v>
      </c>
      <c r="F2138" s="29" t="s">
        <v>36</v>
      </c>
      <c r="G2138" s="29">
        <v>0.23</v>
      </c>
      <c r="H2138" s="71" t="s">
        <v>549</v>
      </c>
      <c r="I2138" s="37" t="str">
        <f>"https://www.bassottosuprimentos.com.br/arruela-lisa-m10-inox-aisi-304-a2"</f>
        <v>https://www.bassottosuprimentos.com.br/arruela-lisa-m10-inox-aisi-304-a2</v>
      </c>
    </row>
    <row r="2139" spans="1:9" x14ac:dyDescent="0.25">
      <c r="A2139" s="29" t="s">
        <v>131</v>
      </c>
      <c r="B2139" s="29" t="s">
        <v>46</v>
      </c>
      <c r="C2139" s="29" t="s">
        <v>34</v>
      </c>
      <c r="D2139" s="37" t="s">
        <v>1107</v>
      </c>
      <c r="E2139" s="29" t="s">
        <v>550</v>
      </c>
      <c r="F2139" s="29" t="s">
        <v>36</v>
      </c>
      <c r="G2139" s="29">
        <v>0.44</v>
      </c>
      <c r="H2139" s="71" t="s">
        <v>549</v>
      </c>
      <c r="I2139" s="37" t="str">
        <f>"https://www.bassottosuprimentos.com.br/arruela-lisa-m12-inox-aisi-304-a2"</f>
        <v>https://www.bassottosuprimentos.com.br/arruela-lisa-m12-inox-aisi-304-a2</v>
      </c>
    </row>
    <row r="2140" spans="1:9" x14ac:dyDescent="0.25">
      <c r="A2140" s="29" t="s">
        <v>131</v>
      </c>
      <c r="B2140" s="29" t="s">
        <v>46</v>
      </c>
      <c r="C2140" s="29" t="s">
        <v>34</v>
      </c>
      <c r="D2140" s="37" t="s">
        <v>1108</v>
      </c>
      <c r="E2140" s="29" t="s">
        <v>550</v>
      </c>
      <c r="F2140" s="29" t="s">
        <v>36</v>
      </c>
      <c r="G2140" s="29">
        <v>0.08</v>
      </c>
      <c r="H2140" s="71" t="s">
        <v>549</v>
      </c>
      <c r="I2140" s="37" t="str">
        <f>"https://www.bassottosuprimentos.com.br/arruela-lisa-m6-inox-aisi-304-a2"</f>
        <v>https://www.bassottosuprimentos.com.br/arruela-lisa-m6-inox-aisi-304-a2</v>
      </c>
    </row>
    <row r="2141" spans="1:9" x14ac:dyDescent="0.25">
      <c r="A2141" s="29" t="s">
        <v>131</v>
      </c>
      <c r="B2141" s="29" t="s">
        <v>46</v>
      </c>
      <c r="C2141" s="29" t="s">
        <v>34</v>
      </c>
      <c r="D2141" s="37" t="s">
        <v>1109</v>
      </c>
      <c r="E2141" s="29" t="s">
        <v>550</v>
      </c>
      <c r="F2141" s="29" t="s">
        <v>36</v>
      </c>
      <c r="G2141" s="29">
        <v>0.12</v>
      </c>
      <c r="H2141" s="71" t="s">
        <v>549</v>
      </c>
      <c r="I2141" s="37" t="str">
        <f>"https://www.bassottosuprimentos.com.br/arruela-lisa-m8-inox-aisi-304-a2"</f>
        <v>https://www.bassottosuprimentos.com.br/arruela-lisa-m8-inox-aisi-304-a2</v>
      </c>
    </row>
    <row r="2142" spans="1:9" x14ac:dyDescent="0.25">
      <c r="A2142" s="29" t="s">
        <v>131</v>
      </c>
      <c r="B2142" s="29" t="s">
        <v>46</v>
      </c>
      <c r="C2142" s="29" t="s">
        <v>34</v>
      </c>
      <c r="D2142" s="37" t="s">
        <v>1619</v>
      </c>
      <c r="E2142" s="29" t="s">
        <v>550</v>
      </c>
      <c r="F2142" s="29" t="s">
        <v>36</v>
      </c>
      <c r="G2142" s="29">
        <v>0.84</v>
      </c>
      <c r="H2142" s="71" t="s">
        <v>549</v>
      </c>
      <c r="I2142" s="37" t="str">
        <f>"https://www.bassottosuprimentos.com.br/arruela-lisa-m10-aba-larga-inox-aisi-304-a2"</f>
        <v>https://www.bassottosuprimentos.com.br/arruela-lisa-m10-aba-larga-inox-aisi-304-a2</v>
      </c>
    </row>
    <row r="2143" spans="1:9" x14ac:dyDescent="0.25">
      <c r="A2143" s="29" t="s">
        <v>131</v>
      </c>
      <c r="B2143" s="29" t="s">
        <v>46</v>
      </c>
      <c r="C2143" s="29" t="s">
        <v>34</v>
      </c>
      <c r="D2143" s="37" t="s">
        <v>1620</v>
      </c>
      <c r="E2143" s="29" t="s">
        <v>37</v>
      </c>
      <c r="F2143" s="29" t="s">
        <v>36</v>
      </c>
      <c r="I2143" s="37" t="s">
        <v>37</v>
      </c>
    </row>
    <row r="2144" spans="1:9" x14ac:dyDescent="0.25">
      <c r="A2144" s="29" t="s">
        <v>131</v>
      </c>
      <c r="B2144" s="29" t="s">
        <v>46</v>
      </c>
      <c r="C2144" s="29" t="s">
        <v>34</v>
      </c>
      <c r="D2144" s="37" t="s">
        <v>1621</v>
      </c>
      <c r="E2144" s="29" t="s">
        <v>550</v>
      </c>
      <c r="F2144" s="29" t="s">
        <v>36</v>
      </c>
      <c r="G2144" s="29">
        <v>0.18</v>
      </c>
      <c r="H2144" s="71" t="s">
        <v>549</v>
      </c>
      <c r="I2144" s="37" t="str">
        <f>"https://www.bassottosuprimentos.com.br/arruela-lisa-m6-aba-larga-inox-aisi-304-a2"</f>
        <v>https://www.bassottosuprimentos.com.br/arruela-lisa-m6-aba-larga-inox-aisi-304-a2</v>
      </c>
    </row>
    <row r="2145" spans="1:9" x14ac:dyDescent="0.25">
      <c r="A2145" s="29" t="s">
        <v>131</v>
      </c>
      <c r="B2145" s="29" t="s">
        <v>46</v>
      </c>
      <c r="C2145" s="29" t="s">
        <v>34</v>
      </c>
      <c r="D2145" s="37" t="s">
        <v>1622</v>
      </c>
      <c r="E2145" s="29" t="s">
        <v>550</v>
      </c>
      <c r="F2145" s="29" t="s">
        <v>36</v>
      </c>
      <c r="G2145" s="29">
        <v>0.38</v>
      </c>
      <c r="H2145" s="71" t="s">
        <v>549</v>
      </c>
      <c r="I2145" s="37" t="str">
        <f>"https://www.bassottosuprimentos.com.br/arruela-lisa-m8-aba-larga-inox-aisi-304-a2"</f>
        <v>https://www.bassottosuprimentos.com.br/arruela-lisa-m8-aba-larga-inox-aisi-304-a2</v>
      </c>
    </row>
    <row r="2146" spans="1:9" x14ac:dyDescent="0.25">
      <c r="A2146" s="29" t="s">
        <v>131</v>
      </c>
      <c r="B2146" s="29" t="s">
        <v>46</v>
      </c>
      <c r="C2146" s="29" t="s">
        <v>34</v>
      </c>
      <c r="D2146" s="37" t="s">
        <v>1623</v>
      </c>
      <c r="E2146" s="29" t="s">
        <v>550</v>
      </c>
      <c r="F2146" s="29" t="s">
        <v>36</v>
      </c>
      <c r="G2146" s="29">
        <v>0.19</v>
      </c>
      <c r="H2146" s="71" t="s">
        <v>549</v>
      </c>
      <c r="I2146" s="37" t="str">
        <f>"https://www.bassottosuprimentos.com.br/arruela-de-pressao-m10-inox-aisi-304-a2"</f>
        <v>https://www.bassottosuprimentos.com.br/arruela-de-pressao-m10-inox-aisi-304-a2</v>
      </c>
    </row>
    <row r="2147" spans="1:9" x14ac:dyDescent="0.25">
      <c r="A2147" s="29" t="s">
        <v>131</v>
      </c>
      <c r="B2147" s="29" t="s">
        <v>46</v>
      </c>
      <c r="C2147" s="29" t="s">
        <v>34</v>
      </c>
      <c r="D2147" s="37" t="s">
        <v>1624</v>
      </c>
      <c r="E2147" s="29" t="s">
        <v>550</v>
      </c>
      <c r="F2147" s="29" t="s">
        <v>36</v>
      </c>
      <c r="G2147" s="29">
        <v>0.35</v>
      </c>
      <c r="H2147" s="71" t="s">
        <v>549</v>
      </c>
      <c r="I2147" s="37" t="str">
        <f>"https://www.bassottosuprimentos.com.br/arruela-de-pressao-m12-inox-aisi-304-a2"</f>
        <v>https://www.bassottosuprimentos.com.br/arruela-de-pressao-m12-inox-aisi-304-a2</v>
      </c>
    </row>
    <row r="2148" spans="1:9" x14ac:dyDescent="0.25">
      <c r="A2148" s="29" t="s">
        <v>131</v>
      </c>
      <c r="B2148" s="29" t="s">
        <v>46</v>
      </c>
      <c r="C2148" s="29" t="s">
        <v>34</v>
      </c>
      <c r="D2148" s="37" t="s">
        <v>1625</v>
      </c>
      <c r="E2148" s="29" t="s">
        <v>550</v>
      </c>
      <c r="F2148" s="29" t="s">
        <v>36</v>
      </c>
      <c r="G2148" s="29">
        <v>7.0000000000000007E-2</v>
      </c>
      <c r="H2148" s="71" t="s">
        <v>549</v>
      </c>
      <c r="I2148" s="37" t="str">
        <f>"https://www.bassottosuprimentos.com.br/arruela-de-pressao-m6-inox-aisi-304-a2"</f>
        <v>https://www.bassottosuprimentos.com.br/arruela-de-pressao-m6-inox-aisi-304-a2</v>
      </c>
    </row>
    <row r="2149" spans="1:9" x14ac:dyDescent="0.25">
      <c r="A2149" s="29" t="s">
        <v>131</v>
      </c>
      <c r="B2149" s="29" t="s">
        <v>46</v>
      </c>
      <c r="C2149" s="29" t="s">
        <v>34</v>
      </c>
      <c r="D2149" s="37" t="s">
        <v>1626</v>
      </c>
      <c r="E2149" s="29" t="s">
        <v>550</v>
      </c>
      <c r="F2149" s="29" t="s">
        <v>36</v>
      </c>
      <c r="G2149" s="29">
        <v>0.12</v>
      </c>
      <c r="H2149" s="71" t="s">
        <v>549</v>
      </c>
      <c r="I2149" s="37" t="str">
        <f>"https://www.bassottosuprimentos.com.br/arruela-de-pressao-m8-inox-aisi-304-a2"</f>
        <v>https://www.bassottosuprimentos.com.br/arruela-de-pressao-m8-inox-aisi-304-a2</v>
      </c>
    </row>
    <row r="2150" spans="1:9" x14ac:dyDescent="0.25">
      <c r="A2150" s="29" t="s">
        <v>131</v>
      </c>
      <c r="B2150" s="29" t="s">
        <v>46</v>
      </c>
      <c r="C2150" s="29" t="s">
        <v>34</v>
      </c>
      <c r="D2150" s="37" t="s">
        <v>1627</v>
      </c>
      <c r="E2150" s="29" t="s">
        <v>37</v>
      </c>
      <c r="F2150" s="29" t="s">
        <v>36</v>
      </c>
      <c r="I2150" s="37" t="s">
        <v>37</v>
      </c>
    </row>
    <row r="2151" spans="1:9" x14ac:dyDescent="0.25">
      <c r="A2151" s="29" t="s">
        <v>131</v>
      </c>
      <c r="B2151" s="29" t="s">
        <v>46</v>
      </c>
      <c r="C2151" s="29" t="s">
        <v>34</v>
      </c>
      <c r="D2151" s="37" t="s">
        <v>1628</v>
      </c>
      <c r="E2151" s="29" t="s">
        <v>550</v>
      </c>
      <c r="F2151" s="29" t="s">
        <v>36</v>
      </c>
      <c r="G2151" s="29">
        <v>0.25</v>
      </c>
      <c r="H2151" s="71" t="s">
        <v>549</v>
      </c>
      <c r="I2151" s="37" t="str">
        <f>"https://www.bassottosuprimentos.com.br/arruela-de-pressao-12-aco-polido"</f>
        <v>https://www.bassottosuprimentos.com.br/arruela-de-pressao-12-aco-polido</v>
      </c>
    </row>
    <row r="2152" spans="1:9" x14ac:dyDescent="0.25">
      <c r="A2152" s="29" t="s">
        <v>131</v>
      </c>
      <c r="B2152" s="29" t="s">
        <v>46</v>
      </c>
      <c r="C2152" s="29" t="s">
        <v>34</v>
      </c>
      <c r="D2152" s="37" t="s">
        <v>1629</v>
      </c>
      <c r="E2152" s="29" t="s">
        <v>550</v>
      </c>
      <c r="F2152" s="29" t="s">
        <v>36</v>
      </c>
      <c r="G2152" s="29">
        <v>0.05</v>
      </c>
      <c r="H2152" s="71" t="s">
        <v>549</v>
      </c>
      <c r="I2152" s="37" t="str">
        <f>"https://www.bassottosuprimentos.com.br/arruela-de-pressao-m6-aco-polido"</f>
        <v>https://www.bassottosuprimentos.com.br/arruela-de-pressao-m6-aco-polido</v>
      </c>
    </row>
    <row r="2153" spans="1:9" x14ac:dyDescent="0.25">
      <c r="A2153" s="29" t="s">
        <v>131</v>
      </c>
      <c r="B2153" s="29" t="s">
        <v>46</v>
      </c>
      <c r="C2153" s="29" t="s">
        <v>34</v>
      </c>
      <c r="D2153" s="37" t="s">
        <v>1630</v>
      </c>
      <c r="E2153" s="29" t="s">
        <v>551</v>
      </c>
      <c r="F2153" s="29" t="s">
        <v>36</v>
      </c>
      <c r="G2153" s="29">
        <v>0.05</v>
      </c>
      <c r="H2153" s="71" t="s">
        <v>549</v>
      </c>
      <c r="I2153" s="37" t="str">
        <f>"https://www.bassottosuprimentos.com.br/arruela-pressao-m8-pol"</f>
        <v>https://www.bassottosuprimentos.com.br/arruela-pressao-m8-pol</v>
      </c>
    </row>
    <row r="2154" spans="1:9" x14ac:dyDescent="0.25">
      <c r="A2154" s="29" t="s">
        <v>131</v>
      </c>
      <c r="B2154" s="29" t="s">
        <v>46</v>
      </c>
      <c r="C2154" s="29" t="s">
        <v>34</v>
      </c>
      <c r="D2154" s="37" t="s">
        <v>1631</v>
      </c>
      <c r="E2154" s="29" t="s">
        <v>550</v>
      </c>
      <c r="F2154" s="29" t="s">
        <v>36</v>
      </c>
      <c r="G2154" s="29">
        <v>7.0000000000000007E-2</v>
      </c>
      <c r="H2154" s="71" t="s">
        <v>549</v>
      </c>
      <c r="I2154" s="37" t="str">
        <f>"https://www.bassottosuprimentos.com.br/arruela-de-pressao-m10-zincado-branco"</f>
        <v>https://www.bassottosuprimentos.com.br/arruela-de-pressao-m10-zincado-branco</v>
      </c>
    </row>
    <row r="2155" spans="1:9" x14ac:dyDescent="0.25">
      <c r="A2155" s="29" t="s">
        <v>131</v>
      </c>
      <c r="B2155" s="29" t="s">
        <v>46</v>
      </c>
      <c r="C2155" s="29" t="s">
        <v>34</v>
      </c>
      <c r="D2155" s="37" t="s">
        <v>1632</v>
      </c>
      <c r="E2155" s="29" t="s">
        <v>550</v>
      </c>
      <c r="F2155" s="29" t="s">
        <v>36</v>
      </c>
      <c r="G2155" s="29">
        <v>0.14000000000000001</v>
      </c>
      <c r="H2155" s="71" t="s">
        <v>549</v>
      </c>
      <c r="I2155" s="37" t="str">
        <f>"https://www.bassottosuprimentos.com.br/arruela-de-pressao-m12-zincado-branco"</f>
        <v>https://www.bassottosuprimentos.com.br/arruela-de-pressao-m12-zincado-branco</v>
      </c>
    </row>
    <row r="2156" spans="1:9" x14ac:dyDescent="0.25">
      <c r="A2156" s="29" t="s">
        <v>131</v>
      </c>
      <c r="B2156" s="29" t="s">
        <v>46</v>
      </c>
      <c r="C2156" s="29" t="s">
        <v>34</v>
      </c>
      <c r="D2156" s="37" t="s">
        <v>1633</v>
      </c>
      <c r="E2156" s="29" t="s">
        <v>550</v>
      </c>
      <c r="F2156" s="29" t="s">
        <v>36</v>
      </c>
      <c r="G2156" s="29">
        <v>0.08</v>
      </c>
      <c r="H2156" s="71" t="s">
        <v>549</v>
      </c>
      <c r="I2156" s="37" t="str">
        <f>"https://www.bassottosuprimentos.com.br/arruela-de-pressao-m6-zincado-branco"</f>
        <v>https://www.bassottosuprimentos.com.br/arruela-de-pressao-m6-zincado-branco</v>
      </c>
    </row>
    <row r="2157" spans="1:9" x14ac:dyDescent="0.25">
      <c r="A2157" s="29" t="s">
        <v>131</v>
      </c>
      <c r="B2157" s="29" t="s">
        <v>46</v>
      </c>
      <c r="C2157" s="29" t="s">
        <v>34</v>
      </c>
      <c r="D2157" s="37" t="s">
        <v>1634</v>
      </c>
      <c r="E2157" s="29" t="s">
        <v>550</v>
      </c>
      <c r="F2157" s="29" t="s">
        <v>36</v>
      </c>
      <c r="G2157" s="29">
        <v>0.06</v>
      </c>
      <c r="H2157" s="71" t="s">
        <v>549</v>
      </c>
      <c r="I2157" s="37" t="str">
        <f>"https://www.bassottosuprimentos.com.br/arruela-de-pressao-m8-zincado-branco"</f>
        <v>https://www.bassottosuprimentos.com.br/arruela-de-pressao-m8-zincado-branco</v>
      </c>
    </row>
    <row r="2158" spans="1:9" x14ac:dyDescent="0.25">
      <c r="A2158" s="29" t="s">
        <v>131</v>
      </c>
      <c r="B2158" s="29" t="s">
        <v>46</v>
      </c>
      <c r="C2158" s="29" t="s">
        <v>34</v>
      </c>
      <c r="D2158" s="37" t="s">
        <v>1635</v>
      </c>
      <c r="E2158" s="29" t="s">
        <v>551</v>
      </c>
      <c r="F2158" s="29" t="s">
        <v>36</v>
      </c>
      <c r="G2158" s="29">
        <v>0.14000000000000001</v>
      </c>
      <c r="H2158" s="71" t="s">
        <v>549</v>
      </c>
      <c r="I2158" s="37" t="str">
        <f>"https://www.bassottosuprimentos.com.br/arruela-dentada-conica-ref-410-m10"</f>
        <v>https://www.bassottosuprimentos.com.br/arruela-dentada-conica-ref-410-m10</v>
      </c>
    </row>
    <row r="2159" spans="1:9" x14ac:dyDescent="0.25">
      <c r="A2159" s="29" t="s">
        <v>131</v>
      </c>
      <c r="B2159" s="29" t="s">
        <v>46</v>
      </c>
      <c r="C2159" s="29" t="s">
        <v>34</v>
      </c>
      <c r="D2159" s="37" t="s">
        <v>1636</v>
      </c>
      <c r="E2159" s="29" t="s">
        <v>551</v>
      </c>
      <c r="F2159" s="29" t="s">
        <v>36</v>
      </c>
      <c r="G2159" s="29">
        <v>0.18</v>
      </c>
      <c r="H2159" s="71" t="s">
        <v>549</v>
      </c>
      <c r="I2159" s="37" t="str">
        <f>"https://www.bassottosuprimentos.com.br/arruela-dentada-conica-ref-410-m12"</f>
        <v>https://www.bassottosuprimentos.com.br/arruela-dentada-conica-ref-410-m12</v>
      </c>
    </row>
    <row r="2160" spans="1:9" x14ac:dyDescent="0.25">
      <c r="A2160" s="29" t="s">
        <v>131</v>
      </c>
      <c r="B2160" s="29" t="s">
        <v>46</v>
      </c>
      <c r="C2160" s="29" t="s">
        <v>34</v>
      </c>
      <c r="D2160" s="37" t="s">
        <v>1637</v>
      </c>
      <c r="E2160" s="29" t="s">
        <v>551</v>
      </c>
      <c r="F2160" s="29" t="s">
        <v>36</v>
      </c>
      <c r="G2160" s="29">
        <v>0.16</v>
      </c>
      <c r="H2160" s="71" t="s">
        <v>549</v>
      </c>
      <c r="I2160" s="37" t="str">
        <f>"https://www.bassottosuprimentos.com.br/arruela-dentada-conica-ref-410-m6"</f>
        <v>https://www.bassottosuprimentos.com.br/arruela-dentada-conica-ref-410-m6</v>
      </c>
    </row>
    <row r="2161" spans="1:9" x14ac:dyDescent="0.25">
      <c r="A2161" s="29" t="s">
        <v>131</v>
      </c>
      <c r="B2161" s="29" t="s">
        <v>46</v>
      </c>
      <c r="C2161" s="29" t="s">
        <v>34</v>
      </c>
      <c r="D2161" s="37" t="s">
        <v>1638</v>
      </c>
      <c r="E2161" s="29" t="s">
        <v>551</v>
      </c>
      <c r="F2161" s="29" t="s">
        <v>36</v>
      </c>
      <c r="G2161" s="29">
        <v>0.1</v>
      </c>
      <c r="H2161" s="71" t="s">
        <v>549</v>
      </c>
      <c r="I2161" s="37" t="str">
        <f>"https://www.bassottosuprimentos.com.br/arruela-dentada-conica-ref-410-m8"</f>
        <v>https://www.bassottosuprimentos.com.br/arruela-dentada-conica-ref-410-m8</v>
      </c>
    </row>
    <row r="2162" spans="1:9" x14ac:dyDescent="0.25">
      <c r="A2162" s="29" t="s">
        <v>131</v>
      </c>
      <c r="B2162" s="29" t="s">
        <v>46</v>
      </c>
      <c r="C2162" s="29">
        <v>13348</v>
      </c>
      <c r="D2162" s="37" t="s">
        <v>2037</v>
      </c>
      <c r="E2162" s="29" t="s">
        <v>37</v>
      </c>
      <c r="F2162" s="29" t="s">
        <v>36</v>
      </c>
      <c r="G2162" s="29">
        <v>1.63</v>
      </c>
      <c r="H2162" s="71" t="s">
        <v>38</v>
      </c>
      <c r="I2162" s="37" t="s">
        <v>207</v>
      </c>
    </row>
    <row r="2163" spans="1:9" x14ac:dyDescent="0.25">
      <c r="A2163" s="29" t="s">
        <v>131</v>
      </c>
      <c r="B2163" s="29" t="s">
        <v>46</v>
      </c>
      <c r="C2163" s="29">
        <v>39212</v>
      </c>
      <c r="D2163" s="37" t="s">
        <v>2038</v>
      </c>
      <c r="E2163" s="29" t="s">
        <v>37</v>
      </c>
      <c r="F2163" s="29" t="s">
        <v>36</v>
      </c>
      <c r="G2163" s="29">
        <v>1.94</v>
      </c>
      <c r="H2163" s="71" t="s">
        <v>38</v>
      </c>
      <c r="I2163" s="37" t="s">
        <v>207</v>
      </c>
    </row>
    <row r="2164" spans="1:9" x14ac:dyDescent="0.25">
      <c r="A2164" s="29" t="s">
        <v>131</v>
      </c>
      <c r="B2164" s="29" t="s">
        <v>46</v>
      </c>
      <c r="C2164" s="29">
        <v>39211</v>
      </c>
      <c r="D2164" s="37" t="s">
        <v>2039</v>
      </c>
      <c r="E2164" s="29" t="s">
        <v>37</v>
      </c>
      <c r="F2164" s="29" t="s">
        <v>36</v>
      </c>
      <c r="G2164" s="29">
        <v>1.74</v>
      </c>
      <c r="H2164" s="71" t="s">
        <v>38</v>
      </c>
      <c r="I2164" s="37" t="s">
        <v>207</v>
      </c>
    </row>
    <row r="2165" spans="1:9" x14ac:dyDescent="0.25">
      <c r="A2165" s="29" t="s">
        <v>131</v>
      </c>
      <c r="B2165" s="29" t="s">
        <v>46</v>
      </c>
      <c r="C2165" s="29">
        <v>39210</v>
      </c>
      <c r="D2165" s="37" t="s">
        <v>2040</v>
      </c>
      <c r="E2165" s="29" t="s">
        <v>37</v>
      </c>
      <c r="F2165" s="29" t="s">
        <v>36</v>
      </c>
      <c r="G2165" s="29">
        <v>0.98</v>
      </c>
      <c r="H2165" s="71" t="s">
        <v>38</v>
      </c>
      <c r="I2165" s="37" t="s">
        <v>207</v>
      </c>
    </row>
    <row r="2166" spans="1:9" x14ac:dyDescent="0.25">
      <c r="A2166" s="29" t="s">
        <v>131</v>
      </c>
      <c r="B2166" s="29" t="s">
        <v>46</v>
      </c>
      <c r="C2166" s="29">
        <v>39208</v>
      </c>
      <c r="D2166" s="37" t="s">
        <v>2041</v>
      </c>
      <c r="E2166" s="29" t="s">
        <v>37</v>
      </c>
      <c r="F2166" s="29" t="s">
        <v>36</v>
      </c>
      <c r="G2166" s="29">
        <v>0.53</v>
      </c>
      <c r="H2166" s="71" t="s">
        <v>38</v>
      </c>
      <c r="I2166" s="37" t="s">
        <v>207</v>
      </c>
    </row>
    <row r="2167" spans="1:9" x14ac:dyDescent="0.25">
      <c r="A2167" s="29" t="s">
        <v>131</v>
      </c>
      <c r="B2167" s="29" t="s">
        <v>46</v>
      </c>
      <c r="C2167" s="29">
        <v>39214</v>
      </c>
      <c r="D2167" s="37" t="s">
        <v>2042</v>
      </c>
      <c r="E2167" s="29" t="s">
        <v>37</v>
      </c>
      <c r="F2167" s="29" t="s">
        <v>36</v>
      </c>
      <c r="G2167" s="29">
        <v>3.6</v>
      </c>
      <c r="H2167" s="71" t="s">
        <v>38</v>
      </c>
      <c r="I2167" s="37" t="s">
        <v>207</v>
      </c>
    </row>
    <row r="2168" spans="1:9" x14ac:dyDescent="0.25">
      <c r="A2168" s="29" t="s">
        <v>131</v>
      </c>
      <c r="B2168" s="29" t="s">
        <v>46</v>
      </c>
      <c r="C2168" s="29">
        <v>39213</v>
      </c>
      <c r="D2168" s="37" t="s">
        <v>2043</v>
      </c>
      <c r="E2168" s="29" t="s">
        <v>37</v>
      </c>
      <c r="F2168" s="29" t="s">
        <v>36</v>
      </c>
      <c r="G2168" s="29">
        <v>2.5499999999999998</v>
      </c>
      <c r="H2168" s="71" t="s">
        <v>38</v>
      </c>
      <c r="I2168" s="37" t="s">
        <v>207</v>
      </c>
    </row>
    <row r="2169" spans="1:9" x14ac:dyDescent="0.25">
      <c r="A2169" s="29" t="s">
        <v>131</v>
      </c>
      <c r="B2169" s="29" t="s">
        <v>46</v>
      </c>
      <c r="C2169" s="29">
        <v>39215</v>
      </c>
      <c r="D2169" s="37" t="s">
        <v>2044</v>
      </c>
      <c r="E2169" s="29" t="s">
        <v>37</v>
      </c>
      <c r="F2169" s="29" t="s">
        <v>36</v>
      </c>
      <c r="G2169" s="29">
        <v>6.57</v>
      </c>
      <c r="H2169" s="71" t="s">
        <v>38</v>
      </c>
      <c r="I2169" s="37" t="s">
        <v>207</v>
      </c>
    </row>
    <row r="2170" spans="1:9" x14ac:dyDescent="0.25">
      <c r="A2170" s="29" t="s">
        <v>131</v>
      </c>
      <c r="B2170" s="29" t="s">
        <v>46</v>
      </c>
      <c r="C2170" s="29">
        <v>39209</v>
      </c>
      <c r="D2170" s="37" t="s">
        <v>2045</v>
      </c>
      <c r="E2170" s="29" t="s">
        <v>37</v>
      </c>
      <c r="F2170" s="29" t="s">
        <v>36</v>
      </c>
      <c r="G2170" s="29">
        <v>0.63</v>
      </c>
      <c r="H2170" s="71" t="s">
        <v>38</v>
      </c>
      <c r="I2170" s="37" t="s">
        <v>207</v>
      </c>
    </row>
    <row r="2171" spans="1:9" x14ac:dyDescent="0.25">
      <c r="A2171" s="29" t="s">
        <v>131</v>
      </c>
      <c r="B2171" s="29" t="s">
        <v>46</v>
      </c>
      <c r="C2171" s="29">
        <v>39207</v>
      </c>
      <c r="D2171" s="37" t="s">
        <v>2046</v>
      </c>
      <c r="E2171" s="29" t="s">
        <v>37</v>
      </c>
      <c r="F2171" s="29" t="s">
        <v>36</v>
      </c>
      <c r="G2171" s="29">
        <v>0.98</v>
      </c>
      <c r="H2171" s="71" t="s">
        <v>38</v>
      </c>
      <c r="I2171" s="37" t="s">
        <v>207</v>
      </c>
    </row>
    <row r="2172" spans="1:9" x14ac:dyDescent="0.25">
      <c r="A2172" s="29" t="s">
        <v>131</v>
      </c>
      <c r="B2172" s="29" t="s">
        <v>46</v>
      </c>
      <c r="C2172" s="29">
        <v>39216</v>
      </c>
      <c r="D2172" s="37" t="s">
        <v>2047</v>
      </c>
      <c r="E2172" s="29" t="s">
        <v>37</v>
      </c>
      <c r="F2172" s="29" t="s">
        <v>36</v>
      </c>
      <c r="G2172" s="29">
        <v>9.16</v>
      </c>
      <c r="H2172" s="71" t="s">
        <v>38</v>
      </c>
      <c r="I2172" s="37" t="s">
        <v>207</v>
      </c>
    </row>
    <row r="2173" spans="1:9" x14ac:dyDescent="0.25">
      <c r="A2173" s="29" t="s">
        <v>131</v>
      </c>
      <c r="B2173" s="29" t="s">
        <v>46</v>
      </c>
      <c r="C2173" s="29" t="s">
        <v>34</v>
      </c>
      <c r="D2173" s="37" t="s">
        <v>1110</v>
      </c>
      <c r="E2173" s="29" t="s">
        <v>798</v>
      </c>
      <c r="F2173" s="29" t="s">
        <v>36</v>
      </c>
      <c r="G2173" s="29">
        <v>0.08</v>
      </c>
      <c r="H2173" s="71" t="s">
        <v>800</v>
      </c>
      <c r="I2173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174" spans="1:9" x14ac:dyDescent="0.25">
      <c r="A2174" s="29" t="s">
        <v>131</v>
      </c>
      <c r="B2174" s="29" t="s">
        <v>46</v>
      </c>
      <c r="C2174" s="29" t="s">
        <v>34</v>
      </c>
      <c r="D2174" s="37" t="s">
        <v>1111</v>
      </c>
      <c r="E2174" s="29" t="s">
        <v>798</v>
      </c>
      <c r="F2174" s="29" t="s">
        <v>36</v>
      </c>
      <c r="G2174" s="29">
        <v>0.16</v>
      </c>
      <c r="H2174" s="71" t="s">
        <v>800</v>
      </c>
      <c r="I2174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175" spans="1:9" x14ac:dyDescent="0.25">
      <c r="A2175" s="29" t="s">
        <v>131</v>
      </c>
      <c r="B2175" s="29" t="s">
        <v>46</v>
      </c>
      <c r="C2175" s="29" t="s">
        <v>34</v>
      </c>
      <c r="D2175" s="37" t="s">
        <v>1112</v>
      </c>
      <c r="E2175" s="29" t="s">
        <v>798</v>
      </c>
      <c r="F2175" s="29" t="s">
        <v>36</v>
      </c>
      <c r="G2175" s="29">
        <v>0.13</v>
      </c>
      <c r="H2175" s="71" t="s">
        <v>800</v>
      </c>
      <c r="I2175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176" spans="1:9" x14ac:dyDescent="0.25">
      <c r="A2176" s="29" t="s">
        <v>131</v>
      </c>
      <c r="B2176" s="29" t="s">
        <v>46</v>
      </c>
      <c r="C2176" s="29" t="s">
        <v>34</v>
      </c>
      <c r="D2176" s="37" t="s">
        <v>1113</v>
      </c>
      <c r="E2176" s="29" t="s">
        <v>550</v>
      </c>
      <c r="F2176" s="29" t="s">
        <v>36</v>
      </c>
      <c r="G2176" s="29">
        <v>0.34</v>
      </c>
      <c r="H2176" s="71" t="s">
        <v>549</v>
      </c>
      <c r="I2176" s="37" t="str">
        <f>"https://www.bassottosuprimentos.com.br/arruela-lisa-m10-aco-polido"</f>
        <v>https://www.bassottosuprimentos.com.br/arruela-lisa-m10-aco-polido</v>
      </c>
    </row>
    <row r="2177" spans="1:9" x14ac:dyDescent="0.25">
      <c r="A2177" s="29" t="s">
        <v>131</v>
      </c>
      <c r="B2177" s="29" t="s">
        <v>46</v>
      </c>
      <c r="C2177" s="29" t="s">
        <v>34</v>
      </c>
      <c r="D2177" s="37" t="s">
        <v>1114</v>
      </c>
      <c r="E2177" s="29" t="s">
        <v>550</v>
      </c>
      <c r="F2177" s="29" t="s">
        <v>36</v>
      </c>
      <c r="G2177" s="29">
        <v>0.56999999999999995</v>
      </c>
      <c r="H2177" s="71" t="s">
        <v>549</v>
      </c>
      <c r="I2177" s="37" t="str">
        <f>"https://www.bassottosuprimentos.com.br/arruela-lisa-m12-aco-polido"</f>
        <v>https://www.bassottosuprimentos.com.br/arruela-lisa-m12-aco-polido</v>
      </c>
    </row>
    <row r="2178" spans="1:9" x14ac:dyDescent="0.25">
      <c r="A2178" s="29" t="s">
        <v>131</v>
      </c>
      <c r="B2178" s="29" t="s">
        <v>46</v>
      </c>
      <c r="C2178" s="29" t="s">
        <v>34</v>
      </c>
      <c r="D2178" s="37" t="s">
        <v>1115</v>
      </c>
      <c r="E2178" s="29" t="s">
        <v>550</v>
      </c>
      <c r="F2178" s="29" t="s">
        <v>36</v>
      </c>
      <c r="G2178" s="29">
        <v>0.08</v>
      </c>
      <c r="H2178" s="71" t="s">
        <v>549</v>
      </c>
      <c r="I2178" s="37" t="str">
        <f>"https://www.bassottosuprimentos.com.br/arruela-lisa-14-aco-polido"</f>
        <v>https://www.bassottosuprimentos.com.br/arruela-lisa-14-aco-polido</v>
      </c>
    </row>
    <row r="2179" spans="1:9" x14ac:dyDescent="0.25">
      <c r="A2179" s="29" t="s">
        <v>131</v>
      </c>
      <c r="B2179" s="29" t="s">
        <v>46</v>
      </c>
      <c r="C2179" s="29" t="s">
        <v>34</v>
      </c>
      <c r="D2179" s="37" t="s">
        <v>1116</v>
      </c>
      <c r="E2179" s="29" t="s">
        <v>550</v>
      </c>
      <c r="F2179" s="29" t="s">
        <v>36</v>
      </c>
      <c r="G2179" s="29">
        <v>0.21</v>
      </c>
      <c r="H2179" s="71" t="s">
        <v>549</v>
      </c>
      <c r="I2179" s="37" t="str">
        <f>"https://www.bassottosuprimentos.com.br/arruela-lisa-m8-aco-polido"</f>
        <v>https://www.bassottosuprimentos.com.br/arruela-lisa-m8-aco-polido</v>
      </c>
    </row>
    <row r="2180" spans="1:9" x14ac:dyDescent="0.25">
      <c r="A2180" s="29" t="s">
        <v>131</v>
      </c>
      <c r="B2180" s="29" t="s">
        <v>46</v>
      </c>
      <c r="C2180" s="29" t="s">
        <v>34</v>
      </c>
      <c r="D2180" s="37" t="s">
        <v>1117</v>
      </c>
      <c r="E2180" s="29" t="s">
        <v>37</v>
      </c>
      <c r="F2180" s="29" t="s">
        <v>36</v>
      </c>
      <c r="I2180" s="37" t="s">
        <v>37</v>
      </c>
    </row>
    <row r="2181" spans="1:9" x14ac:dyDescent="0.25">
      <c r="A2181" s="29" t="s">
        <v>131</v>
      </c>
      <c r="B2181" s="29" t="s">
        <v>46</v>
      </c>
      <c r="C2181" s="29" t="s">
        <v>34</v>
      </c>
      <c r="D2181" s="37" t="s">
        <v>1118</v>
      </c>
      <c r="E2181" s="29" t="s">
        <v>37</v>
      </c>
      <c r="F2181" s="29" t="s">
        <v>36</v>
      </c>
      <c r="I2181" s="37" t="s">
        <v>37</v>
      </c>
    </row>
    <row r="2182" spans="1:9" x14ac:dyDescent="0.25">
      <c r="A2182" s="29" t="s">
        <v>131</v>
      </c>
      <c r="B2182" s="29" t="s">
        <v>46</v>
      </c>
      <c r="C2182" s="29" t="s">
        <v>34</v>
      </c>
      <c r="D2182" s="37" t="s">
        <v>1119</v>
      </c>
      <c r="E2182" s="29" t="s">
        <v>550</v>
      </c>
      <c r="F2182" s="29" t="s">
        <v>36</v>
      </c>
      <c r="G2182" s="29">
        <v>0.05</v>
      </c>
      <c r="H2182" s="71" t="s">
        <v>549</v>
      </c>
      <c r="I2182" s="37" t="str">
        <f>"https://www.bassottosuprimentos.com.br/arruela-lisa-m6-bicromatizado"</f>
        <v>https://www.bassottosuprimentos.com.br/arruela-lisa-m6-bicromatizado</v>
      </c>
    </row>
    <row r="2183" spans="1:9" x14ac:dyDescent="0.25">
      <c r="A2183" s="29" t="s">
        <v>131</v>
      </c>
      <c r="B2183" s="29" t="s">
        <v>46</v>
      </c>
      <c r="C2183" s="29" t="s">
        <v>34</v>
      </c>
      <c r="D2183" s="37" t="s">
        <v>1120</v>
      </c>
      <c r="E2183" s="29" t="s">
        <v>550</v>
      </c>
      <c r="F2183" s="29" t="s">
        <v>36</v>
      </c>
      <c r="G2183" s="29">
        <v>0.13</v>
      </c>
      <c r="H2183" s="71" t="s">
        <v>549</v>
      </c>
      <c r="I2183" s="37" t="str">
        <f>"https://www.bassottosuprimentos.com.br/arruela-lisa-m8-bicromatizado"</f>
        <v>https://www.bassottosuprimentos.com.br/arruela-lisa-m8-bicromatizado</v>
      </c>
    </row>
    <row r="2184" spans="1:9" x14ac:dyDescent="0.25">
      <c r="A2184" s="29" t="s">
        <v>131</v>
      </c>
      <c r="B2184" s="29" t="s">
        <v>46</v>
      </c>
      <c r="C2184" s="29" t="s">
        <v>34</v>
      </c>
      <c r="D2184" s="37" t="s">
        <v>1639</v>
      </c>
      <c r="E2184" s="29" t="s">
        <v>551</v>
      </c>
      <c r="F2184" s="29" t="s">
        <v>36</v>
      </c>
      <c r="G2184" s="29">
        <v>0.4</v>
      </c>
      <c r="H2184" s="71" t="s">
        <v>549</v>
      </c>
      <c r="I2184" s="37" t="str">
        <f>"https://www.bassottosuprimentos.com.br/arruela-lisa-m10-zb-aba-larga"</f>
        <v>https://www.bassottosuprimentos.com.br/arruela-lisa-m10-zb-aba-larga</v>
      </c>
    </row>
    <row r="2185" spans="1:9" x14ac:dyDescent="0.25">
      <c r="A2185" s="29" t="s">
        <v>131</v>
      </c>
      <c r="B2185" s="29" t="s">
        <v>46</v>
      </c>
      <c r="C2185" s="29" t="s">
        <v>34</v>
      </c>
      <c r="D2185" s="37" t="s">
        <v>1640</v>
      </c>
      <c r="E2185" s="29" t="s">
        <v>551</v>
      </c>
      <c r="F2185" s="29" t="s">
        <v>36</v>
      </c>
      <c r="G2185" s="29">
        <v>0.56999999999999995</v>
      </c>
      <c r="H2185" s="71" t="s">
        <v>549</v>
      </c>
      <c r="I2185" s="37" t="str">
        <f>"https://www.bassottosuprimentos.com.br/arruela-lisa-m12-zb-aba-larga"</f>
        <v>https://www.bassottosuprimentos.com.br/arruela-lisa-m12-zb-aba-larga</v>
      </c>
    </row>
    <row r="2186" spans="1:9" x14ac:dyDescent="0.25">
      <c r="A2186" s="29" t="s">
        <v>131</v>
      </c>
      <c r="B2186" s="29" t="s">
        <v>46</v>
      </c>
      <c r="C2186" s="29" t="s">
        <v>34</v>
      </c>
      <c r="D2186" s="37" t="s">
        <v>1641</v>
      </c>
      <c r="E2186" s="29" t="s">
        <v>551</v>
      </c>
      <c r="F2186" s="29" t="s">
        <v>36</v>
      </c>
      <c r="G2186" s="29">
        <v>0.13</v>
      </c>
      <c r="H2186" s="71" t="s">
        <v>549</v>
      </c>
      <c r="I2186" s="37" t="str">
        <f>"https://www.bassottosuprimentos.com.br/arruela-lisa-m6-zb-aba-larga"</f>
        <v>https://www.bassottosuprimentos.com.br/arruela-lisa-m6-zb-aba-larga</v>
      </c>
    </row>
    <row r="2187" spans="1:9" x14ac:dyDescent="0.25">
      <c r="A2187" s="29" t="s">
        <v>131</v>
      </c>
      <c r="B2187" s="29" t="s">
        <v>46</v>
      </c>
      <c r="C2187" s="29" t="s">
        <v>34</v>
      </c>
      <c r="D2187" s="37" t="s">
        <v>1642</v>
      </c>
      <c r="E2187" s="29" t="s">
        <v>550</v>
      </c>
      <c r="F2187" s="29" t="s">
        <v>36</v>
      </c>
      <c r="G2187" s="29">
        <v>0.25</v>
      </c>
      <c r="H2187" s="71" t="s">
        <v>549</v>
      </c>
      <c r="I2187" s="37" t="str">
        <f>"https://www.bassottosuprimentos.com.br/arruela-lisa-m8-aba-larga-zincado-branco"</f>
        <v>https://www.bassottosuprimentos.com.br/arruela-lisa-m8-aba-larga-zincado-branco</v>
      </c>
    </row>
    <row r="2188" spans="1:9" x14ac:dyDescent="0.25">
      <c r="A2188" s="29" t="s">
        <v>131</v>
      </c>
      <c r="B2188" s="29" t="s">
        <v>46</v>
      </c>
      <c r="C2188" s="29" t="s">
        <v>34</v>
      </c>
      <c r="D2188" s="37" t="s">
        <v>1121</v>
      </c>
      <c r="E2188" s="29" t="s">
        <v>550</v>
      </c>
      <c r="F2188" s="29" t="s">
        <v>36</v>
      </c>
      <c r="G2188" s="29">
        <v>0.11</v>
      </c>
      <c r="H2188" s="71" t="s">
        <v>549</v>
      </c>
      <c r="I2188" s="37" t="str">
        <f>"https://www.bassottosuprimentos.com.br/arruela-lisa-m10-zincado-branco"</f>
        <v>https://www.bassottosuprimentos.com.br/arruela-lisa-m10-zincado-branco</v>
      </c>
    </row>
    <row r="2189" spans="1:9" x14ac:dyDescent="0.25">
      <c r="A2189" s="29" t="s">
        <v>131</v>
      </c>
      <c r="B2189" s="29" t="s">
        <v>46</v>
      </c>
      <c r="C2189" s="29" t="s">
        <v>34</v>
      </c>
      <c r="D2189" s="37" t="s">
        <v>1122</v>
      </c>
      <c r="E2189" s="29" t="s">
        <v>550</v>
      </c>
      <c r="F2189" s="29" t="s">
        <v>36</v>
      </c>
      <c r="G2189" s="29">
        <v>0.23</v>
      </c>
      <c r="H2189" s="71" t="s">
        <v>549</v>
      </c>
      <c r="I2189" s="37" t="str">
        <f>"https://www.bassottosuprimentos.com.br/arruela-lisa-m12-zincado-branco"</f>
        <v>https://www.bassottosuprimentos.com.br/arruela-lisa-m12-zincado-branco</v>
      </c>
    </row>
    <row r="2190" spans="1:9" x14ac:dyDescent="0.25">
      <c r="A2190" s="29" t="s">
        <v>131</v>
      </c>
      <c r="B2190" s="29" t="s">
        <v>46</v>
      </c>
      <c r="C2190" s="29" t="s">
        <v>34</v>
      </c>
      <c r="D2190" s="37" t="s">
        <v>1123</v>
      </c>
      <c r="E2190" s="29" t="s">
        <v>550</v>
      </c>
      <c r="F2190" s="29" t="s">
        <v>36</v>
      </c>
      <c r="G2190" s="29">
        <v>0.05</v>
      </c>
      <c r="H2190" s="71" t="s">
        <v>549</v>
      </c>
      <c r="I2190" s="37" t="str">
        <f>"https://www.bassottosuprimentos.com.br/arruela-lisa-m6-zincado-branco"</f>
        <v>https://www.bassottosuprimentos.com.br/arruela-lisa-m6-zincado-branco</v>
      </c>
    </row>
    <row r="2191" spans="1:9" x14ac:dyDescent="0.25">
      <c r="A2191" s="29" t="s">
        <v>131</v>
      </c>
      <c r="B2191" s="29" t="s">
        <v>46</v>
      </c>
      <c r="C2191" s="29" t="s">
        <v>34</v>
      </c>
      <c r="D2191" s="37" t="s">
        <v>1124</v>
      </c>
      <c r="E2191" s="29" t="s">
        <v>550</v>
      </c>
      <c r="F2191" s="29" t="s">
        <v>36</v>
      </c>
      <c r="G2191" s="29">
        <v>0.09</v>
      </c>
      <c r="H2191" s="71" t="s">
        <v>549</v>
      </c>
      <c r="I2191" s="37" t="str">
        <f>"https://www.bassottosuprimentos.com.br/arruela-lisa-m8-zincado-branco"</f>
        <v>https://www.bassottosuprimentos.com.br/arruela-lisa-m8-zincado-branco</v>
      </c>
    </row>
    <row r="2192" spans="1:9" x14ac:dyDescent="0.25">
      <c r="A2192" s="29" t="s">
        <v>131</v>
      </c>
      <c r="B2192" s="29" t="s">
        <v>46</v>
      </c>
      <c r="C2192" s="29">
        <v>11267</v>
      </c>
      <c r="D2192" s="37" t="s">
        <v>1643</v>
      </c>
      <c r="E2192" s="29" t="s">
        <v>37</v>
      </c>
      <c r="F2192" s="29" t="s">
        <v>36</v>
      </c>
      <c r="G2192" s="29">
        <v>1.43</v>
      </c>
      <c r="H2192" s="71" t="s">
        <v>38</v>
      </c>
      <c r="I2192" s="37" t="s">
        <v>207</v>
      </c>
    </row>
    <row r="2193" spans="1:9" x14ac:dyDescent="0.25">
      <c r="A2193" s="29" t="s">
        <v>131</v>
      </c>
      <c r="B2193" s="29" t="s">
        <v>46</v>
      </c>
      <c r="C2193" s="29" t="s">
        <v>34</v>
      </c>
      <c r="D2193" s="37" t="s">
        <v>1644</v>
      </c>
      <c r="E2193" s="29" t="s">
        <v>37</v>
      </c>
      <c r="F2193" s="29" t="s">
        <v>36</v>
      </c>
      <c r="G2193" s="29">
        <v>6.55</v>
      </c>
      <c r="H2193" s="71" t="s">
        <v>740</v>
      </c>
      <c r="I2193" s="37" t="str">
        <f>"https://www.lojaeletrica.com.br/arruela-galvanizada-eletroduto-3-4-bsp.html"</f>
        <v>https://www.lojaeletrica.com.br/arruela-galvanizada-eletroduto-3-4-bsp.html</v>
      </c>
    </row>
    <row r="2194" spans="1:9" x14ac:dyDescent="0.25">
      <c r="A2194" s="29" t="s">
        <v>131</v>
      </c>
      <c r="B2194" s="29" t="s">
        <v>46</v>
      </c>
      <c r="C2194" s="29">
        <v>379</v>
      </c>
      <c r="D2194" s="37" t="s">
        <v>2048</v>
      </c>
      <c r="E2194" s="29" t="s">
        <v>37</v>
      </c>
      <c r="F2194" s="29" t="s">
        <v>36</v>
      </c>
      <c r="G2194" s="29">
        <v>1.43</v>
      </c>
      <c r="H2194" s="71" t="s">
        <v>38</v>
      </c>
      <c r="I2194" s="37" t="s">
        <v>207</v>
      </c>
    </row>
    <row r="2195" spans="1:9" x14ac:dyDescent="0.25">
      <c r="A2195" s="29" t="s">
        <v>131</v>
      </c>
      <c r="B2195" s="29" t="s">
        <v>46</v>
      </c>
      <c r="C2195" s="29" t="s">
        <v>34</v>
      </c>
      <c r="D2195" s="37" t="s">
        <v>1375</v>
      </c>
      <c r="E2195" s="29" t="s">
        <v>816</v>
      </c>
      <c r="F2195" s="29" t="s">
        <v>36</v>
      </c>
      <c r="G2195" s="29">
        <v>1</v>
      </c>
      <c r="H2195" s="71" t="s">
        <v>813</v>
      </c>
      <c r="I2195" s="37" t="str">
        <f>"https://www.leroymerlin.com.br/arruela-serrilhada-conica-10mm-aco-standers-10-pecas_92061473?referrer=category-page"</f>
        <v>https://www.leroymerlin.com.br/arruela-serrilhada-conica-10mm-aco-standers-10-pecas_92061473?referrer=category-page</v>
      </c>
    </row>
    <row r="2196" spans="1:9" x14ac:dyDescent="0.25">
      <c r="A2196" s="29" t="s">
        <v>131</v>
      </c>
      <c r="B2196" s="29" t="s">
        <v>46</v>
      </c>
      <c r="C2196" s="29" t="s">
        <v>34</v>
      </c>
      <c r="D2196" s="37" t="s">
        <v>1376</v>
      </c>
      <c r="E2196" s="29" t="s">
        <v>816</v>
      </c>
      <c r="F2196" s="29" t="s">
        <v>36</v>
      </c>
      <c r="I2196" s="37" t="s">
        <v>37</v>
      </c>
    </row>
    <row r="2197" spans="1:9" x14ac:dyDescent="0.25">
      <c r="A2197" s="29" t="s">
        <v>131</v>
      </c>
      <c r="B2197" s="29" t="s">
        <v>46</v>
      </c>
      <c r="C2197" s="29" t="s">
        <v>34</v>
      </c>
      <c r="D2197" s="37" t="s">
        <v>1377</v>
      </c>
      <c r="E2197" s="29" t="s">
        <v>816</v>
      </c>
      <c r="F2197" s="29" t="s">
        <v>36</v>
      </c>
      <c r="G2197" s="29">
        <v>0.25</v>
      </c>
      <c r="H2197" s="71" t="s">
        <v>813</v>
      </c>
      <c r="I2197" s="37" t="str">
        <f>"https://www.leroymerlin.com.br/arruela-serrilhada-conica-5mm-aco-standers-40-pecas_92061445?referrer=category-page"</f>
        <v>https://www.leroymerlin.com.br/arruela-serrilhada-conica-5mm-aco-standers-40-pecas_92061445?referrer=category-page</v>
      </c>
    </row>
    <row r="2198" spans="1:9" x14ac:dyDescent="0.25">
      <c r="A2198" s="29" t="s">
        <v>131</v>
      </c>
      <c r="B2198" s="29" t="s">
        <v>46</v>
      </c>
      <c r="C2198" s="29" t="s">
        <v>34</v>
      </c>
      <c r="D2198" s="37" t="s">
        <v>1378</v>
      </c>
      <c r="E2198" s="29" t="s">
        <v>816</v>
      </c>
      <c r="F2198" s="29" t="s">
        <v>36</v>
      </c>
      <c r="G2198" s="29">
        <v>0.34</v>
      </c>
      <c r="H2198" s="71" t="s">
        <v>813</v>
      </c>
      <c r="I2198" s="37" t="str">
        <f>"https://www.leroymerlin.com.br/arruela-serrilhada-conica-6mm-aco-standers-30-pecas_92061452?referrer=category-page"</f>
        <v>https://www.leroymerlin.com.br/arruela-serrilhada-conica-6mm-aco-standers-30-pecas_92061452?referrer=category-page</v>
      </c>
    </row>
    <row r="2199" spans="1:9" x14ac:dyDescent="0.25">
      <c r="A2199" s="29" t="s">
        <v>131</v>
      </c>
      <c r="B2199" s="29" t="s">
        <v>46</v>
      </c>
      <c r="C2199" s="29" t="s">
        <v>34</v>
      </c>
      <c r="D2199" s="37" t="s">
        <v>1379</v>
      </c>
      <c r="E2199" s="29" t="s">
        <v>816</v>
      </c>
      <c r="F2199" s="29" t="s">
        <v>36</v>
      </c>
      <c r="G2199" s="29">
        <v>0.67</v>
      </c>
      <c r="H2199" s="71" t="s">
        <v>813</v>
      </c>
      <c r="I2199" s="37" t="str">
        <f>"https://www.leroymerlin.com.br/arruela-serrilhada-conica-8mm-aco-standers-15-pecas_92061466?referrer=category-page"</f>
        <v>https://www.leroymerlin.com.br/arruela-serrilhada-conica-8mm-aco-standers-15-pecas_92061466?referrer=category-page</v>
      </c>
    </row>
    <row r="2200" spans="1:9" x14ac:dyDescent="0.25">
      <c r="A2200" s="29" t="s">
        <v>131</v>
      </c>
      <c r="B2200" s="29" t="s">
        <v>807</v>
      </c>
      <c r="C2200" s="29" t="s">
        <v>34</v>
      </c>
      <c r="D2200" s="37" t="s">
        <v>2979</v>
      </c>
      <c r="E2200" s="29" t="s">
        <v>798</v>
      </c>
      <c r="F2200" s="29" t="s">
        <v>36</v>
      </c>
      <c r="G2200" s="29">
        <v>1.8</v>
      </c>
      <c r="H2200" s="71" t="s">
        <v>800</v>
      </c>
      <c r="I2200" s="37" t="str">
        <f t="shared" ref="I2200:I2210" si="28">"https://www.infraeletrocalhas.com.br/fixacao.asp?produto=abracadeira-tirante-chumbador-arrruela-porca-parafuso"</f>
        <v>https://www.infraeletrocalhas.com.br/fixacao.asp?produto=abracadeira-tirante-chumbador-arrruela-porca-parafuso</v>
      </c>
    </row>
    <row r="2201" spans="1:9" x14ac:dyDescent="0.25">
      <c r="A2201" s="29" t="s">
        <v>131</v>
      </c>
      <c r="B2201" s="29" t="s">
        <v>807</v>
      </c>
      <c r="C2201" s="29" t="s">
        <v>34</v>
      </c>
      <c r="D2201" s="37" t="s">
        <v>2980</v>
      </c>
      <c r="E2201" s="29" t="s">
        <v>798</v>
      </c>
      <c r="F2201" s="29" t="s">
        <v>36</v>
      </c>
      <c r="G2201" s="29">
        <v>3.6</v>
      </c>
      <c r="H2201" s="71" t="s">
        <v>800</v>
      </c>
      <c r="I2201" s="37" t="str">
        <f t="shared" si="28"/>
        <v>https://www.infraeletrocalhas.com.br/fixacao.asp?produto=abracadeira-tirante-chumbador-arrruela-porca-parafuso</v>
      </c>
    </row>
    <row r="2202" spans="1:9" x14ac:dyDescent="0.25">
      <c r="A2202" s="29" t="s">
        <v>131</v>
      </c>
      <c r="B2202" s="29" t="s">
        <v>807</v>
      </c>
      <c r="C2202" s="29" t="s">
        <v>34</v>
      </c>
      <c r="D2202" s="37" t="s">
        <v>2981</v>
      </c>
      <c r="E2202" s="29" t="s">
        <v>798</v>
      </c>
      <c r="F2202" s="29" t="s">
        <v>36</v>
      </c>
      <c r="G2202" s="29">
        <v>2.8</v>
      </c>
      <c r="H2202" s="71" t="s">
        <v>800</v>
      </c>
      <c r="I2202" s="37" t="str">
        <f t="shared" si="28"/>
        <v>https://www.infraeletrocalhas.com.br/fixacao.asp?produto=abracadeira-tirante-chumbador-arrruela-porca-parafuso</v>
      </c>
    </row>
    <row r="2203" spans="1:9" x14ac:dyDescent="0.25">
      <c r="A2203" s="29" t="s">
        <v>131</v>
      </c>
      <c r="B2203" s="29" t="s">
        <v>808</v>
      </c>
      <c r="C2203" s="29" t="s">
        <v>34</v>
      </c>
      <c r="D2203" s="37" t="s">
        <v>2210</v>
      </c>
      <c r="E2203" s="29" t="s">
        <v>798</v>
      </c>
      <c r="F2203" s="29" t="s">
        <v>36</v>
      </c>
      <c r="G2203" s="29">
        <v>1.1000000000000001</v>
      </c>
      <c r="H2203" s="71" t="s">
        <v>800</v>
      </c>
      <c r="I2203" s="37" t="str">
        <f t="shared" si="28"/>
        <v>https://www.infraeletrocalhas.com.br/fixacao.asp?produto=abracadeira-tirante-chumbador-arrruela-porca-parafuso</v>
      </c>
    </row>
    <row r="2204" spans="1:9" x14ac:dyDescent="0.25">
      <c r="A2204" s="29" t="s">
        <v>131</v>
      </c>
      <c r="B2204" s="29" t="s">
        <v>808</v>
      </c>
      <c r="C2204" s="29" t="s">
        <v>34</v>
      </c>
      <c r="D2204" s="37" t="s">
        <v>2211</v>
      </c>
      <c r="E2204" s="29" t="s">
        <v>798</v>
      </c>
      <c r="F2204" s="29" t="s">
        <v>36</v>
      </c>
      <c r="G2204" s="29">
        <v>1.95</v>
      </c>
      <c r="H2204" s="71" t="s">
        <v>800</v>
      </c>
      <c r="I2204" s="37" t="str">
        <f t="shared" si="28"/>
        <v>https://www.infraeletrocalhas.com.br/fixacao.asp?produto=abracadeira-tirante-chumbador-arrruela-porca-parafuso</v>
      </c>
    </row>
    <row r="2205" spans="1:9" x14ac:dyDescent="0.25">
      <c r="A2205" s="29" t="s">
        <v>131</v>
      </c>
      <c r="B2205" s="29" t="s">
        <v>808</v>
      </c>
      <c r="C2205" s="29" t="s">
        <v>34</v>
      </c>
      <c r="D2205" s="37" t="s">
        <v>2212</v>
      </c>
      <c r="E2205" s="29" t="s">
        <v>798</v>
      </c>
      <c r="F2205" s="29" t="s">
        <v>36</v>
      </c>
      <c r="G2205" s="29">
        <v>1.4</v>
      </c>
      <c r="H2205" s="71" t="s">
        <v>800</v>
      </c>
      <c r="I2205" s="37" t="str">
        <f t="shared" si="28"/>
        <v>https://www.infraeletrocalhas.com.br/fixacao.asp?produto=abracadeira-tirante-chumbador-arrruela-porca-parafuso</v>
      </c>
    </row>
    <row r="2206" spans="1:9" x14ac:dyDescent="0.25">
      <c r="A2206" s="29" t="s">
        <v>131</v>
      </c>
      <c r="B2206" s="29" t="s">
        <v>92</v>
      </c>
      <c r="C2206" s="29" t="s">
        <v>34</v>
      </c>
      <c r="D2206" s="37" t="s">
        <v>1125</v>
      </c>
      <c r="E2206" s="29" t="s">
        <v>798</v>
      </c>
      <c r="F2206" s="29" t="s">
        <v>36</v>
      </c>
      <c r="G2206" s="29">
        <v>0.8</v>
      </c>
      <c r="H2206" s="71" t="s">
        <v>800</v>
      </c>
      <c r="I2206" s="37" t="str">
        <f t="shared" si="28"/>
        <v>https://www.infraeletrocalhas.com.br/fixacao.asp?produto=abracadeira-tirante-chumbador-arrruela-porca-parafuso</v>
      </c>
    </row>
    <row r="2207" spans="1:9" x14ac:dyDescent="0.25">
      <c r="A2207" s="29" t="s">
        <v>131</v>
      </c>
      <c r="B2207" s="29" t="s">
        <v>92</v>
      </c>
      <c r="C2207" s="29" t="s">
        <v>34</v>
      </c>
      <c r="D2207" s="37" t="s">
        <v>1126</v>
      </c>
      <c r="E2207" s="29" t="s">
        <v>798</v>
      </c>
      <c r="F2207" s="29" t="s">
        <v>36</v>
      </c>
      <c r="G2207" s="29">
        <v>0.4</v>
      </c>
      <c r="H2207" s="71" t="s">
        <v>800</v>
      </c>
      <c r="I2207" s="37" t="str">
        <f t="shared" si="28"/>
        <v>https://www.infraeletrocalhas.com.br/fixacao.asp?produto=abracadeira-tirante-chumbador-arrruela-porca-parafuso</v>
      </c>
    </row>
    <row r="2208" spans="1:9" x14ac:dyDescent="0.25">
      <c r="A2208" s="29" t="s">
        <v>131</v>
      </c>
      <c r="B2208" s="29" t="s">
        <v>92</v>
      </c>
      <c r="C2208" s="29" t="s">
        <v>34</v>
      </c>
      <c r="D2208" s="37" t="s">
        <v>1127</v>
      </c>
      <c r="E2208" s="29" t="s">
        <v>798</v>
      </c>
      <c r="F2208" s="29" t="s">
        <v>36</v>
      </c>
      <c r="G2208" s="29">
        <v>0.45</v>
      </c>
      <c r="H2208" s="71" t="s">
        <v>800</v>
      </c>
      <c r="I2208" s="37" t="str">
        <f t="shared" si="28"/>
        <v>https://www.infraeletrocalhas.com.br/fixacao.asp?produto=abracadeira-tirante-chumbador-arrruela-porca-parafuso</v>
      </c>
    </row>
    <row r="2209" spans="1:9" x14ac:dyDescent="0.25">
      <c r="A2209" s="29" t="s">
        <v>131</v>
      </c>
      <c r="B2209" s="29" t="s">
        <v>92</v>
      </c>
      <c r="C2209" s="29" t="s">
        <v>34</v>
      </c>
      <c r="D2209" s="37" t="s">
        <v>1128</v>
      </c>
      <c r="E2209" s="29" t="s">
        <v>798</v>
      </c>
      <c r="F2209" s="29" t="s">
        <v>36</v>
      </c>
      <c r="G2209" s="29">
        <v>0.55000000000000004</v>
      </c>
      <c r="H2209" s="71" t="s">
        <v>800</v>
      </c>
      <c r="I2209" s="37" t="str">
        <f t="shared" si="28"/>
        <v>https://www.infraeletrocalhas.com.br/fixacao.asp?produto=abracadeira-tirante-chumbador-arrruela-porca-parafuso</v>
      </c>
    </row>
    <row r="2210" spans="1:9" x14ac:dyDescent="0.25">
      <c r="A2210" s="29" t="s">
        <v>131</v>
      </c>
      <c r="B2210" s="29" t="s">
        <v>92</v>
      </c>
      <c r="C2210" s="29" t="s">
        <v>34</v>
      </c>
      <c r="D2210" s="37" t="s">
        <v>1645</v>
      </c>
      <c r="E2210" s="29" t="s">
        <v>798</v>
      </c>
      <c r="F2210" s="29" t="s">
        <v>36</v>
      </c>
      <c r="G2210" s="29">
        <v>1.2</v>
      </c>
      <c r="H2210" s="71" t="s">
        <v>800</v>
      </c>
      <c r="I2210" s="37" t="str">
        <f t="shared" si="28"/>
        <v>https://www.infraeletrocalhas.com.br/fixacao.asp?produto=abracadeira-tirante-chumbador-arrruela-porca-parafuso</v>
      </c>
    </row>
    <row r="2211" spans="1:9" x14ac:dyDescent="0.25">
      <c r="A2211" s="29" t="s">
        <v>131</v>
      </c>
      <c r="B2211" s="29" t="s">
        <v>92</v>
      </c>
      <c r="C2211" s="29" t="s">
        <v>34</v>
      </c>
      <c r="D2211" s="37" t="s">
        <v>1380</v>
      </c>
      <c r="E2211" s="29" t="s">
        <v>37</v>
      </c>
      <c r="F2211" s="29" t="s">
        <v>36</v>
      </c>
      <c r="G2211" s="29">
        <v>2.36</v>
      </c>
      <c r="H2211" s="71" t="s">
        <v>813</v>
      </c>
      <c r="I2211" s="37" t="str">
        <f>"https://www.lutecparafusoferramenta.com.br/parafuso-sextavado-rosca-inteira-din-933-m10-x-25-aco-inox-304-embalagem-4-pecas; https://www.jofepar.com.br/parafuso-inox-304-sextavado-rosca-inteira-m-10-x-25-p5695"</f>
        <v>https://www.lutecparafusoferramenta.com.br/parafuso-sextavado-rosca-inteira-din-933-m10-x-25-aco-inox-304-embalagem-4-pecas; https://www.jofepar.com.br/parafuso-inox-304-sextavado-rosca-inteira-m-10-x-25-p5695</v>
      </c>
    </row>
    <row r="2212" spans="1:9" x14ac:dyDescent="0.25">
      <c r="A2212" s="29" t="s">
        <v>131</v>
      </c>
      <c r="B2212" s="29" t="s">
        <v>92</v>
      </c>
      <c r="C2212" s="29" t="s">
        <v>34</v>
      </c>
      <c r="D2212" s="37" t="s">
        <v>1381</v>
      </c>
      <c r="E2212" s="29" t="s">
        <v>37</v>
      </c>
      <c r="F2212" s="29" t="s">
        <v>36</v>
      </c>
      <c r="G2212" s="29">
        <v>3.51</v>
      </c>
      <c r="H2212" s="71" t="s">
        <v>813</v>
      </c>
      <c r="I2212" s="37" t="str">
        <f>"https://www.bassottosuprimentos.com.br/parafuso-sextavado-ma-m12x25-inox-304-a2"</f>
        <v>https://www.bassottosuprimentos.com.br/parafuso-sextavado-ma-m12x25-inox-304-a2</v>
      </c>
    </row>
    <row r="2213" spans="1:9" x14ac:dyDescent="0.25">
      <c r="A2213" s="29" t="s">
        <v>131</v>
      </c>
      <c r="B2213" s="29" t="s">
        <v>92</v>
      </c>
      <c r="C2213" s="29" t="s">
        <v>34</v>
      </c>
      <c r="D2213" s="37" t="s">
        <v>1382</v>
      </c>
      <c r="E2213" s="29" t="s">
        <v>37</v>
      </c>
      <c r="F2213" s="29" t="s">
        <v>36</v>
      </c>
      <c r="G2213" s="29">
        <v>0.7</v>
      </c>
      <c r="H2213" s="71" t="s">
        <v>813</v>
      </c>
      <c r="I2213" s="37" t="str">
        <f>"https://www.lutecparafusoferramenta.com.br/parafuso-sextavado-m6-x-25-aco-inox-embalagem-20-pecas"</f>
        <v>https://www.lutecparafusoferramenta.com.br/parafuso-sextavado-m6-x-25-aco-inox-embalagem-20-pecas</v>
      </c>
    </row>
    <row r="2214" spans="1:9" x14ac:dyDescent="0.25">
      <c r="A2214" s="29" t="s">
        <v>131</v>
      </c>
      <c r="B2214" s="29" t="s">
        <v>92</v>
      </c>
      <c r="C2214" s="29" t="s">
        <v>34</v>
      </c>
      <c r="D2214" s="37" t="s">
        <v>1383</v>
      </c>
      <c r="E2214" s="29" t="s">
        <v>37</v>
      </c>
      <c r="F2214" s="29" t="s">
        <v>36</v>
      </c>
      <c r="G2214" s="29">
        <v>1.37</v>
      </c>
      <c r="H2214" s="71" t="s">
        <v>813</v>
      </c>
      <c r="I2214" s="37" t="str">
        <f>"https://www.lutecparafusoferramenta.com.br/parafuso-sextavado-m8-x-25-aco-inox-embalagem-20-pecas"</f>
        <v>https://www.lutecparafusoferramenta.com.br/parafuso-sextavado-m8-x-25-aco-inox-embalagem-20-pecas</v>
      </c>
    </row>
    <row r="2215" spans="1:9" x14ac:dyDescent="0.25">
      <c r="A2215" s="29" t="s">
        <v>131</v>
      </c>
      <c r="B2215" s="29" t="s">
        <v>92</v>
      </c>
      <c r="C2215" s="29" t="s">
        <v>34</v>
      </c>
      <c r="D2215" s="37" t="s">
        <v>1384</v>
      </c>
      <c r="E2215" s="29" t="s">
        <v>37</v>
      </c>
      <c r="F2215" s="29" t="s">
        <v>36</v>
      </c>
      <c r="G2215" s="29">
        <v>0.13</v>
      </c>
      <c r="H2215" s="71" t="s">
        <v>800</v>
      </c>
      <c r="I2215" s="37" t="str">
        <f>"https://www.lojaeletrica.com.br/parafuso-auto-brocante-cabeca-chata-philips-4-2x13mm-belenus.html"</f>
        <v>https://www.lojaeletrica.com.br/parafuso-auto-brocante-cabeca-chata-philips-4-2x13mm-belenus.html</v>
      </c>
    </row>
    <row r="2216" spans="1:9" x14ac:dyDescent="0.25">
      <c r="A2216" s="29" t="s">
        <v>131</v>
      </c>
      <c r="B2216" s="29" t="s">
        <v>92</v>
      </c>
      <c r="C2216" s="29" t="s">
        <v>34</v>
      </c>
      <c r="D2216" s="37" t="s">
        <v>1646</v>
      </c>
      <c r="E2216" s="29" t="s">
        <v>37</v>
      </c>
      <c r="F2216" s="29" t="s">
        <v>36</v>
      </c>
      <c r="G2216" s="29">
        <v>0.27</v>
      </c>
      <c r="H2216" s="71" t="s">
        <v>800</v>
      </c>
      <c r="I2216" s="37" t="str">
        <f>"https://www.dimensional.com.br/parafuso-auto-travante-lentilha-diametro-nominal-14-comprimento-12-dp613-dispan/p; https://www.lojaeletrica.com.br/parafuso-cabeca-lentilha-1-4x1-2-auto-atarraxante.html"</f>
        <v>https://www.dimensional.com.br/parafuso-auto-travante-lentilha-diametro-nominal-14-comprimento-12-dp613-dispan/p; https://www.lojaeletrica.com.br/parafuso-cabeca-lentilha-1-4x1-2-auto-atarraxante.html</v>
      </c>
    </row>
    <row r="2217" spans="1:9" x14ac:dyDescent="0.25">
      <c r="A2217" s="29" t="s">
        <v>131</v>
      </c>
      <c r="B2217" s="29" t="s">
        <v>92</v>
      </c>
      <c r="C2217" s="29">
        <v>4379</v>
      </c>
      <c r="D2217" s="37" t="s">
        <v>2213</v>
      </c>
      <c r="E2217" s="29" t="s">
        <v>37</v>
      </c>
      <c r="F2217" s="29" t="s">
        <v>36</v>
      </c>
      <c r="G2217" s="29">
        <v>7.0000000000000007E-2</v>
      </c>
      <c r="H2217" s="71" t="s">
        <v>38</v>
      </c>
      <c r="I2217" s="37" t="s">
        <v>207</v>
      </c>
    </row>
    <row r="2218" spans="1:9" x14ac:dyDescent="0.25">
      <c r="A2218" s="29" t="s">
        <v>131</v>
      </c>
      <c r="B2218" s="29" t="s">
        <v>92</v>
      </c>
      <c r="C2218" s="29">
        <v>4377</v>
      </c>
      <c r="D2218" s="37" t="s">
        <v>2214</v>
      </c>
      <c r="E2218" s="29" t="s">
        <v>37</v>
      </c>
      <c r="F2218" s="29" t="s">
        <v>36</v>
      </c>
      <c r="G2218" s="29">
        <v>0.25</v>
      </c>
      <c r="H2218" s="71" t="s">
        <v>38</v>
      </c>
      <c r="I2218" s="37" t="s">
        <v>207</v>
      </c>
    </row>
    <row r="2219" spans="1:9" x14ac:dyDescent="0.25">
      <c r="A2219" s="29" t="s">
        <v>131</v>
      </c>
      <c r="B2219" s="29" t="s">
        <v>92</v>
      </c>
      <c r="C2219" s="29">
        <v>4356</v>
      </c>
      <c r="D2219" s="37" t="s">
        <v>2215</v>
      </c>
      <c r="E2219" s="29" t="s">
        <v>37</v>
      </c>
      <c r="F2219" s="29" t="s">
        <v>36</v>
      </c>
      <c r="G2219" s="29">
        <v>0.35</v>
      </c>
      <c r="H2219" s="71" t="s">
        <v>38</v>
      </c>
      <c r="I2219" s="37" t="s">
        <v>207</v>
      </c>
    </row>
    <row r="2220" spans="1:9" x14ac:dyDescent="0.25">
      <c r="A2220" s="29" t="s">
        <v>131</v>
      </c>
      <c r="B2220" s="29" t="s">
        <v>92</v>
      </c>
      <c r="C2220" s="29">
        <v>13246</v>
      </c>
      <c r="D2220" s="37" t="s">
        <v>2216</v>
      </c>
      <c r="E2220" s="29" t="s">
        <v>37</v>
      </c>
      <c r="F2220" s="29" t="s">
        <v>36</v>
      </c>
      <c r="G2220" s="29">
        <v>0.6</v>
      </c>
      <c r="H2220" s="71" t="s">
        <v>38</v>
      </c>
      <c r="I2220" s="37" t="s">
        <v>207</v>
      </c>
    </row>
    <row r="2221" spans="1:9" x14ac:dyDescent="0.25">
      <c r="A2221" s="29" t="s">
        <v>131</v>
      </c>
      <c r="B2221" s="29" t="s">
        <v>92</v>
      </c>
      <c r="C2221" s="29">
        <v>13294</v>
      </c>
      <c r="D2221" s="37" t="s">
        <v>1647</v>
      </c>
      <c r="E2221" s="29" t="s">
        <v>37</v>
      </c>
      <c r="F2221" s="29" t="s">
        <v>36</v>
      </c>
      <c r="G2221" s="29">
        <v>2.02</v>
      </c>
      <c r="H2221" s="71" t="s">
        <v>38</v>
      </c>
      <c r="I2221" s="37" t="s">
        <v>207</v>
      </c>
    </row>
    <row r="2222" spans="1:9" x14ac:dyDescent="0.25">
      <c r="A2222" s="29" t="s">
        <v>131</v>
      </c>
      <c r="B2222" s="29" t="s">
        <v>92</v>
      </c>
      <c r="C2222" s="29">
        <v>11963</v>
      </c>
      <c r="D2222" s="37" t="s">
        <v>1648</v>
      </c>
      <c r="E2222" s="29" t="s">
        <v>37</v>
      </c>
      <c r="F2222" s="29" t="s">
        <v>36</v>
      </c>
      <c r="G2222" s="29">
        <v>12.72</v>
      </c>
      <c r="H2222" s="71" t="s">
        <v>38</v>
      </c>
      <c r="I2222" s="37" t="s">
        <v>207</v>
      </c>
    </row>
    <row r="2223" spans="1:9" x14ac:dyDescent="0.25">
      <c r="A2223" s="29" t="s">
        <v>131</v>
      </c>
      <c r="B2223" s="29" t="s">
        <v>92</v>
      </c>
      <c r="C2223" s="29">
        <v>11964</v>
      </c>
      <c r="D2223" s="37" t="s">
        <v>1649</v>
      </c>
      <c r="E2223" s="29" t="s">
        <v>37</v>
      </c>
      <c r="F2223" s="29" t="s">
        <v>36</v>
      </c>
      <c r="G2223" s="29">
        <v>3.21</v>
      </c>
      <c r="H2223" s="71" t="s">
        <v>38</v>
      </c>
      <c r="I2223" s="37" t="s">
        <v>207</v>
      </c>
    </row>
    <row r="2224" spans="1:9" x14ac:dyDescent="0.25">
      <c r="A2224" s="29" t="s">
        <v>131</v>
      </c>
      <c r="B2224" s="29" t="s">
        <v>92</v>
      </c>
      <c r="C2224" s="29">
        <v>4346</v>
      </c>
      <c r="D2224" s="37" t="s">
        <v>2217</v>
      </c>
      <c r="E2224" s="29" t="s">
        <v>37</v>
      </c>
      <c r="F2224" s="29" t="s">
        <v>36</v>
      </c>
      <c r="G2224" s="29">
        <v>13.63</v>
      </c>
      <c r="H2224" s="71" t="s">
        <v>38</v>
      </c>
      <c r="I2224" s="37" t="s">
        <v>207</v>
      </c>
    </row>
    <row r="2225" spans="1:9" x14ac:dyDescent="0.25">
      <c r="A2225" s="29" t="s">
        <v>131</v>
      </c>
      <c r="B2225" s="29" t="s">
        <v>92</v>
      </c>
      <c r="C2225" s="29">
        <v>11955</v>
      </c>
      <c r="D2225" s="37" t="s">
        <v>2218</v>
      </c>
      <c r="E2225" s="29" t="s">
        <v>37</v>
      </c>
      <c r="F2225" s="29" t="s">
        <v>36</v>
      </c>
      <c r="G2225" s="29">
        <v>5.97</v>
      </c>
      <c r="H2225" s="71" t="s">
        <v>38</v>
      </c>
      <c r="I2225" s="37" t="s">
        <v>207</v>
      </c>
    </row>
    <row r="2226" spans="1:9" x14ac:dyDescent="0.25">
      <c r="A2226" s="29" t="s">
        <v>131</v>
      </c>
      <c r="B2226" s="29" t="s">
        <v>92</v>
      </c>
      <c r="C2226" s="29">
        <v>11960</v>
      </c>
      <c r="D2226" s="37" t="s">
        <v>2219</v>
      </c>
      <c r="E2226" s="29" t="s">
        <v>37</v>
      </c>
      <c r="F2226" s="29" t="s">
        <v>36</v>
      </c>
      <c r="G2226" s="29">
        <v>0.2</v>
      </c>
      <c r="H2226" s="71" t="s">
        <v>38</v>
      </c>
      <c r="I2226" s="37" t="s">
        <v>207</v>
      </c>
    </row>
    <row r="2227" spans="1:9" x14ac:dyDescent="0.25">
      <c r="A2227" s="29" t="s">
        <v>131</v>
      </c>
      <c r="B2227" s="29" t="s">
        <v>92</v>
      </c>
      <c r="C2227" s="29">
        <v>4333</v>
      </c>
      <c r="D2227" s="37" t="s">
        <v>2220</v>
      </c>
      <c r="E2227" s="29" t="s">
        <v>37</v>
      </c>
      <c r="F2227" s="29" t="s">
        <v>36</v>
      </c>
      <c r="G2227" s="29">
        <v>0.35</v>
      </c>
      <c r="H2227" s="71" t="s">
        <v>38</v>
      </c>
      <c r="I2227" s="37" t="s">
        <v>207</v>
      </c>
    </row>
    <row r="2228" spans="1:9" x14ac:dyDescent="0.25">
      <c r="A2228" s="29" t="s">
        <v>131</v>
      </c>
      <c r="B2228" s="29" t="s">
        <v>92</v>
      </c>
      <c r="C2228" s="29">
        <v>4358</v>
      </c>
      <c r="D2228" s="37" t="s">
        <v>2221</v>
      </c>
      <c r="E2228" s="29" t="s">
        <v>37</v>
      </c>
      <c r="F2228" s="29" t="s">
        <v>36</v>
      </c>
      <c r="G2228" s="29">
        <v>2.73</v>
      </c>
      <c r="H2228" s="71" t="s">
        <v>38</v>
      </c>
      <c r="I2228" s="37" t="s">
        <v>207</v>
      </c>
    </row>
    <row r="2229" spans="1:9" x14ac:dyDescent="0.25">
      <c r="A2229" s="29" t="s">
        <v>131</v>
      </c>
      <c r="B2229" s="29" t="s">
        <v>92</v>
      </c>
      <c r="C2229" s="29">
        <v>39435</v>
      </c>
      <c r="D2229" s="37" t="s">
        <v>3446</v>
      </c>
      <c r="E2229" s="29" t="s">
        <v>37</v>
      </c>
      <c r="F2229" s="29" t="s">
        <v>36</v>
      </c>
      <c r="G2229" s="29">
        <v>0.14000000000000001</v>
      </c>
      <c r="H2229" s="71" t="s">
        <v>38</v>
      </c>
      <c r="I2229" s="37" t="s">
        <v>207</v>
      </c>
    </row>
    <row r="2230" spans="1:9" x14ac:dyDescent="0.25">
      <c r="A2230" s="29" t="s">
        <v>131</v>
      </c>
      <c r="B2230" s="29" t="s">
        <v>92</v>
      </c>
      <c r="C2230" s="29">
        <v>39436</v>
      </c>
      <c r="D2230" s="37" t="s">
        <v>3447</v>
      </c>
      <c r="E2230" s="29" t="s">
        <v>37</v>
      </c>
      <c r="F2230" s="29" t="s">
        <v>36</v>
      </c>
      <c r="G2230" s="29">
        <v>0.23</v>
      </c>
      <c r="H2230" s="71" t="s">
        <v>38</v>
      </c>
      <c r="I2230" s="37" t="s">
        <v>207</v>
      </c>
    </row>
    <row r="2231" spans="1:9" x14ac:dyDescent="0.25">
      <c r="A2231" s="29" t="s">
        <v>131</v>
      </c>
      <c r="B2231" s="29" t="s">
        <v>92</v>
      </c>
      <c r="C2231" s="29">
        <v>39437</v>
      </c>
      <c r="D2231" s="37" t="s">
        <v>3448</v>
      </c>
      <c r="E2231" s="29" t="s">
        <v>37</v>
      </c>
      <c r="F2231" s="29" t="s">
        <v>36</v>
      </c>
      <c r="G2231" s="29">
        <v>0.31</v>
      </c>
      <c r="H2231" s="71" t="s">
        <v>38</v>
      </c>
      <c r="I2231" s="37" t="s">
        <v>207</v>
      </c>
    </row>
    <row r="2232" spans="1:9" x14ac:dyDescent="0.25">
      <c r="A2232" s="29" t="s">
        <v>131</v>
      </c>
      <c r="B2232" s="29" t="s">
        <v>92</v>
      </c>
      <c r="C2232" s="29">
        <v>39439</v>
      </c>
      <c r="D2232" s="37" t="s">
        <v>3449</v>
      </c>
      <c r="E2232" s="29" t="s">
        <v>37</v>
      </c>
      <c r="F2232" s="29" t="s">
        <v>36</v>
      </c>
      <c r="G2232" s="29">
        <v>0.21</v>
      </c>
      <c r="H2232" s="71" t="s">
        <v>38</v>
      </c>
      <c r="I2232" s="37" t="s">
        <v>207</v>
      </c>
    </row>
    <row r="2233" spans="1:9" x14ac:dyDescent="0.25">
      <c r="A2233" s="29" t="s">
        <v>131</v>
      </c>
      <c r="B2233" s="29" t="s">
        <v>92</v>
      </c>
      <c r="C2233" s="29">
        <v>39440</v>
      </c>
      <c r="D2233" s="37" t="s">
        <v>3450</v>
      </c>
      <c r="E2233" s="29" t="s">
        <v>37</v>
      </c>
      <c r="F2233" s="29" t="s">
        <v>36</v>
      </c>
      <c r="G2233" s="29">
        <v>0.27</v>
      </c>
      <c r="H2233" s="71" t="s">
        <v>38</v>
      </c>
      <c r="I2233" s="37" t="s">
        <v>207</v>
      </c>
    </row>
    <row r="2234" spans="1:9" x14ac:dyDescent="0.25">
      <c r="A2234" s="29" t="s">
        <v>131</v>
      </c>
      <c r="B2234" s="29" t="s">
        <v>92</v>
      </c>
      <c r="C2234" s="29">
        <v>39441</v>
      </c>
      <c r="D2234" s="37" t="s">
        <v>3451</v>
      </c>
      <c r="E2234" s="29" t="s">
        <v>37</v>
      </c>
      <c r="F2234" s="29" t="s">
        <v>36</v>
      </c>
      <c r="G2234" s="29">
        <v>0.34</v>
      </c>
      <c r="H2234" s="71" t="s">
        <v>38</v>
      </c>
      <c r="I2234" s="37" t="s">
        <v>207</v>
      </c>
    </row>
    <row r="2235" spans="1:9" x14ac:dyDescent="0.25">
      <c r="A2235" s="29" t="s">
        <v>131</v>
      </c>
      <c r="B2235" s="29" t="s">
        <v>92</v>
      </c>
      <c r="C2235" s="29">
        <v>39442</v>
      </c>
      <c r="D2235" s="37" t="s">
        <v>3555</v>
      </c>
      <c r="E2235" s="29" t="s">
        <v>37</v>
      </c>
      <c r="F2235" s="29" t="s">
        <v>36</v>
      </c>
      <c r="G2235" s="29">
        <v>0.25</v>
      </c>
      <c r="H2235" s="71" t="s">
        <v>38</v>
      </c>
      <c r="I2235" s="37" t="s">
        <v>207</v>
      </c>
    </row>
    <row r="2236" spans="1:9" x14ac:dyDescent="0.25">
      <c r="A2236" s="29" t="s">
        <v>131</v>
      </c>
      <c r="B2236" s="29" t="s">
        <v>92</v>
      </c>
      <c r="C2236" s="29">
        <v>39443</v>
      </c>
      <c r="D2236" s="37" t="s">
        <v>3556</v>
      </c>
      <c r="E2236" s="29" t="s">
        <v>37</v>
      </c>
      <c r="F2236" s="29" t="s">
        <v>36</v>
      </c>
      <c r="G2236" s="29">
        <v>0.32</v>
      </c>
      <c r="H2236" s="71" t="s">
        <v>38</v>
      </c>
      <c r="I2236" s="37" t="s">
        <v>207</v>
      </c>
    </row>
    <row r="2237" spans="1:9" x14ac:dyDescent="0.25">
      <c r="A2237" s="29" t="s">
        <v>131</v>
      </c>
      <c r="B2237" s="29" t="s">
        <v>92</v>
      </c>
      <c r="C2237" s="29">
        <v>4329</v>
      </c>
      <c r="D2237" s="37" t="s">
        <v>2049</v>
      </c>
      <c r="E2237" s="29" t="s">
        <v>37</v>
      </c>
      <c r="F2237" s="29" t="s">
        <v>36</v>
      </c>
      <c r="G2237" s="29">
        <v>2.91</v>
      </c>
      <c r="H2237" s="71" t="s">
        <v>38</v>
      </c>
      <c r="I2237" s="37" t="s">
        <v>207</v>
      </c>
    </row>
    <row r="2238" spans="1:9" x14ac:dyDescent="0.25">
      <c r="A2238" s="29" t="s">
        <v>131</v>
      </c>
      <c r="B2238" s="29" t="s">
        <v>92</v>
      </c>
      <c r="C2238" s="29" t="s">
        <v>34</v>
      </c>
      <c r="D2238" s="37" t="s">
        <v>1129</v>
      </c>
      <c r="E2238" s="29" t="s">
        <v>798</v>
      </c>
      <c r="F2238" s="29" t="s">
        <v>36</v>
      </c>
      <c r="G2238" s="29">
        <v>0.24</v>
      </c>
      <c r="H2238" s="71" t="s">
        <v>800</v>
      </c>
      <c r="I2238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239" spans="1:9" x14ac:dyDescent="0.25">
      <c r="A2239" s="29" t="s">
        <v>131</v>
      </c>
      <c r="B2239" s="29" t="s">
        <v>92</v>
      </c>
      <c r="C2239" s="29" t="s">
        <v>34</v>
      </c>
      <c r="D2239" s="37" t="s">
        <v>1130</v>
      </c>
      <c r="E2239" s="29" t="s">
        <v>798</v>
      </c>
      <c r="F2239" s="29" t="s">
        <v>36</v>
      </c>
      <c r="G2239" s="29">
        <v>0.26</v>
      </c>
      <c r="H2239" s="71" t="s">
        <v>800</v>
      </c>
      <c r="I2239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240" spans="1:9" x14ac:dyDescent="0.25">
      <c r="A2240" s="29" t="s">
        <v>131</v>
      </c>
      <c r="B2240" s="29" t="s">
        <v>92</v>
      </c>
      <c r="C2240" s="29" t="s">
        <v>34</v>
      </c>
      <c r="D2240" s="37" t="s">
        <v>1131</v>
      </c>
      <c r="E2240" s="29" t="s">
        <v>798</v>
      </c>
      <c r="F2240" s="29" t="s">
        <v>36</v>
      </c>
      <c r="G2240" s="29">
        <v>0.25</v>
      </c>
      <c r="H2240" s="71" t="s">
        <v>800</v>
      </c>
      <c r="I2240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241" spans="1:9" x14ac:dyDescent="0.25">
      <c r="A2241" s="29" t="s">
        <v>131</v>
      </c>
      <c r="B2241" s="29" t="s">
        <v>92</v>
      </c>
      <c r="C2241" s="29" t="s">
        <v>34</v>
      </c>
      <c r="D2241" s="37" t="s">
        <v>1132</v>
      </c>
      <c r="E2241" s="29" t="s">
        <v>798</v>
      </c>
      <c r="F2241" s="29" t="s">
        <v>36</v>
      </c>
      <c r="G2241" s="29">
        <v>0.59</v>
      </c>
      <c r="H2241" s="71" t="s">
        <v>800</v>
      </c>
      <c r="I2241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242" spans="1:9" x14ac:dyDescent="0.25">
      <c r="A2242" s="29" t="s">
        <v>131</v>
      </c>
      <c r="B2242" s="29" t="s">
        <v>92</v>
      </c>
      <c r="C2242" s="29" t="s">
        <v>34</v>
      </c>
      <c r="D2242" s="37" t="s">
        <v>1133</v>
      </c>
      <c r="E2242" s="29" t="s">
        <v>798</v>
      </c>
      <c r="F2242" s="29" t="s">
        <v>36</v>
      </c>
      <c r="G2242" s="29">
        <v>0.51</v>
      </c>
      <c r="H2242" s="71" t="s">
        <v>800</v>
      </c>
      <c r="I2242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243" spans="1:9" x14ac:dyDescent="0.25">
      <c r="A2243" s="29" t="s">
        <v>131</v>
      </c>
      <c r="B2243" s="29" t="s">
        <v>92</v>
      </c>
      <c r="C2243" s="29" t="s">
        <v>34</v>
      </c>
      <c r="D2243" s="37" t="s">
        <v>1134</v>
      </c>
      <c r="E2243" s="29" t="s">
        <v>794</v>
      </c>
      <c r="F2243" s="29" t="s">
        <v>36</v>
      </c>
      <c r="G2243" s="29">
        <v>0.15</v>
      </c>
      <c r="H2243" s="71" t="s">
        <v>793</v>
      </c>
      <c r="I2243" s="37" t="str">
        <f>"https://www.marmota.com.br/parafuso-lentilha-cabeca-fenda-1-4-x1-2-com-100-pecas-jomarca-p50594?pp=/182.1443/"</f>
        <v>https://www.marmota.com.br/parafuso-lentilha-cabeca-fenda-1-4-x1-2-com-100-pecas-jomarca-p50594?pp=/182.1443/</v>
      </c>
    </row>
    <row r="2244" spans="1:9" x14ac:dyDescent="0.25">
      <c r="A2244" s="29" t="s">
        <v>131</v>
      </c>
      <c r="B2244" s="29" t="s">
        <v>92</v>
      </c>
      <c r="C2244" s="29" t="s">
        <v>34</v>
      </c>
      <c r="D2244" s="37" t="s">
        <v>1135</v>
      </c>
      <c r="E2244" s="29" t="s">
        <v>794</v>
      </c>
      <c r="F2244" s="29" t="s">
        <v>36</v>
      </c>
      <c r="G2244" s="29">
        <v>0.19</v>
      </c>
      <c r="H2244" s="71" t="s">
        <v>793</v>
      </c>
      <c r="I2244" s="37" t="str">
        <f>"https://www.marmota.com.br/parafuso-lentilha-cabeca-fenda-1-4-x3-4-com-100-pecas-jomarca-p51557?pp=/182.1443/"</f>
        <v>https://www.marmota.com.br/parafuso-lentilha-cabeca-fenda-1-4-x3-4-com-100-pecas-jomarca-p51557?pp=/182.1443/</v>
      </c>
    </row>
    <row r="2245" spans="1:9" x14ac:dyDescent="0.25">
      <c r="A2245" s="29" t="s">
        <v>131</v>
      </c>
      <c r="B2245" s="29" t="s">
        <v>92</v>
      </c>
      <c r="C2245" s="29" t="s">
        <v>34</v>
      </c>
      <c r="D2245" s="37" t="s">
        <v>1136</v>
      </c>
      <c r="E2245" s="29" t="s">
        <v>794</v>
      </c>
      <c r="F2245" s="29" t="s">
        <v>36</v>
      </c>
      <c r="G2245" s="29">
        <v>0.4</v>
      </c>
      <c r="H2245" s="71" t="s">
        <v>793</v>
      </c>
      <c r="I2245" s="37" t="str">
        <f>"https://www.marmota.com.br/parafuso-lentilha-cabeca-fenda-3-8-x3-4-com-100-pecas-jomarca-p50019?pp=/182.1443/"</f>
        <v>https://www.marmota.com.br/parafuso-lentilha-cabeca-fenda-3-8-x3-4-com-100-pecas-jomarca-p50019?pp=/182.1443/</v>
      </c>
    </row>
    <row r="2246" spans="1:9" x14ac:dyDescent="0.25">
      <c r="A2246" s="29" t="s">
        <v>131</v>
      </c>
      <c r="B2246" s="29" t="s">
        <v>92</v>
      </c>
      <c r="C2246" s="29" t="s">
        <v>34</v>
      </c>
      <c r="D2246" s="37" t="s">
        <v>1137</v>
      </c>
      <c r="E2246" s="29" t="s">
        <v>794</v>
      </c>
      <c r="F2246" s="29" t="s">
        <v>36</v>
      </c>
      <c r="G2246" s="29">
        <v>0.26</v>
      </c>
      <c r="H2246" s="71" t="s">
        <v>793</v>
      </c>
      <c r="I2246" s="37" t="str">
        <f>"https://www.marmota.com.br/parafuso-lentilha-cabeca-fenda-5-16-x3-4-com-100pecas-jomarca-p52374?pp=/182.1443/"</f>
        <v>https://www.marmota.com.br/parafuso-lentilha-cabeca-fenda-5-16-x3-4-com-100pecas-jomarca-p52374?pp=/182.1443/</v>
      </c>
    </row>
    <row r="2247" spans="1:9" x14ac:dyDescent="0.25">
      <c r="A2247" s="29" t="s">
        <v>131</v>
      </c>
      <c r="B2247" s="29" t="s">
        <v>92</v>
      </c>
      <c r="C2247" s="29">
        <v>430</v>
      </c>
      <c r="D2247" s="37" t="s">
        <v>2050</v>
      </c>
      <c r="E2247" s="29" t="s">
        <v>37</v>
      </c>
      <c r="F2247" s="29" t="s">
        <v>36</v>
      </c>
      <c r="G2247" s="29">
        <v>10.85</v>
      </c>
      <c r="H2247" s="71" t="s">
        <v>38</v>
      </c>
      <c r="I2247" s="37" t="s">
        <v>207</v>
      </c>
    </row>
    <row r="2248" spans="1:9" x14ac:dyDescent="0.25">
      <c r="A2248" s="29" t="s">
        <v>131</v>
      </c>
      <c r="B2248" s="29" t="s">
        <v>92</v>
      </c>
      <c r="C2248" s="29">
        <v>441</v>
      </c>
      <c r="D2248" s="37" t="s">
        <v>2051</v>
      </c>
      <c r="E2248" s="29" t="s">
        <v>37</v>
      </c>
      <c r="F2248" s="29" t="s">
        <v>36</v>
      </c>
      <c r="G2248" s="29">
        <v>11.94</v>
      </c>
      <c r="H2248" s="71" t="s">
        <v>38</v>
      </c>
      <c r="I2248" s="37" t="s">
        <v>207</v>
      </c>
    </row>
    <row r="2249" spans="1:9" x14ac:dyDescent="0.25">
      <c r="A2249" s="29" t="s">
        <v>131</v>
      </c>
      <c r="B2249" s="29" t="s">
        <v>92</v>
      </c>
      <c r="C2249" s="29">
        <v>431</v>
      </c>
      <c r="D2249" s="37" t="s">
        <v>2052</v>
      </c>
      <c r="E2249" s="29" t="s">
        <v>37</v>
      </c>
      <c r="F2249" s="29" t="s">
        <v>36</v>
      </c>
      <c r="G2249" s="29">
        <v>14.42</v>
      </c>
      <c r="H2249" s="71" t="s">
        <v>38</v>
      </c>
      <c r="I2249" s="37" t="s">
        <v>207</v>
      </c>
    </row>
    <row r="2250" spans="1:9" x14ac:dyDescent="0.25">
      <c r="A2250" s="29" t="s">
        <v>131</v>
      </c>
      <c r="B2250" s="29" t="s">
        <v>92</v>
      </c>
      <c r="C2250" s="29">
        <v>432</v>
      </c>
      <c r="D2250" s="37" t="s">
        <v>2053</v>
      </c>
      <c r="E2250" s="29" t="s">
        <v>37</v>
      </c>
      <c r="F2250" s="29" t="s">
        <v>36</v>
      </c>
      <c r="G2250" s="29">
        <v>15.91</v>
      </c>
      <c r="H2250" s="71" t="s">
        <v>38</v>
      </c>
      <c r="I2250" s="37" t="s">
        <v>207</v>
      </c>
    </row>
    <row r="2251" spans="1:9" x14ac:dyDescent="0.25">
      <c r="A2251" s="29" t="s">
        <v>131</v>
      </c>
      <c r="B2251" s="29" t="s">
        <v>92</v>
      </c>
      <c r="C2251" s="29">
        <v>429</v>
      </c>
      <c r="D2251" s="37" t="s">
        <v>2054</v>
      </c>
      <c r="E2251" s="29" t="s">
        <v>37</v>
      </c>
      <c r="F2251" s="29" t="s">
        <v>36</v>
      </c>
      <c r="G2251" s="29">
        <v>21.45</v>
      </c>
      <c r="H2251" s="71" t="s">
        <v>38</v>
      </c>
      <c r="I2251" s="37" t="s">
        <v>207</v>
      </c>
    </row>
    <row r="2252" spans="1:9" x14ac:dyDescent="0.25">
      <c r="A2252" s="29" t="s">
        <v>131</v>
      </c>
      <c r="B2252" s="29" t="s">
        <v>92</v>
      </c>
      <c r="C2252" s="29">
        <v>439</v>
      </c>
      <c r="D2252" s="37" t="s">
        <v>2055</v>
      </c>
      <c r="E2252" s="29" t="s">
        <v>37</v>
      </c>
      <c r="F2252" s="29" t="s">
        <v>36</v>
      </c>
      <c r="G2252" s="29">
        <v>18.28</v>
      </c>
      <c r="H2252" s="71" t="s">
        <v>38</v>
      </c>
      <c r="I2252" s="37" t="s">
        <v>207</v>
      </c>
    </row>
    <row r="2253" spans="1:9" x14ac:dyDescent="0.25">
      <c r="A2253" s="29" t="s">
        <v>131</v>
      </c>
      <c r="B2253" s="29" t="s">
        <v>92</v>
      </c>
      <c r="C2253" s="29">
        <v>433</v>
      </c>
      <c r="D2253" s="37" t="s">
        <v>2056</v>
      </c>
      <c r="E2253" s="29" t="s">
        <v>37</v>
      </c>
      <c r="F2253" s="29" t="s">
        <v>36</v>
      </c>
      <c r="G2253" s="29">
        <v>21.34</v>
      </c>
      <c r="H2253" s="71" t="s">
        <v>38</v>
      </c>
      <c r="I2253" s="37" t="s">
        <v>207</v>
      </c>
    </row>
    <row r="2254" spans="1:9" x14ac:dyDescent="0.25">
      <c r="A2254" s="29" t="s">
        <v>131</v>
      </c>
      <c r="B2254" s="29" t="s">
        <v>92</v>
      </c>
      <c r="C2254" s="29">
        <v>437</v>
      </c>
      <c r="D2254" s="37" t="s">
        <v>2057</v>
      </c>
      <c r="E2254" s="29" t="s">
        <v>37</v>
      </c>
      <c r="F2254" s="29" t="s">
        <v>36</v>
      </c>
      <c r="G2254" s="29">
        <v>28.35</v>
      </c>
      <c r="H2254" s="71" t="s">
        <v>38</v>
      </c>
      <c r="I2254" s="37" t="s">
        <v>207</v>
      </c>
    </row>
    <row r="2255" spans="1:9" x14ac:dyDescent="0.25">
      <c r="A2255" s="29" t="s">
        <v>131</v>
      </c>
      <c r="B2255" s="29" t="s">
        <v>92</v>
      </c>
      <c r="C2255" s="29">
        <v>11790</v>
      </c>
      <c r="D2255" s="37" t="s">
        <v>2058</v>
      </c>
      <c r="E2255" s="29" t="s">
        <v>37</v>
      </c>
      <c r="F2255" s="29" t="s">
        <v>36</v>
      </c>
      <c r="G2255" s="29">
        <v>32.159999999999997</v>
      </c>
      <c r="H2255" s="71" t="s">
        <v>38</v>
      </c>
      <c r="I2255" s="37" t="s">
        <v>207</v>
      </c>
    </row>
    <row r="2256" spans="1:9" x14ac:dyDescent="0.25">
      <c r="A2256" s="29" t="s">
        <v>131</v>
      </c>
      <c r="B2256" s="29" t="s">
        <v>92</v>
      </c>
      <c r="C2256" s="29">
        <v>428</v>
      </c>
      <c r="D2256" s="37" t="s">
        <v>2222</v>
      </c>
      <c r="E2256" s="29" t="s">
        <v>37</v>
      </c>
      <c r="F2256" s="29" t="s">
        <v>36</v>
      </c>
      <c r="G2256" s="29">
        <v>34.97</v>
      </c>
      <c r="H2256" s="71" t="s">
        <v>38</v>
      </c>
      <c r="I2256" s="37" t="s">
        <v>207</v>
      </c>
    </row>
    <row r="2257" spans="1:9" x14ac:dyDescent="0.25">
      <c r="A2257" s="29" t="s">
        <v>131</v>
      </c>
      <c r="B2257" s="29" t="s">
        <v>92</v>
      </c>
      <c r="C2257" s="29" t="s">
        <v>34</v>
      </c>
      <c r="D2257" s="37" t="s">
        <v>1138</v>
      </c>
      <c r="E2257" s="29" t="s">
        <v>733</v>
      </c>
      <c r="F2257" s="29" t="s">
        <v>36</v>
      </c>
      <c r="I2257" s="37" t="s">
        <v>37</v>
      </c>
    </row>
    <row r="2258" spans="1:9" x14ac:dyDescent="0.25">
      <c r="A2258" s="29" t="s">
        <v>131</v>
      </c>
      <c r="B2258" s="29" t="s">
        <v>92</v>
      </c>
      <c r="C2258" s="29" t="s">
        <v>34</v>
      </c>
      <c r="D2258" s="37" t="s">
        <v>1139</v>
      </c>
      <c r="E2258" s="29" t="s">
        <v>732</v>
      </c>
      <c r="F2258" s="29" t="s">
        <v>36</v>
      </c>
      <c r="I2258" s="37" t="s">
        <v>37</v>
      </c>
    </row>
    <row r="2259" spans="1:9" x14ac:dyDescent="0.25">
      <c r="A2259" s="29" t="s">
        <v>131</v>
      </c>
      <c r="B2259" s="29" t="s">
        <v>92</v>
      </c>
      <c r="C2259" s="29">
        <v>40547</v>
      </c>
      <c r="D2259" s="37" t="s">
        <v>1385</v>
      </c>
      <c r="E2259" s="29" t="s">
        <v>37</v>
      </c>
      <c r="F2259" s="29" t="s">
        <v>89</v>
      </c>
      <c r="G2259" s="29">
        <v>36.74</v>
      </c>
      <c r="H2259" s="71" t="s">
        <v>38</v>
      </c>
      <c r="I2259" s="37" t="s">
        <v>207</v>
      </c>
    </row>
    <row r="2260" spans="1:9" x14ac:dyDescent="0.25">
      <c r="A2260" s="29" t="s">
        <v>131</v>
      </c>
      <c r="B2260" s="29" t="s">
        <v>93</v>
      </c>
      <c r="C2260" s="29" t="s">
        <v>34</v>
      </c>
      <c r="D2260" s="37" t="s">
        <v>1650</v>
      </c>
      <c r="E2260" s="29" t="s">
        <v>550</v>
      </c>
      <c r="F2260" s="29" t="s">
        <v>36</v>
      </c>
      <c r="G2260" s="29">
        <v>2.14</v>
      </c>
      <c r="H2260" s="71" t="s">
        <v>549</v>
      </c>
      <c r="I2260" s="37" t="str">
        <f>"https://www.bassottosuprimentos.com.br/porca-borboleta-m6x1-2495"</f>
        <v>https://www.bassottosuprimentos.com.br/porca-borboleta-m6x1-2495</v>
      </c>
    </row>
    <row r="2261" spans="1:9" x14ac:dyDescent="0.25">
      <c r="A2261" s="29" t="s">
        <v>131</v>
      </c>
      <c r="B2261" s="29" t="s">
        <v>93</v>
      </c>
      <c r="C2261" s="29" t="s">
        <v>34</v>
      </c>
      <c r="D2261" s="37" t="s">
        <v>1651</v>
      </c>
      <c r="E2261" s="29" t="s">
        <v>550</v>
      </c>
      <c r="F2261" s="29" t="s">
        <v>36</v>
      </c>
      <c r="G2261" s="29">
        <v>1.69</v>
      </c>
      <c r="H2261" s="71" t="s">
        <v>549</v>
      </c>
      <c r="I2261" s="37" t="str">
        <f>"https://www.bassottosuprimentos.com.br/porca-borboleta-m8x1-5461"</f>
        <v>https://www.bassottosuprimentos.com.br/porca-borboleta-m8x1-5461</v>
      </c>
    </row>
    <row r="2262" spans="1:9" x14ac:dyDescent="0.25">
      <c r="A2262" s="29" t="s">
        <v>131</v>
      </c>
      <c r="B2262" s="29" t="s">
        <v>93</v>
      </c>
      <c r="C2262" s="29" t="s">
        <v>34</v>
      </c>
      <c r="D2262" s="37" t="s">
        <v>1386</v>
      </c>
      <c r="E2262" s="29" t="s">
        <v>550</v>
      </c>
      <c r="F2262" s="29" t="s">
        <v>36</v>
      </c>
      <c r="G2262" s="29">
        <v>0.68</v>
      </c>
      <c r="H2262" s="71" t="s">
        <v>549</v>
      </c>
      <c r="I2262" s="37" t="str">
        <f>"https://www.bassottosuprimentos.com.br/porca-borboleta-m10x1"</f>
        <v>https://www.bassottosuprimentos.com.br/porca-borboleta-m10x1</v>
      </c>
    </row>
    <row r="2263" spans="1:9" x14ac:dyDescent="0.25">
      <c r="A2263" s="29" t="s">
        <v>131</v>
      </c>
      <c r="B2263" s="29" t="s">
        <v>93</v>
      </c>
      <c r="C2263" s="29" t="s">
        <v>34</v>
      </c>
      <c r="D2263" s="37" t="s">
        <v>1387</v>
      </c>
      <c r="E2263" s="29" t="s">
        <v>37</v>
      </c>
      <c r="F2263" s="29" t="s">
        <v>36</v>
      </c>
      <c r="I2263" s="37" t="s">
        <v>37</v>
      </c>
    </row>
    <row r="2264" spans="1:9" x14ac:dyDescent="0.25">
      <c r="A2264" s="29" t="s">
        <v>131</v>
      </c>
      <c r="B2264" s="29" t="s">
        <v>93</v>
      </c>
      <c r="C2264" s="29" t="s">
        <v>34</v>
      </c>
      <c r="D2264" s="37" t="s">
        <v>1388</v>
      </c>
      <c r="E2264" s="29" t="s">
        <v>550</v>
      </c>
      <c r="F2264" s="29" t="s">
        <v>36</v>
      </c>
      <c r="G2264" s="29">
        <v>0.31</v>
      </c>
      <c r="H2264" s="71" t="s">
        <v>549</v>
      </c>
      <c r="I2264" s="37" t="str">
        <f>"https://www.bassottosuprimentos.com.br/porca-borboleta-m6x1"</f>
        <v>https://www.bassottosuprimentos.com.br/porca-borboleta-m6x1</v>
      </c>
    </row>
    <row r="2265" spans="1:9" x14ac:dyDescent="0.25">
      <c r="A2265" s="29" t="s">
        <v>131</v>
      </c>
      <c r="B2265" s="29" t="s">
        <v>93</v>
      </c>
      <c r="C2265" s="29" t="s">
        <v>34</v>
      </c>
      <c r="D2265" s="37" t="s">
        <v>1389</v>
      </c>
      <c r="E2265" s="29" t="s">
        <v>550</v>
      </c>
      <c r="F2265" s="29" t="s">
        <v>36</v>
      </c>
      <c r="G2265" s="29">
        <v>0.56000000000000005</v>
      </c>
      <c r="H2265" s="71" t="s">
        <v>549</v>
      </c>
      <c r="I2265" s="37" t="str">
        <f>"https://www.bassottosuprimentos.com.br/porca-borboleta-m8x1"</f>
        <v>https://www.bassottosuprimentos.com.br/porca-borboleta-m8x1</v>
      </c>
    </row>
    <row r="2266" spans="1:9" x14ac:dyDescent="0.25">
      <c r="A2266" s="29" t="s">
        <v>131</v>
      </c>
      <c r="B2266" s="29" t="s">
        <v>93</v>
      </c>
      <c r="C2266" s="29" t="s">
        <v>34</v>
      </c>
      <c r="D2266" s="37" t="s">
        <v>1652</v>
      </c>
      <c r="E2266" s="29" t="s">
        <v>550</v>
      </c>
      <c r="F2266" s="29" t="s">
        <v>36</v>
      </c>
      <c r="G2266" s="29">
        <v>0.71</v>
      </c>
      <c r="H2266" s="71" t="s">
        <v>549</v>
      </c>
      <c r="I2266" s="37" t="str">
        <f>"https://www.bassottosuprimentos.com.br/porca-calota-m6x1"</f>
        <v>https://www.bassottosuprimentos.com.br/porca-calota-m6x1</v>
      </c>
    </row>
    <row r="2267" spans="1:9" x14ac:dyDescent="0.25">
      <c r="A2267" s="29" t="s">
        <v>131</v>
      </c>
      <c r="B2267" s="29" t="s">
        <v>93</v>
      </c>
      <c r="C2267" s="29" t="s">
        <v>34</v>
      </c>
      <c r="D2267" s="37" t="s">
        <v>1653</v>
      </c>
      <c r="E2267" s="29" t="s">
        <v>550</v>
      </c>
      <c r="F2267" s="29" t="s">
        <v>36</v>
      </c>
      <c r="G2267" s="29">
        <v>1.01</v>
      </c>
      <c r="H2267" s="71" t="s">
        <v>549</v>
      </c>
      <c r="I2267" s="37" t="str">
        <f>"https://www.bassottosuprimentos.com.br/porca-calota-m8x1"</f>
        <v>https://www.bassottosuprimentos.com.br/porca-calota-m8x1</v>
      </c>
    </row>
    <row r="2268" spans="1:9" x14ac:dyDescent="0.25">
      <c r="A2268" s="29" t="s">
        <v>131</v>
      </c>
      <c r="B2268" s="29" t="s">
        <v>93</v>
      </c>
      <c r="C2268" s="29" t="s">
        <v>34</v>
      </c>
      <c r="D2268" s="37" t="s">
        <v>1654</v>
      </c>
      <c r="E2268" s="29" t="s">
        <v>550</v>
      </c>
      <c r="F2268" s="29" t="s">
        <v>36</v>
      </c>
      <c r="G2268" s="29">
        <v>0.69</v>
      </c>
      <c r="H2268" s="71" t="s">
        <v>549</v>
      </c>
      <c r="I2268" s="37" t="str">
        <f>"https://www.bassottosuprimentos.com.br/porca-sextavada-m10x1"</f>
        <v>https://www.bassottosuprimentos.com.br/porca-sextavada-m10x1</v>
      </c>
    </row>
    <row r="2269" spans="1:9" x14ac:dyDescent="0.25">
      <c r="A2269" s="29" t="s">
        <v>131</v>
      </c>
      <c r="B2269" s="29" t="s">
        <v>93</v>
      </c>
      <c r="C2269" s="29" t="s">
        <v>34</v>
      </c>
      <c r="D2269" s="37" t="s">
        <v>1655</v>
      </c>
      <c r="E2269" s="29" t="s">
        <v>550</v>
      </c>
      <c r="F2269" s="29" t="s">
        <v>36</v>
      </c>
      <c r="G2269" s="29">
        <v>1.18</v>
      </c>
      <c r="H2269" s="71" t="s">
        <v>549</v>
      </c>
      <c r="I2269" s="37" t="str">
        <f>"https://www.bassottosuprimentos.com.br/porca-sextavada-m12x1"</f>
        <v>https://www.bassottosuprimentos.com.br/porca-sextavada-m12x1</v>
      </c>
    </row>
    <row r="2270" spans="1:9" x14ac:dyDescent="0.25">
      <c r="A2270" s="29" t="s">
        <v>131</v>
      </c>
      <c r="B2270" s="29" t="s">
        <v>93</v>
      </c>
      <c r="C2270" s="29" t="s">
        <v>34</v>
      </c>
      <c r="D2270" s="37" t="s">
        <v>1656</v>
      </c>
      <c r="E2270" s="29" t="s">
        <v>550</v>
      </c>
      <c r="F2270" s="29" t="s">
        <v>36</v>
      </c>
      <c r="G2270" s="29">
        <v>0.18</v>
      </c>
      <c r="H2270" s="71" t="s">
        <v>549</v>
      </c>
      <c r="I2270" s="37" t="str">
        <f>"https://www.bassottosuprimentos.com.br/porca-sextavada-m6x1"</f>
        <v>https://www.bassottosuprimentos.com.br/porca-sextavada-m6x1</v>
      </c>
    </row>
    <row r="2271" spans="1:9" x14ac:dyDescent="0.25">
      <c r="A2271" s="29" t="s">
        <v>131</v>
      </c>
      <c r="B2271" s="29" t="s">
        <v>93</v>
      </c>
      <c r="C2271" s="29" t="s">
        <v>34</v>
      </c>
      <c r="D2271" s="37" t="s">
        <v>1657</v>
      </c>
      <c r="E2271" s="29" t="s">
        <v>550</v>
      </c>
      <c r="F2271" s="29" t="s">
        <v>36</v>
      </c>
      <c r="G2271" s="29">
        <v>0.32</v>
      </c>
      <c r="H2271" s="71" t="s">
        <v>549</v>
      </c>
      <c r="I2271" s="37" t="str">
        <f>"https://www.bassottosuprimentos.com.br/porca-sextavada-m8x1"</f>
        <v>https://www.bassottosuprimentos.com.br/porca-sextavada-m8x1</v>
      </c>
    </row>
    <row r="2272" spans="1:9" x14ac:dyDescent="0.25">
      <c r="A2272" s="29" t="s">
        <v>131</v>
      </c>
      <c r="B2272" s="29" t="s">
        <v>93</v>
      </c>
      <c r="C2272" s="29" t="s">
        <v>34</v>
      </c>
      <c r="D2272" s="37" t="s">
        <v>1140</v>
      </c>
      <c r="E2272" s="29" t="s">
        <v>798</v>
      </c>
      <c r="F2272" s="29" t="s">
        <v>36</v>
      </c>
      <c r="G2272" s="29">
        <v>1.05</v>
      </c>
      <c r="H2272" s="71" t="s">
        <v>800</v>
      </c>
      <c r="I2272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273" spans="1:9" x14ac:dyDescent="0.25">
      <c r="A2273" s="29" t="s">
        <v>131</v>
      </c>
      <c r="B2273" s="29" t="s">
        <v>93</v>
      </c>
      <c r="C2273" s="29" t="s">
        <v>34</v>
      </c>
      <c r="D2273" s="37" t="s">
        <v>1141</v>
      </c>
      <c r="E2273" s="29" t="s">
        <v>798</v>
      </c>
      <c r="F2273" s="29" t="s">
        <v>36</v>
      </c>
      <c r="G2273" s="29">
        <v>1.6</v>
      </c>
      <c r="H2273" s="71" t="s">
        <v>800</v>
      </c>
      <c r="I2273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274" spans="1:9" x14ac:dyDescent="0.25">
      <c r="A2274" s="29" t="s">
        <v>131</v>
      </c>
      <c r="B2274" s="29" t="s">
        <v>93</v>
      </c>
      <c r="C2274" s="29" t="s">
        <v>34</v>
      </c>
      <c r="D2274" s="37" t="s">
        <v>1142</v>
      </c>
      <c r="E2274" s="29" t="s">
        <v>798</v>
      </c>
      <c r="F2274" s="29" t="s">
        <v>36</v>
      </c>
      <c r="G2274" s="29">
        <v>2.95</v>
      </c>
      <c r="H2274" s="71" t="s">
        <v>800</v>
      </c>
      <c r="I2274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275" spans="1:9" x14ac:dyDescent="0.25">
      <c r="A2275" s="29" t="s">
        <v>131</v>
      </c>
      <c r="B2275" s="29" t="s">
        <v>93</v>
      </c>
      <c r="C2275" s="29">
        <v>12362</v>
      </c>
      <c r="D2275" s="37" t="s">
        <v>2059</v>
      </c>
      <c r="E2275" s="29" t="s">
        <v>37</v>
      </c>
      <c r="F2275" s="29" t="s">
        <v>36</v>
      </c>
      <c r="G2275" s="29">
        <v>22.11</v>
      </c>
      <c r="H2275" s="71" t="s">
        <v>38</v>
      </c>
      <c r="I2275" s="37" t="s">
        <v>207</v>
      </c>
    </row>
    <row r="2276" spans="1:9" x14ac:dyDescent="0.25">
      <c r="A2276" s="29" t="s">
        <v>131</v>
      </c>
      <c r="B2276" s="29" t="s">
        <v>93</v>
      </c>
      <c r="C2276" s="29">
        <v>421</v>
      </c>
      <c r="D2276" s="37" t="s">
        <v>3101</v>
      </c>
      <c r="E2276" s="29" t="s">
        <v>37</v>
      </c>
      <c r="F2276" s="29" t="s">
        <v>36</v>
      </c>
      <c r="G2276" s="29">
        <v>21.12</v>
      </c>
      <c r="H2276" s="71" t="s">
        <v>38</v>
      </c>
      <c r="I2276" s="37" t="s">
        <v>207</v>
      </c>
    </row>
    <row r="2277" spans="1:9" x14ac:dyDescent="0.25">
      <c r="A2277" s="29" t="s">
        <v>131</v>
      </c>
      <c r="B2277" s="29" t="s">
        <v>93</v>
      </c>
      <c r="C2277" s="29" t="s">
        <v>34</v>
      </c>
      <c r="D2277" s="37" t="s">
        <v>1658</v>
      </c>
      <c r="E2277" s="29" t="s">
        <v>37</v>
      </c>
      <c r="F2277" s="29" t="s">
        <v>36</v>
      </c>
      <c r="I2277" s="37" t="s">
        <v>37</v>
      </c>
    </row>
    <row r="2278" spans="1:9" x14ac:dyDescent="0.25">
      <c r="A2278" s="29" t="s">
        <v>131</v>
      </c>
      <c r="B2278" s="29" t="s">
        <v>93</v>
      </c>
      <c r="C2278" s="29" t="s">
        <v>34</v>
      </c>
      <c r="D2278" s="37" t="s">
        <v>1143</v>
      </c>
      <c r="E2278" s="29" t="s">
        <v>798</v>
      </c>
      <c r="F2278" s="29" t="s">
        <v>36</v>
      </c>
      <c r="G2278" s="29">
        <v>0.14000000000000001</v>
      </c>
      <c r="H2278" s="71" t="s">
        <v>800</v>
      </c>
      <c r="I2278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279" spans="1:9" x14ac:dyDescent="0.25">
      <c r="A2279" s="29" t="s">
        <v>131</v>
      </c>
      <c r="B2279" s="29" t="s">
        <v>93</v>
      </c>
      <c r="C2279" s="29" t="s">
        <v>34</v>
      </c>
      <c r="D2279" s="37" t="s">
        <v>1144</v>
      </c>
      <c r="E2279" s="29" t="s">
        <v>798</v>
      </c>
      <c r="F2279" s="29" t="s">
        <v>36</v>
      </c>
      <c r="G2279" s="29">
        <v>0.27</v>
      </c>
      <c r="H2279" s="71" t="s">
        <v>800</v>
      </c>
      <c r="I2279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280" spans="1:9" x14ac:dyDescent="0.25">
      <c r="A2280" s="29" t="s">
        <v>131</v>
      </c>
      <c r="B2280" s="29" t="s">
        <v>93</v>
      </c>
      <c r="C2280" s="29" t="s">
        <v>34</v>
      </c>
      <c r="D2280" s="37" t="s">
        <v>1145</v>
      </c>
      <c r="E2280" s="29" t="s">
        <v>798</v>
      </c>
      <c r="F2280" s="29" t="s">
        <v>36</v>
      </c>
      <c r="G2280" s="29">
        <v>0.23</v>
      </c>
      <c r="H2280" s="71" t="s">
        <v>800</v>
      </c>
      <c r="I2280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281" spans="1:9" x14ac:dyDescent="0.25">
      <c r="A2281" s="29" t="s">
        <v>131</v>
      </c>
      <c r="B2281" s="29" t="s">
        <v>93</v>
      </c>
      <c r="C2281" s="29" t="s">
        <v>34</v>
      </c>
      <c r="D2281" s="37" t="s">
        <v>1390</v>
      </c>
      <c r="E2281" s="29" t="s">
        <v>550</v>
      </c>
      <c r="F2281" s="29" t="s">
        <v>36</v>
      </c>
      <c r="G2281" s="29">
        <v>0.37</v>
      </c>
      <c r="H2281" s="71" t="s">
        <v>549</v>
      </c>
      <c r="I2281" s="37" t="str">
        <f>"https://www.bassottosuprimentos.com.br/porca-sextavada-ma-10-x-1"</f>
        <v>https://www.bassottosuprimentos.com.br/porca-sextavada-ma-10-x-1</v>
      </c>
    </row>
    <row r="2282" spans="1:9" x14ac:dyDescent="0.25">
      <c r="A2282" s="29" t="s">
        <v>131</v>
      </c>
      <c r="B2282" s="29" t="s">
        <v>93</v>
      </c>
      <c r="C2282" s="29" t="s">
        <v>34</v>
      </c>
      <c r="D2282" s="37" t="s">
        <v>1391</v>
      </c>
      <c r="E2282" s="29" t="s">
        <v>550</v>
      </c>
      <c r="F2282" s="29" t="s">
        <v>36</v>
      </c>
      <c r="G2282" s="29">
        <v>0.52</v>
      </c>
      <c r="H2282" s="71" t="s">
        <v>549</v>
      </c>
      <c r="I2282" s="37" t="str">
        <f>"https://www.bassottosuprimentos.com.br/porca-sextavada-ma-12-x-1"</f>
        <v>https://www.bassottosuprimentos.com.br/porca-sextavada-ma-12-x-1</v>
      </c>
    </row>
    <row r="2283" spans="1:9" x14ac:dyDescent="0.25">
      <c r="A2283" s="29" t="s">
        <v>131</v>
      </c>
      <c r="B2283" s="29" t="s">
        <v>93</v>
      </c>
      <c r="C2283" s="29" t="s">
        <v>34</v>
      </c>
      <c r="D2283" s="37" t="s">
        <v>1392</v>
      </c>
      <c r="E2283" s="29" t="s">
        <v>550</v>
      </c>
      <c r="F2283" s="29" t="s">
        <v>36</v>
      </c>
      <c r="G2283" s="29">
        <v>0.06</v>
      </c>
      <c r="H2283" s="71" t="s">
        <v>549</v>
      </c>
      <c r="I2283" s="37" t="str">
        <f>"https://www.bassottosuprimentos.com.br/porca-sextavada-ma-6-x-1"</f>
        <v>https://www.bassottosuprimentos.com.br/porca-sextavada-ma-6-x-1</v>
      </c>
    </row>
    <row r="2284" spans="1:9" x14ac:dyDescent="0.25">
      <c r="A2284" s="29" t="s">
        <v>131</v>
      </c>
      <c r="B2284" s="29" t="s">
        <v>93</v>
      </c>
      <c r="C2284" s="29" t="s">
        <v>34</v>
      </c>
      <c r="D2284" s="37" t="s">
        <v>1393</v>
      </c>
      <c r="E2284" s="29" t="s">
        <v>550</v>
      </c>
      <c r="F2284" s="29" t="s">
        <v>36</v>
      </c>
      <c r="G2284" s="29">
        <v>0.13</v>
      </c>
      <c r="H2284" s="71" t="s">
        <v>549</v>
      </c>
      <c r="I2284" s="37" t="str">
        <f>"https://www.bassottosuprimentos.com.br/porca-sextavada-ma-8-x-1"</f>
        <v>https://www.bassottosuprimentos.com.br/porca-sextavada-ma-8-x-1</v>
      </c>
    </row>
    <row r="2285" spans="1:9" x14ac:dyDescent="0.25">
      <c r="A2285" s="29" t="s">
        <v>131</v>
      </c>
      <c r="B2285" s="29" t="s">
        <v>93</v>
      </c>
      <c r="C2285" s="29" t="s">
        <v>34</v>
      </c>
      <c r="D2285" s="37" t="s">
        <v>1659</v>
      </c>
      <c r="E2285" s="29" t="s">
        <v>550</v>
      </c>
      <c r="F2285" s="29" t="s">
        <v>36</v>
      </c>
      <c r="G2285" s="29">
        <v>1</v>
      </c>
      <c r="H2285" s="71" t="s">
        <v>549</v>
      </c>
      <c r="I2285" s="37" t="str">
        <f>"https://www.bassottosuprimentos.com.br/porca-sextavada-travante-nylon-m10-inox-304-a2"</f>
        <v>https://www.bassottosuprimentos.com.br/porca-sextavada-travante-nylon-m10-inox-304-a2</v>
      </c>
    </row>
    <row r="2286" spans="1:9" x14ac:dyDescent="0.25">
      <c r="A2286" s="29" t="s">
        <v>131</v>
      </c>
      <c r="B2286" s="29" t="s">
        <v>93</v>
      </c>
      <c r="C2286" s="29" t="s">
        <v>34</v>
      </c>
      <c r="D2286" s="37" t="s">
        <v>1660</v>
      </c>
      <c r="E2286" s="29" t="s">
        <v>550</v>
      </c>
      <c r="F2286" s="29" t="s">
        <v>36</v>
      </c>
      <c r="G2286" s="29">
        <v>1.82</v>
      </c>
      <c r="H2286" s="71" t="s">
        <v>549</v>
      </c>
      <c r="I2286" s="37" t="str">
        <f>"https://www.bassottosuprimentos.com.br/porca-sextavada-travante-nylon-m12-inox-304-a2"</f>
        <v>https://www.bassottosuprimentos.com.br/porca-sextavada-travante-nylon-m12-inox-304-a2</v>
      </c>
    </row>
    <row r="2287" spans="1:9" x14ac:dyDescent="0.25">
      <c r="A2287" s="29" t="s">
        <v>131</v>
      </c>
      <c r="B2287" s="29" t="s">
        <v>93</v>
      </c>
      <c r="C2287" s="29" t="s">
        <v>34</v>
      </c>
      <c r="D2287" s="37" t="s">
        <v>1661</v>
      </c>
      <c r="E2287" s="29" t="s">
        <v>550</v>
      </c>
      <c r="F2287" s="29" t="s">
        <v>36</v>
      </c>
      <c r="G2287" s="29">
        <v>0.23</v>
      </c>
      <c r="H2287" s="71" t="s">
        <v>549</v>
      </c>
      <c r="I2287" s="37" t="str">
        <f>"https://www.bassottosuprimentos.com.br/porca-sextavada-travante-nylon-m6-inox-304-a2"</f>
        <v>https://www.bassottosuprimentos.com.br/porca-sextavada-travante-nylon-m6-inox-304-a2</v>
      </c>
    </row>
    <row r="2288" spans="1:9" x14ac:dyDescent="0.25">
      <c r="A2288" s="29" t="s">
        <v>131</v>
      </c>
      <c r="B2288" s="29" t="s">
        <v>93</v>
      </c>
      <c r="C2288" s="29" t="s">
        <v>34</v>
      </c>
      <c r="D2288" s="37" t="s">
        <v>1662</v>
      </c>
      <c r="E2288" s="29" t="s">
        <v>550</v>
      </c>
      <c r="F2288" s="29" t="s">
        <v>36</v>
      </c>
      <c r="G2288" s="29">
        <v>0.36</v>
      </c>
      <c r="H2288" s="71" t="s">
        <v>549</v>
      </c>
      <c r="I2288" s="37" t="str">
        <f>"https://www.bassottosuprimentos.com.br/porca-sextavada-travante-nylon-m8-inox-304-a2"</f>
        <v>https://www.bassottosuprimentos.com.br/porca-sextavada-travante-nylon-m8-inox-304-a2</v>
      </c>
    </row>
    <row r="2289" spans="1:9" x14ac:dyDescent="0.25">
      <c r="A2289" s="29" t="s">
        <v>131</v>
      </c>
      <c r="B2289" s="29" t="s">
        <v>93</v>
      </c>
      <c r="C2289" s="29" t="s">
        <v>34</v>
      </c>
      <c r="D2289" s="37" t="s">
        <v>1146</v>
      </c>
      <c r="E2289" s="29" t="s">
        <v>550</v>
      </c>
      <c r="F2289" s="29" t="s">
        <v>36</v>
      </c>
      <c r="G2289" s="29">
        <v>0.37</v>
      </c>
      <c r="H2289" s="71" t="s">
        <v>549</v>
      </c>
      <c r="I2289" s="37" t="str">
        <f>"https://www.bassottosuprimentos.com.br/porca-sextavada-travante-nylon-ma-10-zincado-branco"</f>
        <v>https://www.bassottosuprimentos.com.br/porca-sextavada-travante-nylon-ma-10-zincado-branco</v>
      </c>
    </row>
    <row r="2290" spans="1:9" x14ac:dyDescent="0.25">
      <c r="A2290" s="29" t="s">
        <v>131</v>
      </c>
      <c r="B2290" s="29" t="s">
        <v>93</v>
      </c>
      <c r="C2290" s="29" t="s">
        <v>34</v>
      </c>
      <c r="D2290" s="37" t="s">
        <v>1147</v>
      </c>
      <c r="E2290" s="29" t="s">
        <v>550</v>
      </c>
      <c r="F2290" s="29" t="s">
        <v>36</v>
      </c>
      <c r="G2290" s="29">
        <v>0.76</v>
      </c>
      <c r="H2290" s="71" t="s">
        <v>549</v>
      </c>
      <c r="I2290" s="37" t="str">
        <f>"https://www.bassottosuprimentos.com.br/porca-sextavada-travante-nylon-ma-12-zincado-branco"</f>
        <v>https://www.bassottosuprimentos.com.br/porca-sextavada-travante-nylon-ma-12-zincado-branco</v>
      </c>
    </row>
    <row r="2291" spans="1:9" x14ac:dyDescent="0.25">
      <c r="A2291" s="29" t="s">
        <v>131</v>
      </c>
      <c r="B2291" s="29" t="s">
        <v>93</v>
      </c>
      <c r="C2291" s="29" t="s">
        <v>34</v>
      </c>
      <c r="D2291" s="37" t="s">
        <v>1148</v>
      </c>
      <c r="E2291" s="29" t="s">
        <v>550</v>
      </c>
      <c r="F2291" s="29" t="s">
        <v>36</v>
      </c>
      <c r="G2291" s="29">
        <v>0.09</v>
      </c>
      <c r="H2291" s="71" t="s">
        <v>549</v>
      </c>
      <c r="I2291" s="37" t="str">
        <f>"https://www.bassottosuprimentos.com.br/porca-sextavada-travante-nylon-ma-6-zincado-branco"</f>
        <v>https://www.bassottosuprimentos.com.br/porca-sextavada-travante-nylon-ma-6-zincado-branco</v>
      </c>
    </row>
    <row r="2292" spans="1:9" x14ac:dyDescent="0.25">
      <c r="A2292" s="29" t="s">
        <v>131</v>
      </c>
      <c r="B2292" s="29" t="s">
        <v>93</v>
      </c>
      <c r="C2292" s="29" t="s">
        <v>34</v>
      </c>
      <c r="D2292" s="37" t="s">
        <v>1149</v>
      </c>
      <c r="E2292" s="29" t="s">
        <v>550</v>
      </c>
      <c r="F2292" s="29" t="s">
        <v>36</v>
      </c>
      <c r="G2292" s="29">
        <v>0.19</v>
      </c>
      <c r="H2292" s="71" t="s">
        <v>549</v>
      </c>
      <c r="I2292" s="37" t="str">
        <f>"https://www.bassottosuprimentos.com.br/porca-sextavada-travante-nylon-ma-8-zincado-branco"</f>
        <v>https://www.bassottosuprimentos.com.br/porca-sextavada-travante-nylon-ma-8-zincado-branco</v>
      </c>
    </row>
    <row r="2293" spans="1:9" x14ac:dyDescent="0.25">
      <c r="A2293" s="29" t="s">
        <v>131</v>
      </c>
      <c r="B2293" s="29" t="s">
        <v>93</v>
      </c>
      <c r="C2293" s="29" t="s">
        <v>34</v>
      </c>
      <c r="D2293" s="37" t="s">
        <v>1394</v>
      </c>
      <c r="E2293" s="29" t="s">
        <v>550</v>
      </c>
      <c r="F2293" s="29" t="s">
        <v>36</v>
      </c>
      <c r="G2293" s="29">
        <v>0.26</v>
      </c>
      <c r="H2293" s="71" t="s">
        <v>549</v>
      </c>
      <c r="I2293" s="37" t="str">
        <f>"https://www.bassottosuprimentos.com.br/porca-sextavada-ma-10-x-1-3299"</f>
        <v>https://www.bassottosuprimentos.com.br/porca-sextavada-ma-10-x-1-3299</v>
      </c>
    </row>
    <row r="2294" spans="1:9" x14ac:dyDescent="0.25">
      <c r="A2294" s="29" t="s">
        <v>131</v>
      </c>
      <c r="B2294" s="29" t="s">
        <v>93</v>
      </c>
      <c r="C2294" s="29" t="s">
        <v>34</v>
      </c>
      <c r="D2294" s="37" t="s">
        <v>1395</v>
      </c>
      <c r="E2294" s="29" t="s">
        <v>550</v>
      </c>
      <c r="F2294" s="29" t="s">
        <v>36</v>
      </c>
      <c r="G2294" s="29">
        <v>0.36</v>
      </c>
      <c r="H2294" s="71" t="s">
        <v>549</v>
      </c>
      <c r="I2294" s="37" t="str">
        <f>"https://www.bassottosuprimentos.com.br/porca-sextavada-ma-12-x-1-3301"</f>
        <v>https://www.bassottosuprimentos.com.br/porca-sextavada-ma-12-x-1-3301</v>
      </c>
    </row>
    <row r="2295" spans="1:9" x14ac:dyDescent="0.25">
      <c r="A2295" s="29" t="s">
        <v>131</v>
      </c>
      <c r="B2295" s="29" t="s">
        <v>93</v>
      </c>
      <c r="C2295" s="29" t="s">
        <v>34</v>
      </c>
      <c r="D2295" s="37" t="s">
        <v>1396</v>
      </c>
      <c r="E2295" s="29" t="s">
        <v>550</v>
      </c>
      <c r="F2295" s="29" t="s">
        <v>36</v>
      </c>
      <c r="G2295" s="29">
        <v>7.0000000000000007E-2</v>
      </c>
      <c r="H2295" s="71" t="s">
        <v>549</v>
      </c>
      <c r="I2295" s="37" t="str">
        <f>"https://www.bassottosuprimentos.com.br/porca-sextavada-ma-6-x-1-5185"</f>
        <v>https://www.bassottosuprimentos.com.br/porca-sextavada-ma-6-x-1-5185</v>
      </c>
    </row>
    <row r="2296" spans="1:9" x14ac:dyDescent="0.25">
      <c r="A2296" s="29" t="s">
        <v>131</v>
      </c>
      <c r="B2296" s="29" t="s">
        <v>93</v>
      </c>
      <c r="C2296" s="29" t="s">
        <v>34</v>
      </c>
      <c r="D2296" s="37" t="s">
        <v>1397</v>
      </c>
      <c r="E2296" s="29" t="s">
        <v>550</v>
      </c>
      <c r="F2296" s="29" t="s">
        <v>36</v>
      </c>
      <c r="G2296" s="29">
        <v>0.12</v>
      </c>
      <c r="H2296" s="71" t="s">
        <v>549</v>
      </c>
      <c r="I2296" s="37" t="str">
        <f>"https://www.bassottosuprimentos.com.br/porca-sextavada-ma-8-x-1-1361"</f>
        <v>https://www.bassottosuprimentos.com.br/porca-sextavada-ma-8-x-1-1361</v>
      </c>
    </row>
    <row r="2297" spans="1:9" x14ac:dyDescent="0.25">
      <c r="A2297" s="29" t="s">
        <v>131</v>
      </c>
      <c r="B2297" s="29" t="s">
        <v>93</v>
      </c>
      <c r="C2297" s="29">
        <v>14148</v>
      </c>
      <c r="D2297" s="37" t="s">
        <v>1398</v>
      </c>
      <c r="E2297" s="29" t="s">
        <v>37</v>
      </c>
      <c r="F2297" s="29" t="s">
        <v>36</v>
      </c>
      <c r="G2297" s="29">
        <v>1</v>
      </c>
      <c r="H2297" s="71" t="s">
        <v>38</v>
      </c>
      <c r="I2297" s="37" t="s">
        <v>207</v>
      </c>
    </row>
    <row r="2298" spans="1:9" x14ac:dyDescent="0.25">
      <c r="A2298" s="29" t="s">
        <v>131</v>
      </c>
      <c r="B2298" s="29" t="s">
        <v>93</v>
      </c>
      <c r="C2298" s="29">
        <v>4341</v>
      </c>
      <c r="D2298" s="37" t="s">
        <v>1150</v>
      </c>
      <c r="E2298" s="29" t="s">
        <v>37</v>
      </c>
      <c r="F2298" s="29" t="s">
        <v>36</v>
      </c>
      <c r="G2298" s="29">
        <v>1.36</v>
      </c>
      <c r="H2298" s="71" t="s">
        <v>38</v>
      </c>
      <c r="I2298" s="37" t="s">
        <v>207</v>
      </c>
    </row>
    <row r="2299" spans="1:9" x14ac:dyDescent="0.25">
      <c r="A2299" s="29" t="s">
        <v>131</v>
      </c>
      <c r="B2299" s="29" t="s">
        <v>93</v>
      </c>
      <c r="C2299" s="29">
        <v>4337</v>
      </c>
      <c r="D2299" s="37" t="s">
        <v>1151</v>
      </c>
      <c r="E2299" s="29" t="s">
        <v>37</v>
      </c>
      <c r="F2299" s="29" t="s">
        <v>36</v>
      </c>
      <c r="G2299" s="29">
        <v>3.44</v>
      </c>
      <c r="H2299" s="71" t="s">
        <v>38</v>
      </c>
      <c r="I2299" s="37" t="s">
        <v>207</v>
      </c>
    </row>
    <row r="2300" spans="1:9" x14ac:dyDescent="0.25">
      <c r="A2300" s="29" t="s">
        <v>131</v>
      </c>
      <c r="B2300" s="29" t="s">
        <v>93</v>
      </c>
      <c r="C2300" s="29">
        <v>11971</v>
      </c>
      <c r="D2300" s="37" t="s">
        <v>1152</v>
      </c>
      <c r="E2300" s="29" t="s">
        <v>37</v>
      </c>
      <c r="F2300" s="29" t="s">
        <v>36</v>
      </c>
      <c r="G2300" s="29">
        <v>5.69</v>
      </c>
      <c r="H2300" s="71" t="s">
        <v>38</v>
      </c>
      <c r="I2300" s="37" t="s">
        <v>207</v>
      </c>
    </row>
    <row r="2301" spans="1:9" x14ac:dyDescent="0.25">
      <c r="A2301" s="29" t="s">
        <v>131</v>
      </c>
      <c r="B2301" s="29" t="s">
        <v>93</v>
      </c>
      <c r="C2301" s="29">
        <v>4339</v>
      </c>
      <c r="D2301" s="37" t="s">
        <v>1153</v>
      </c>
      <c r="E2301" s="29" t="s">
        <v>37</v>
      </c>
      <c r="F2301" s="29" t="s">
        <v>36</v>
      </c>
      <c r="G2301" s="29">
        <v>0.73</v>
      </c>
      <c r="H2301" s="71" t="s">
        <v>38</v>
      </c>
      <c r="I2301" s="37" t="s">
        <v>207</v>
      </c>
    </row>
    <row r="2302" spans="1:9" x14ac:dyDescent="0.25">
      <c r="A2302" s="29" t="s">
        <v>131</v>
      </c>
      <c r="B2302" s="29" t="s">
        <v>93</v>
      </c>
      <c r="C2302" s="29">
        <v>39997</v>
      </c>
      <c r="D2302" s="37" t="s">
        <v>1154</v>
      </c>
      <c r="E2302" s="29" t="s">
        <v>37</v>
      </c>
      <c r="F2302" s="29" t="s">
        <v>36</v>
      </c>
      <c r="G2302" s="29">
        <v>0.41</v>
      </c>
      <c r="H2302" s="71" t="s">
        <v>38</v>
      </c>
      <c r="I2302" s="37" t="s">
        <v>207</v>
      </c>
    </row>
    <row r="2303" spans="1:9" x14ac:dyDescent="0.25">
      <c r="A2303" s="29" t="s">
        <v>131</v>
      </c>
      <c r="B2303" s="29" t="s">
        <v>93</v>
      </c>
      <c r="C2303" s="29">
        <v>4342</v>
      </c>
      <c r="D2303" s="37" t="s">
        <v>1155</v>
      </c>
      <c r="E2303" s="29" t="s">
        <v>37</v>
      </c>
      <c r="F2303" s="29" t="s">
        <v>36</v>
      </c>
      <c r="G2303" s="29">
        <v>0.3</v>
      </c>
      <c r="H2303" s="71" t="s">
        <v>38</v>
      </c>
      <c r="I2303" s="37" t="s">
        <v>207</v>
      </c>
    </row>
    <row r="2304" spans="1:9" x14ac:dyDescent="0.25">
      <c r="A2304" s="29" t="s">
        <v>131</v>
      </c>
      <c r="B2304" s="29" t="s">
        <v>93</v>
      </c>
      <c r="C2304" s="29">
        <v>4330</v>
      </c>
      <c r="D2304" s="37" t="s">
        <v>1156</v>
      </c>
      <c r="E2304" s="29" t="s">
        <v>37</v>
      </c>
      <c r="F2304" s="29" t="s">
        <v>36</v>
      </c>
      <c r="G2304" s="29">
        <v>0.2</v>
      </c>
      <c r="H2304" s="71" t="s">
        <v>38</v>
      </c>
      <c r="I2304" s="37" t="s">
        <v>207</v>
      </c>
    </row>
    <row r="2305" spans="1:9" x14ac:dyDescent="0.25">
      <c r="A2305" s="29" t="s">
        <v>131</v>
      </c>
      <c r="B2305" s="29" t="s">
        <v>93</v>
      </c>
      <c r="C2305" s="29">
        <v>4340</v>
      </c>
      <c r="D2305" s="37" t="s">
        <v>1157</v>
      </c>
      <c r="E2305" s="29" t="s">
        <v>37</v>
      </c>
      <c r="F2305" s="29" t="s">
        <v>36</v>
      </c>
      <c r="G2305" s="29">
        <v>1.59</v>
      </c>
      <c r="H2305" s="71" t="s">
        <v>38</v>
      </c>
      <c r="I2305" s="37" t="s">
        <v>207</v>
      </c>
    </row>
    <row r="2306" spans="1:9" x14ac:dyDescent="0.25">
      <c r="A2306" s="29" t="s">
        <v>131</v>
      </c>
      <c r="B2306" s="29" t="s">
        <v>809</v>
      </c>
      <c r="C2306" s="29" t="s">
        <v>34</v>
      </c>
      <c r="D2306" s="37" t="s">
        <v>1158</v>
      </c>
      <c r="E2306" s="29" t="s">
        <v>798</v>
      </c>
      <c r="F2306" s="29" t="s">
        <v>36</v>
      </c>
      <c r="G2306" s="29">
        <v>1.5</v>
      </c>
      <c r="H2306" s="71" t="s">
        <v>800</v>
      </c>
      <c r="I2306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307" spans="1:9" x14ac:dyDescent="0.25">
      <c r="A2307" s="29" t="s">
        <v>131</v>
      </c>
      <c r="B2307" s="29" t="s">
        <v>809</v>
      </c>
      <c r="C2307" s="29" t="s">
        <v>34</v>
      </c>
      <c r="D2307" s="37" t="s">
        <v>1159</v>
      </c>
      <c r="E2307" s="29" t="s">
        <v>798</v>
      </c>
      <c r="F2307" s="29" t="s">
        <v>36</v>
      </c>
      <c r="G2307" s="29">
        <v>2</v>
      </c>
      <c r="H2307" s="71" t="s">
        <v>800</v>
      </c>
      <c r="I2307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308" spans="1:9" x14ac:dyDescent="0.25">
      <c r="A2308" s="29" t="s">
        <v>131</v>
      </c>
      <c r="B2308" s="29" t="s">
        <v>809</v>
      </c>
      <c r="C2308" s="29" t="s">
        <v>34</v>
      </c>
      <c r="D2308" s="37" t="s">
        <v>1160</v>
      </c>
      <c r="E2308" s="29" t="s">
        <v>798</v>
      </c>
      <c r="F2308" s="29" t="s">
        <v>36</v>
      </c>
      <c r="G2308" s="29">
        <v>2.2000000000000002</v>
      </c>
      <c r="H2308" s="71" t="s">
        <v>800</v>
      </c>
      <c r="I2308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309" spans="1:9" x14ac:dyDescent="0.25">
      <c r="A2309" s="29" t="s">
        <v>131</v>
      </c>
      <c r="B2309" s="29" t="s">
        <v>67</v>
      </c>
      <c r="C2309" s="29" t="s">
        <v>34</v>
      </c>
      <c r="D2309" s="37" t="s">
        <v>2672</v>
      </c>
      <c r="E2309" s="29" t="s">
        <v>575</v>
      </c>
      <c r="F2309" s="29" t="s">
        <v>36</v>
      </c>
      <c r="G2309" s="29">
        <v>0.55000000000000004</v>
      </c>
      <c r="H2309" s="71" t="s">
        <v>738</v>
      </c>
      <c r="I2309" s="37" t="str">
        <f>"https://www.dimensional.com.br/luva-emenda-compressao-cobre-c-isolacao-vermelha-0-50-1-50-mm2-intelli/p"</f>
        <v>https://www.dimensional.com.br/luva-emenda-compressao-cobre-c-isolacao-vermelha-0-50-1-50-mm2-intelli/p</v>
      </c>
    </row>
    <row r="2310" spans="1:9" x14ac:dyDescent="0.25">
      <c r="A2310" s="29" t="s">
        <v>131</v>
      </c>
      <c r="B2310" s="29" t="s">
        <v>67</v>
      </c>
      <c r="C2310" s="29" t="s">
        <v>34</v>
      </c>
      <c r="D2310" s="37" t="s">
        <v>2673</v>
      </c>
      <c r="E2310" s="29" t="s">
        <v>576</v>
      </c>
      <c r="F2310" s="29" t="s">
        <v>36</v>
      </c>
      <c r="G2310" s="29">
        <v>0.6</v>
      </c>
      <c r="H2310" s="71" t="s">
        <v>738</v>
      </c>
      <c r="I2310" s="37" t="str">
        <f>"https://www.dimensional.com.br/luva-emenda-compressao-cobre-c-isolacao-azul-150-250-mm2/p"</f>
        <v>https://www.dimensional.com.br/luva-emenda-compressao-cobre-c-isolacao-azul-150-250-mm2/p</v>
      </c>
    </row>
    <row r="2311" spans="1:9" x14ac:dyDescent="0.25">
      <c r="A2311" s="29" t="s">
        <v>131</v>
      </c>
      <c r="B2311" s="29" t="s">
        <v>67</v>
      </c>
      <c r="C2311" s="29" t="s">
        <v>34</v>
      </c>
      <c r="D2311" s="37" t="s">
        <v>2674</v>
      </c>
      <c r="E2311" s="29" t="s">
        <v>577</v>
      </c>
      <c r="F2311" s="29" t="s">
        <v>36</v>
      </c>
      <c r="G2311" s="29">
        <v>1.19</v>
      </c>
      <c r="H2311" s="71" t="s">
        <v>738</v>
      </c>
      <c r="I2311" s="37" t="str">
        <f>"https://www.dimensional.com.br/luva-emenda-compressao-cobre-c-isolacao-amarelo-400-600-mm2/p"</f>
        <v>https://www.dimensional.com.br/luva-emenda-compressao-cobre-c-isolacao-amarelo-400-600-mm2/p</v>
      </c>
    </row>
    <row r="2312" spans="1:9" x14ac:dyDescent="0.25">
      <c r="A2312" s="29" t="s">
        <v>131</v>
      </c>
      <c r="B2312" s="29" t="s">
        <v>67</v>
      </c>
      <c r="C2312" s="29">
        <v>1574</v>
      </c>
      <c r="D2312" s="37" t="s">
        <v>2324</v>
      </c>
      <c r="E2312" s="29" t="s">
        <v>37</v>
      </c>
      <c r="F2312" s="29" t="s">
        <v>36</v>
      </c>
      <c r="G2312" s="29">
        <v>1.66</v>
      </c>
      <c r="H2312" s="71" t="s">
        <v>38</v>
      </c>
      <c r="I2312" s="37" t="s">
        <v>207</v>
      </c>
    </row>
    <row r="2313" spans="1:9" x14ac:dyDescent="0.25">
      <c r="A2313" s="29" t="s">
        <v>131</v>
      </c>
      <c r="B2313" s="29" t="s">
        <v>67</v>
      </c>
      <c r="C2313" s="29">
        <v>1581</v>
      </c>
      <c r="D2313" s="37" t="s">
        <v>2325</v>
      </c>
      <c r="E2313" s="29" t="s">
        <v>37</v>
      </c>
      <c r="F2313" s="29" t="s">
        <v>36</v>
      </c>
      <c r="G2313" s="29">
        <v>11.51</v>
      </c>
      <c r="H2313" s="71" t="s">
        <v>38</v>
      </c>
      <c r="I2313" s="37" t="s">
        <v>207</v>
      </c>
    </row>
    <row r="2314" spans="1:9" x14ac:dyDescent="0.25">
      <c r="A2314" s="29" t="s">
        <v>131</v>
      </c>
      <c r="B2314" s="29" t="s">
        <v>67</v>
      </c>
      <c r="C2314" s="29">
        <v>1575</v>
      </c>
      <c r="D2314" s="37" t="s">
        <v>2326</v>
      </c>
      <c r="E2314" s="29" t="s">
        <v>37</v>
      </c>
      <c r="F2314" s="29" t="s">
        <v>36</v>
      </c>
      <c r="G2314" s="29">
        <v>1.97</v>
      </c>
      <c r="H2314" s="71" t="s">
        <v>38</v>
      </c>
      <c r="I2314" s="37" t="s">
        <v>207</v>
      </c>
    </row>
    <row r="2315" spans="1:9" x14ac:dyDescent="0.25">
      <c r="A2315" s="29" t="s">
        <v>131</v>
      </c>
      <c r="B2315" s="29" t="s">
        <v>67</v>
      </c>
      <c r="C2315" s="29">
        <v>1570</v>
      </c>
      <c r="D2315" s="37" t="s">
        <v>2327</v>
      </c>
      <c r="E2315" s="29" t="s">
        <v>37</v>
      </c>
      <c r="F2315" s="29" t="s">
        <v>36</v>
      </c>
      <c r="G2315" s="29">
        <v>0.99</v>
      </c>
      <c r="H2315" s="71" t="s">
        <v>38</v>
      </c>
      <c r="I2315" s="37" t="s">
        <v>207</v>
      </c>
    </row>
    <row r="2316" spans="1:9" x14ac:dyDescent="0.25">
      <c r="A2316" s="29" t="s">
        <v>131</v>
      </c>
      <c r="B2316" s="29" t="s">
        <v>67</v>
      </c>
      <c r="C2316" s="29">
        <v>1576</v>
      </c>
      <c r="D2316" s="37" t="s">
        <v>2328</v>
      </c>
      <c r="E2316" s="29" t="s">
        <v>37</v>
      </c>
      <c r="F2316" s="29" t="s">
        <v>36</v>
      </c>
      <c r="G2316" s="29">
        <v>2.72</v>
      </c>
      <c r="H2316" s="71" t="s">
        <v>38</v>
      </c>
      <c r="I2316" s="37" t="s">
        <v>207</v>
      </c>
    </row>
    <row r="2317" spans="1:9" x14ac:dyDescent="0.25">
      <c r="A2317" s="29" t="s">
        <v>131</v>
      </c>
      <c r="B2317" s="29" t="s">
        <v>67</v>
      </c>
      <c r="C2317" s="29">
        <v>1577</v>
      </c>
      <c r="D2317" s="37" t="s">
        <v>2329</v>
      </c>
      <c r="E2317" s="29" t="s">
        <v>37</v>
      </c>
      <c r="F2317" s="29" t="s">
        <v>36</v>
      </c>
      <c r="G2317" s="29">
        <v>3.07</v>
      </c>
      <c r="H2317" s="71" t="s">
        <v>38</v>
      </c>
      <c r="I2317" s="37" t="s">
        <v>207</v>
      </c>
    </row>
    <row r="2318" spans="1:9" x14ac:dyDescent="0.25">
      <c r="A2318" s="29" t="s">
        <v>131</v>
      </c>
      <c r="B2318" s="29" t="s">
        <v>67</v>
      </c>
      <c r="C2318" s="29">
        <v>1571</v>
      </c>
      <c r="D2318" s="37" t="s">
        <v>2330</v>
      </c>
      <c r="E2318" s="29" t="s">
        <v>37</v>
      </c>
      <c r="F2318" s="29" t="s">
        <v>36</v>
      </c>
      <c r="G2318" s="29">
        <v>1.29</v>
      </c>
      <c r="H2318" s="71" t="s">
        <v>38</v>
      </c>
      <c r="I2318" s="37" t="s">
        <v>207</v>
      </c>
    </row>
    <row r="2319" spans="1:9" x14ac:dyDescent="0.25">
      <c r="A2319" s="29" t="s">
        <v>131</v>
      </c>
      <c r="B2319" s="29" t="s">
        <v>67</v>
      </c>
      <c r="C2319" s="29">
        <v>1578</v>
      </c>
      <c r="D2319" s="37" t="s">
        <v>2331</v>
      </c>
      <c r="E2319" s="29" t="s">
        <v>37</v>
      </c>
      <c r="F2319" s="29" t="s">
        <v>36</v>
      </c>
      <c r="G2319" s="29">
        <v>5.33</v>
      </c>
      <c r="H2319" s="71" t="s">
        <v>38</v>
      </c>
      <c r="I2319" s="37" t="s">
        <v>207</v>
      </c>
    </row>
    <row r="2320" spans="1:9" x14ac:dyDescent="0.25">
      <c r="A2320" s="29" t="s">
        <v>131</v>
      </c>
      <c r="B2320" s="29" t="s">
        <v>67</v>
      </c>
      <c r="C2320" s="29">
        <v>1573</v>
      </c>
      <c r="D2320" s="37" t="s">
        <v>2332</v>
      </c>
      <c r="E2320" s="29" t="s">
        <v>37</v>
      </c>
      <c r="F2320" s="29" t="s">
        <v>36</v>
      </c>
      <c r="G2320" s="29">
        <v>1.53</v>
      </c>
      <c r="H2320" s="71" t="s">
        <v>38</v>
      </c>
      <c r="I2320" s="37" t="s">
        <v>207</v>
      </c>
    </row>
    <row r="2321" spans="1:9" x14ac:dyDescent="0.25">
      <c r="A2321" s="29" t="s">
        <v>131</v>
      </c>
      <c r="B2321" s="29" t="s">
        <v>67</v>
      </c>
      <c r="C2321" s="29">
        <v>1579</v>
      </c>
      <c r="D2321" s="37" t="s">
        <v>2333</v>
      </c>
      <c r="E2321" s="29" t="s">
        <v>37</v>
      </c>
      <c r="F2321" s="29" t="s">
        <v>36</v>
      </c>
      <c r="G2321" s="29">
        <v>6.64</v>
      </c>
      <c r="H2321" s="71" t="s">
        <v>38</v>
      </c>
      <c r="I2321" s="37" t="s">
        <v>207</v>
      </c>
    </row>
    <row r="2322" spans="1:9" x14ac:dyDescent="0.25">
      <c r="A2322" s="29" t="s">
        <v>131</v>
      </c>
      <c r="B2322" s="29" t="s">
        <v>67</v>
      </c>
      <c r="C2322" s="29">
        <v>1580</v>
      </c>
      <c r="D2322" s="37" t="s">
        <v>2334</v>
      </c>
      <c r="E2322" s="29" t="s">
        <v>37</v>
      </c>
      <c r="F2322" s="29" t="s">
        <v>36</v>
      </c>
      <c r="G2322" s="29">
        <v>8.18</v>
      </c>
      <c r="H2322" s="71" t="s">
        <v>38</v>
      </c>
      <c r="I2322" s="37" t="s">
        <v>207</v>
      </c>
    </row>
    <row r="2323" spans="1:9" x14ac:dyDescent="0.25">
      <c r="A2323" s="29" t="s">
        <v>131</v>
      </c>
      <c r="B2323" s="29" t="s">
        <v>67</v>
      </c>
      <c r="C2323" s="29" t="s">
        <v>34</v>
      </c>
      <c r="D2323" s="37" t="s">
        <v>2223</v>
      </c>
      <c r="E2323" s="29" t="s">
        <v>531</v>
      </c>
      <c r="F2323" s="29" t="s">
        <v>36</v>
      </c>
      <c r="I2323" s="37" t="s">
        <v>37</v>
      </c>
    </row>
    <row r="2324" spans="1:9" x14ac:dyDescent="0.25">
      <c r="A2324" s="29" t="s">
        <v>131</v>
      </c>
      <c r="B2324" s="29" t="s">
        <v>67</v>
      </c>
      <c r="C2324" s="29" t="s">
        <v>34</v>
      </c>
      <c r="D2324" s="37" t="s">
        <v>2224</v>
      </c>
      <c r="E2324" s="29" t="s">
        <v>524</v>
      </c>
      <c r="F2324" s="29" t="s">
        <v>36</v>
      </c>
      <c r="G2324" s="29">
        <v>168.29</v>
      </c>
      <c r="H2324" s="71" t="s">
        <v>738</v>
      </c>
      <c r="I2324" s="37" t="str">
        <f>"https://www.dimensional.com.br/terminal-adaptador-bandeira-10mm-bz-4f-p-secc-tab10-intelli/p; https://www.jardimferramentas.com/product/terminal-adaptador-bandeira-10mm-bz-4f-p-secc-tab10-intelli/"</f>
        <v>https://www.dimensional.com.br/terminal-adaptador-bandeira-10mm-bz-4f-p-secc-tab10-intelli/p; https://www.jardimferramentas.com/product/terminal-adaptador-bandeira-10mm-bz-4f-p-secc-tab10-intelli/</v>
      </c>
    </row>
    <row r="2325" spans="1:9" x14ac:dyDescent="0.25">
      <c r="A2325" s="29" t="s">
        <v>131</v>
      </c>
      <c r="B2325" s="29" t="s">
        <v>67</v>
      </c>
      <c r="C2325" s="29" t="s">
        <v>34</v>
      </c>
      <c r="D2325" s="37" t="s">
        <v>2225</v>
      </c>
      <c r="E2325" s="29" t="s">
        <v>525</v>
      </c>
      <c r="F2325" s="29" t="s">
        <v>36</v>
      </c>
      <c r="G2325" s="29">
        <v>192.59</v>
      </c>
      <c r="H2325" s="71" t="s">
        <v>738</v>
      </c>
      <c r="I2325" s="37" t="str">
        <f>"https://www.dimensional.com.br/terminal-adaptador-bandeira-14mm-bz-4f-p-secc-tab14-intelli/p; https://www.jardimferramentas.com/product/terminal-adaptador-bandeira-14mm-bz-4f-p-secc-tab14-intelli/"</f>
        <v>https://www.dimensional.com.br/terminal-adaptador-bandeira-14mm-bz-4f-p-secc-tab14-intelli/p; https://www.jardimferramentas.com/product/terminal-adaptador-bandeira-14mm-bz-4f-p-secc-tab14-intelli/</v>
      </c>
    </row>
    <row r="2326" spans="1:9" x14ac:dyDescent="0.25">
      <c r="A2326" s="29" t="s">
        <v>131</v>
      </c>
      <c r="B2326" s="29" t="s">
        <v>67</v>
      </c>
      <c r="C2326" s="29" t="s">
        <v>34</v>
      </c>
      <c r="D2326" s="37" t="s">
        <v>2226</v>
      </c>
      <c r="E2326" s="29" t="s">
        <v>526</v>
      </c>
      <c r="F2326" s="29" t="s">
        <v>36</v>
      </c>
      <c r="G2326" s="29">
        <v>243.89</v>
      </c>
      <c r="H2326" s="71" t="s">
        <v>738</v>
      </c>
      <c r="I2326" s="37" t="str">
        <f>"https://www.jardimferramentas.com/product/terminal-adaptador-bandeira-20mm-bz-4f-p-secc-tab20-intelli/"</f>
        <v>https://www.jardimferramentas.com/product/terminal-adaptador-bandeira-20mm-bz-4f-p-secc-tab20-intelli/</v>
      </c>
    </row>
    <row r="2327" spans="1:9" x14ac:dyDescent="0.25">
      <c r="A2327" s="29" t="s">
        <v>131</v>
      </c>
      <c r="B2327" s="29" t="s">
        <v>67</v>
      </c>
      <c r="C2327" s="29" t="s">
        <v>34</v>
      </c>
      <c r="D2327" s="37" t="s">
        <v>2675</v>
      </c>
      <c r="E2327" s="29" t="s">
        <v>527</v>
      </c>
      <c r="F2327" s="29" t="s">
        <v>36</v>
      </c>
      <c r="I2327" s="37" t="s">
        <v>37</v>
      </c>
    </row>
    <row r="2328" spans="1:9" x14ac:dyDescent="0.25">
      <c r="A2328" s="29" t="s">
        <v>131</v>
      </c>
      <c r="B2328" s="29" t="s">
        <v>67</v>
      </c>
      <c r="C2328" s="29" t="s">
        <v>34</v>
      </c>
      <c r="D2328" s="37" t="s">
        <v>2676</v>
      </c>
      <c r="E2328" s="29" t="s">
        <v>528</v>
      </c>
      <c r="F2328" s="29" t="s">
        <v>36</v>
      </c>
      <c r="I2328" s="37" t="s">
        <v>37</v>
      </c>
    </row>
    <row r="2329" spans="1:9" x14ac:dyDescent="0.25">
      <c r="A2329" s="29" t="s">
        <v>131</v>
      </c>
      <c r="B2329" s="29" t="s">
        <v>67</v>
      </c>
      <c r="C2329" s="29" t="s">
        <v>34</v>
      </c>
      <c r="D2329" s="37" t="s">
        <v>2677</v>
      </c>
      <c r="E2329" s="29" t="s">
        <v>529</v>
      </c>
      <c r="F2329" s="29" t="s">
        <v>36</v>
      </c>
      <c r="I2329" s="37" t="s">
        <v>37</v>
      </c>
    </row>
    <row r="2330" spans="1:9" x14ac:dyDescent="0.25">
      <c r="A2330" s="29" t="s">
        <v>131</v>
      </c>
      <c r="B2330" s="29" t="s">
        <v>67</v>
      </c>
      <c r="C2330" s="29" t="s">
        <v>34</v>
      </c>
      <c r="D2330" s="37" t="s">
        <v>2678</v>
      </c>
      <c r="E2330" s="29" t="s">
        <v>530</v>
      </c>
      <c r="F2330" s="29" t="s">
        <v>36</v>
      </c>
      <c r="I2330" s="37" t="s">
        <v>37</v>
      </c>
    </row>
    <row r="2331" spans="1:9" x14ac:dyDescent="0.25">
      <c r="A2331" s="29" t="s">
        <v>131</v>
      </c>
      <c r="B2331" s="29" t="s">
        <v>67</v>
      </c>
      <c r="C2331" s="29" t="s">
        <v>34</v>
      </c>
      <c r="D2331" s="37" t="s">
        <v>1399</v>
      </c>
      <c r="E2331" s="29" t="s">
        <v>37</v>
      </c>
      <c r="F2331" s="29" t="s">
        <v>36</v>
      </c>
      <c r="I2331" s="37" t="s">
        <v>37</v>
      </c>
    </row>
    <row r="2332" spans="1:9" x14ac:dyDescent="0.25">
      <c r="A2332" s="29" t="s">
        <v>131</v>
      </c>
      <c r="B2332" s="29" t="s">
        <v>67</v>
      </c>
      <c r="C2332" s="29" t="s">
        <v>34</v>
      </c>
      <c r="D2332" s="37" t="s">
        <v>2836</v>
      </c>
      <c r="E2332" s="29" t="s">
        <v>504</v>
      </c>
      <c r="F2332" s="29" t="s">
        <v>36</v>
      </c>
      <c r="I2332" s="37" t="s">
        <v>37</v>
      </c>
    </row>
    <row r="2333" spans="1:9" x14ac:dyDescent="0.25">
      <c r="A2333" s="29" t="s">
        <v>131</v>
      </c>
      <c r="B2333" s="29" t="s">
        <v>67</v>
      </c>
      <c r="C2333" s="29" t="s">
        <v>34</v>
      </c>
      <c r="D2333" s="37" t="s">
        <v>2837</v>
      </c>
      <c r="E2333" s="29" t="s">
        <v>505</v>
      </c>
      <c r="F2333" s="29" t="s">
        <v>36</v>
      </c>
      <c r="I2333" s="37" t="s">
        <v>37</v>
      </c>
    </row>
    <row r="2334" spans="1:9" x14ac:dyDescent="0.25">
      <c r="A2334" s="29" t="s">
        <v>131</v>
      </c>
      <c r="B2334" s="29" t="s">
        <v>67</v>
      </c>
      <c r="C2334" s="29" t="s">
        <v>34</v>
      </c>
      <c r="D2334" s="37" t="s">
        <v>2679</v>
      </c>
      <c r="E2334" s="29" t="s">
        <v>507</v>
      </c>
      <c r="F2334" s="29" t="s">
        <v>36</v>
      </c>
      <c r="I2334" s="37" t="s">
        <v>37</v>
      </c>
    </row>
    <row r="2335" spans="1:9" x14ac:dyDescent="0.25">
      <c r="A2335" s="29" t="s">
        <v>131</v>
      </c>
      <c r="B2335" s="29" t="s">
        <v>67</v>
      </c>
      <c r="C2335" s="29" t="s">
        <v>34</v>
      </c>
      <c r="D2335" s="37" t="s">
        <v>2680</v>
      </c>
      <c r="E2335" s="29" t="s">
        <v>509</v>
      </c>
      <c r="F2335" s="29" t="s">
        <v>36</v>
      </c>
      <c r="I2335" s="37" t="s">
        <v>37</v>
      </c>
    </row>
    <row r="2336" spans="1:9" x14ac:dyDescent="0.25">
      <c r="A2336" s="29" t="s">
        <v>131</v>
      </c>
      <c r="B2336" s="29" t="s">
        <v>67</v>
      </c>
      <c r="C2336" s="29" t="s">
        <v>34</v>
      </c>
      <c r="D2336" s="37" t="s">
        <v>2681</v>
      </c>
      <c r="E2336" s="29" t="s">
        <v>511</v>
      </c>
      <c r="F2336" s="29" t="s">
        <v>36</v>
      </c>
      <c r="I2336" s="37" t="s">
        <v>37</v>
      </c>
    </row>
    <row r="2337" spans="1:9" x14ac:dyDescent="0.25">
      <c r="A2337" s="29" t="s">
        <v>131</v>
      </c>
      <c r="B2337" s="29" t="s">
        <v>67</v>
      </c>
      <c r="C2337" s="29" t="s">
        <v>34</v>
      </c>
      <c r="D2337" s="37" t="s">
        <v>2682</v>
      </c>
      <c r="E2337" s="29" t="s">
        <v>506</v>
      </c>
      <c r="F2337" s="29" t="s">
        <v>36</v>
      </c>
      <c r="I2337" s="37" t="s">
        <v>37</v>
      </c>
    </row>
    <row r="2338" spans="1:9" x14ac:dyDescent="0.25">
      <c r="A2338" s="29" t="s">
        <v>131</v>
      </c>
      <c r="B2338" s="29" t="s">
        <v>67</v>
      </c>
      <c r="C2338" s="29" t="s">
        <v>34</v>
      </c>
      <c r="D2338" s="37" t="s">
        <v>2683</v>
      </c>
      <c r="E2338" s="29" t="s">
        <v>513</v>
      </c>
      <c r="F2338" s="29" t="s">
        <v>36</v>
      </c>
      <c r="I2338" s="37" t="s">
        <v>37</v>
      </c>
    </row>
    <row r="2339" spans="1:9" x14ac:dyDescent="0.25">
      <c r="A2339" s="29" t="s">
        <v>131</v>
      </c>
      <c r="B2339" s="29" t="s">
        <v>67</v>
      </c>
      <c r="C2339" s="29" t="s">
        <v>34</v>
      </c>
      <c r="D2339" s="37" t="s">
        <v>2684</v>
      </c>
      <c r="E2339" s="29" t="s">
        <v>508</v>
      </c>
      <c r="F2339" s="29" t="s">
        <v>36</v>
      </c>
      <c r="I2339" s="37" t="s">
        <v>37</v>
      </c>
    </row>
    <row r="2340" spans="1:9" x14ac:dyDescent="0.25">
      <c r="A2340" s="29" t="s">
        <v>131</v>
      </c>
      <c r="B2340" s="29" t="s">
        <v>67</v>
      </c>
      <c r="C2340" s="29" t="s">
        <v>34</v>
      </c>
      <c r="D2340" s="37" t="s">
        <v>2685</v>
      </c>
      <c r="E2340" s="29" t="s">
        <v>510</v>
      </c>
      <c r="F2340" s="29" t="s">
        <v>36</v>
      </c>
      <c r="I2340" s="37" t="s">
        <v>37</v>
      </c>
    </row>
    <row r="2341" spans="1:9" x14ac:dyDescent="0.25">
      <c r="A2341" s="29" t="s">
        <v>131</v>
      </c>
      <c r="B2341" s="29" t="s">
        <v>67</v>
      </c>
      <c r="C2341" s="29" t="s">
        <v>34</v>
      </c>
      <c r="D2341" s="37" t="s">
        <v>2686</v>
      </c>
      <c r="E2341" s="29" t="s">
        <v>512</v>
      </c>
      <c r="F2341" s="29" t="s">
        <v>36</v>
      </c>
      <c r="I2341" s="37" t="s">
        <v>37</v>
      </c>
    </row>
    <row r="2342" spans="1:9" x14ac:dyDescent="0.25">
      <c r="A2342" s="29" t="s">
        <v>131</v>
      </c>
      <c r="B2342" s="29" t="s">
        <v>67</v>
      </c>
      <c r="C2342" s="29" t="s">
        <v>34</v>
      </c>
      <c r="D2342" s="37" t="s">
        <v>2687</v>
      </c>
      <c r="E2342" s="29" t="s">
        <v>514</v>
      </c>
      <c r="F2342" s="29" t="s">
        <v>36</v>
      </c>
      <c r="I2342" s="37" t="s">
        <v>37</v>
      </c>
    </row>
    <row r="2343" spans="1:9" x14ac:dyDescent="0.25">
      <c r="A2343" s="29" t="s">
        <v>131</v>
      </c>
      <c r="B2343" s="29" t="s">
        <v>67</v>
      </c>
      <c r="C2343" s="29" t="s">
        <v>34</v>
      </c>
      <c r="D2343" s="37" t="s">
        <v>2838</v>
      </c>
      <c r="E2343" s="29" t="s">
        <v>496</v>
      </c>
      <c r="F2343" s="29" t="s">
        <v>36</v>
      </c>
      <c r="I2343" s="37" t="s">
        <v>37</v>
      </c>
    </row>
    <row r="2344" spans="1:9" x14ac:dyDescent="0.25">
      <c r="A2344" s="29" t="s">
        <v>131</v>
      </c>
      <c r="B2344" s="29" t="s">
        <v>67</v>
      </c>
      <c r="C2344" s="29" t="s">
        <v>34</v>
      </c>
      <c r="D2344" s="37" t="s">
        <v>2839</v>
      </c>
      <c r="E2344" s="29" t="s">
        <v>497</v>
      </c>
      <c r="F2344" s="29" t="s">
        <v>36</v>
      </c>
      <c r="I2344" s="37" t="s">
        <v>37</v>
      </c>
    </row>
    <row r="2345" spans="1:9" x14ac:dyDescent="0.25">
      <c r="A2345" s="29" t="s">
        <v>131</v>
      </c>
      <c r="B2345" s="29" t="s">
        <v>67</v>
      </c>
      <c r="C2345" s="29" t="s">
        <v>34</v>
      </c>
      <c r="D2345" s="37" t="s">
        <v>2688</v>
      </c>
      <c r="E2345" s="29" t="s">
        <v>500</v>
      </c>
      <c r="F2345" s="29" t="s">
        <v>36</v>
      </c>
      <c r="I2345" s="37" t="s">
        <v>37</v>
      </c>
    </row>
    <row r="2346" spans="1:9" x14ac:dyDescent="0.25">
      <c r="A2346" s="29" t="s">
        <v>131</v>
      </c>
      <c r="B2346" s="29" t="s">
        <v>67</v>
      </c>
      <c r="C2346" s="29" t="s">
        <v>34</v>
      </c>
      <c r="D2346" s="37" t="s">
        <v>2689</v>
      </c>
      <c r="E2346" s="29" t="s">
        <v>502</v>
      </c>
      <c r="F2346" s="29" t="s">
        <v>36</v>
      </c>
      <c r="I2346" s="37" t="s">
        <v>37</v>
      </c>
    </row>
    <row r="2347" spans="1:9" x14ac:dyDescent="0.25">
      <c r="A2347" s="29" t="s">
        <v>131</v>
      </c>
      <c r="B2347" s="29" t="s">
        <v>67</v>
      </c>
      <c r="C2347" s="29" t="s">
        <v>34</v>
      </c>
      <c r="D2347" s="37" t="s">
        <v>2690</v>
      </c>
      <c r="E2347" s="29" t="s">
        <v>498</v>
      </c>
      <c r="F2347" s="29" t="s">
        <v>36</v>
      </c>
      <c r="G2347" s="29">
        <v>234.89</v>
      </c>
      <c r="H2347" s="71" t="s">
        <v>738</v>
      </c>
      <c r="I2347" s="37" t="str">
        <f>"https://www.dimensional.com.br/terminal-compressao-25-50mm2-1-comp-2f-44-5mm-bz-ttbc4102nsn-intelli/p"</f>
        <v>https://www.dimensional.com.br/terminal-compressao-25-50mm2-1-comp-2f-44-5mm-bz-ttbc4102nsn-intelli/p</v>
      </c>
    </row>
    <row r="2348" spans="1:9" x14ac:dyDescent="0.25">
      <c r="A2348" s="29" t="s">
        <v>131</v>
      </c>
      <c r="B2348" s="29" t="s">
        <v>67</v>
      </c>
      <c r="C2348" s="29" t="s">
        <v>34</v>
      </c>
      <c r="D2348" s="37" t="s">
        <v>2691</v>
      </c>
      <c r="E2348" s="29" t="s">
        <v>499</v>
      </c>
      <c r="F2348" s="29" t="s">
        <v>36</v>
      </c>
      <c r="I2348" s="37" t="s">
        <v>37</v>
      </c>
    </row>
    <row r="2349" spans="1:9" x14ac:dyDescent="0.25">
      <c r="A2349" s="29" t="s">
        <v>131</v>
      </c>
      <c r="B2349" s="29" t="s">
        <v>67</v>
      </c>
      <c r="C2349" s="29" t="s">
        <v>34</v>
      </c>
      <c r="D2349" s="37" t="s">
        <v>2692</v>
      </c>
      <c r="E2349" s="29" t="s">
        <v>501</v>
      </c>
      <c r="F2349" s="29" t="s">
        <v>36</v>
      </c>
      <c r="I2349" s="37" t="s">
        <v>37</v>
      </c>
    </row>
    <row r="2350" spans="1:9" x14ac:dyDescent="0.25">
      <c r="A2350" s="29" t="s">
        <v>131</v>
      </c>
      <c r="B2350" s="29" t="s">
        <v>67</v>
      </c>
      <c r="C2350" s="29" t="s">
        <v>34</v>
      </c>
      <c r="D2350" s="37" t="s">
        <v>2693</v>
      </c>
      <c r="E2350" s="29" t="s">
        <v>503</v>
      </c>
      <c r="F2350" s="29" t="s">
        <v>36</v>
      </c>
      <c r="I2350" s="37" t="s">
        <v>37</v>
      </c>
    </row>
    <row r="2351" spans="1:9" x14ac:dyDescent="0.25">
      <c r="A2351" s="29" t="s">
        <v>131</v>
      </c>
      <c r="B2351" s="29" t="s">
        <v>67</v>
      </c>
      <c r="C2351" s="29" t="s">
        <v>34</v>
      </c>
      <c r="D2351" s="37" t="s">
        <v>2694</v>
      </c>
      <c r="E2351" s="29" t="s">
        <v>488</v>
      </c>
      <c r="F2351" s="29" t="s">
        <v>36</v>
      </c>
      <c r="G2351" s="29">
        <v>14.39</v>
      </c>
      <c r="H2351" s="71" t="s">
        <v>738</v>
      </c>
      <c r="I2351" s="37" t="str">
        <f>"https://www.dimensional.com.br/terminal-pressao-reto-cobre-1-furo-10-50-mm-95-00-mm2-ta95-intelli/p"</f>
        <v>https://www.dimensional.com.br/terminal-pressao-reto-cobre-1-furo-10-50-mm-95-00-mm2-ta95-intelli/p</v>
      </c>
    </row>
    <row r="2352" spans="1:9" x14ac:dyDescent="0.25">
      <c r="A2352" s="29" t="s">
        <v>131</v>
      </c>
      <c r="B2352" s="29" t="s">
        <v>67</v>
      </c>
      <c r="C2352" s="29" t="s">
        <v>34</v>
      </c>
      <c r="D2352" s="37" t="s">
        <v>2695</v>
      </c>
      <c r="E2352" s="29" t="s">
        <v>489</v>
      </c>
      <c r="F2352" s="29" t="s">
        <v>36</v>
      </c>
      <c r="G2352" s="29">
        <v>18.89</v>
      </c>
      <c r="H2352" s="71" t="s">
        <v>738</v>
      </c>
      <c r="I2352" s="37" t="str">
        <f>"https://www.dimensional.com.br/terminal-pressao-reto-cobre-1-furo-13-50-mm-120-00-mm2-ta120-intelli/p"</f>
        <v>https://www.dimensional.com.br/terminal-pressao-reto-cobre-1-furo-13-50-mm-120-00-mm2-ta120-intelli/p</v>
      </c>
    </row>
    <row r="2353" spans="1:9" x14ac:dyDescent="0.25">
      <c r="A2353" s="29" t="s">
        <v>131</v>
      </c>
      <c r="B2353" s="29" t="s">
        <v>67</v>
      </c>
      <c r="C2353" s="29" t="s">
        <v>34</v>
      </c>
      <c r="D2353" s="37" t="s">
        <v>2696</v>
      </c>
      <c r="E2353" s="29" t="s">
        <v>490</v>
      </c>
      <c r="F2353" s="29" t="s">
        <v>36</v>
      </c>
      <c r="G2353" s="29">
        <v>30.68</v>
      </c>
      <c r="H2353" s="71" t="s">
        <v>740</v>
      </c>
      <c r="I2353" s="37" t="str">
        <f>"https://www.eletrotrafo.com.br/terminal-pressao-reforcado-6mm-ta-6-intelli-02140042/p?skuId=5209"</f>
        <v>https://www.eletrotrafo.com.br/terminal-pressao-reforcado-6mm-ta-6-intelli-02140042/p?skuId=5209</v>
      </c>
    </row>
    <row r="2354" spans="1:9" x14ac:dyDescent="0.25">
      <c r="A2354" s="29" t="s">
        <v>131</v>
      </c>
      <c r="B2354" s="29" t="s">
        <v>67</v>
      </c>
      <c r="C2354" s="29" t="s">
        <v>34</v>
      </c>
      <c r="D2354" s="37" t="s">
        <v>2697</v>
      </c>
      <c r="E2354" s="29" t="s">
        <v>491</v>
      </c>
      <c r="F2354" s="29" t="s">
        <v>36</v>
      </c>
      <c r="G2354" s="29">
        <v>29.69</v>
      </c>
      <c r="H2354" s="71" t="s">
        <v>738</v>
      </c>
      <c r="I2354" s="37" t="str">
        <f>"https://www.dimensional.com.br/terminal-pressao-cu-1furo-185mm2-reto-ta185-intelli/p"</f>
        <v>https://www.dimensional.com.br/terminal-pressao-cu-1furo-185mm2-reto-ta185-intelli/p</v>
      </c>
    </row>
    <row r="2355" spans="1:9" x14ac:dyDescent="0.25">
      <c r="A2355" s="29" t="s">
        <v>131</v>
      </c>
      <c r="B2355" s="29" t="s">
        <v>67</v>
      </c>
      <c r="C2355" s="29" t="s">
        <v>34</v>
      </c>
      <c r="D2355" s="37" t="s">
        <v>2698</v>
      </c>
      <c r="E2355" s="29" t="s">
        <v>492</v>
      </c>
      <c r="F2355" s="29" t="s">
        <v>36</v>
      </c>
      <c r="G2355" s="29">
        <v>40.72</v>
      </c>
      <c r="H2355" s="71" t="s">
        <v>738</v>
      </c>
      <c r="I2355" s="37" t="str">
        <f>"https://www.dimensional.com.br/terminal-pressao-cobre-1-furo-240-00-mm2-ta240-intelli/p"</f>
        <v>https://www.dimensional.com.br/terminal-pressao-cobre-1-furo-240-00-mm2-ta240-intelli/p</v>
      </c>
    </row>
    <row r="2356" spans="1:9" x14ac:dyDescent="0.25">
      <c r="A2356" s="29" t="s">
        <v>131</v>
      </c>
      <c r="B2356" s="29" t="s">
        <v>67</v>
      </c>
      <c r="C2356" s="29" t="s">
        <v>34</v>
      </c>
      <c r="D2356" s="37" t="s">
        <v>2699</v>
      </c>
      <c r="E2356" s="29" t="s">
        <v>493</v>
      </c>
      <c r="F2356" s="29" t="s">
        <v>36</v>
      </c>
      <c r="G2356" s="29">
        <v>37.99</v>
      </c>
      <c r="H2356" s="71" t="s">
        <v>738</v>
      </c>
      <c r="I2356" s="37" t="str">
        <f>"https://www.dimensional.com.br/terminal-pressao-reto-cu-1furo-300mm2-ta300-intelli/p"</f>
        <v>https://www.dimensional.com.br/terminal-pressao-reto-cu-1furo-300mm2-ta300-intelli/p</v>
      </c>
    </row>
    <row r="2357" spans="1:9" x14ac:dyDescent="0.25">
      <c r="A2357" s="29" t="s">
        <v>131</v>
      </c>
      <c r="B2357" s="29" t="s">
        <v>67</v>
      </c>
      <c r="C2357" s="29" t="s">
        <v>34</v>
      </c>
      <c r="D2357" s="37" t="s">
        <v>2700</v>
      </c>
      <c r="E2357" s="29" t="s">
        <v>494</v>
      </c>
      <c r="F2357" s="29" t="s">
        <v>36</v>
      </c>
      <c r="G2357" s="29">
        <v>44.52</v>
      </c>
      <c r="H2357" s="71" t="s">
        <v>740</v>
      </c>
      <c r="I2357" s="37" t="str">
        <f>"https://www.eletrotrafo.com.br/terminal-pressao-reforcado-400mm-ta-400-intelli-f-l--02140054/p?skuId=14020"</f>
        <v>https://www.eletrotrafo.com.br/terminal-pressao-reforcado-400mm-ta-400-intelli-f-l--02140054/p?skuId=14020</v>
      </c>
    </row>
    <row r="2358" spans="1:9" x14ac:dyDescent="0.25">
      <c r="A2358" s="29" t="s">
        <v>131</v>
      </c>
      <c r="B2358" s="29" t="s">
        <v>67</v>
      </c>
      <c r="C2358" s="29" t="s">
        <v>34</v>
      </c>
      <c r="D2358" s="37" t="s">
        <v>2701</v>
      </c>
      <c r="E2358" s="29" t="s">
        <v>495</v>
      </c>
      <c r="F2358" s="29" t="s">
        <v>36</v>
      </c>
      <c r="G2358" s="29">
        <v>29.22</v>
      </c>
      <c r="H2358" s="71" t="s">
        <v>740</v>
      </c>
      <c r="I2358" s="37" t="str">
        <f>"https://www.eletrotrafo.com.br/terminal-pressao-reforcado-500mm-ta-500-intelli-f-l--02140055/p?skuId=13351"</f>
        <v>https://www.eletrotrafo.com.br/terminal-pressao-reforcado-500mm-ta-500-intelli-f-l--02140055/p?skuId=13351</v>
      </c>
    </row>
    <row r="2359" spans="1:9" x14ac:dyDescent="0.25">
      <c r="A2359" s="29" t="s">
        <v>131</v>
      </c>
      <c r="B2359" s="29" t="s">
        <v>67</v>
      </c>
      <c r="C2359" s="29" t="s">
        <v>34</v>
      </c>
      <c r="D2359" s="37" t="s">
        <v>2702</v>
      </c>
      <c r="E2359" s="29" t="s">
        <v>482</v>
      </c>
      <c r="F2359" s="29" t="s">
        <v>36</v>
      </c>
      <c r="G2359" s="29">
        <v>4.8899999999999997</v>
      </c>
      <c r="H2359" s="71" t="s">
        <v>738</v>
      </c>
      <c r="I2359" s="37" t="str">
        <f>"https://www.dimensional.com.br/terminal-pressao-cobre-1-furo-10-00-mm2-ta10-intelli/p"</f>
        <v>https://www.dimensional.com.br/terminal-pressao-cobre-1-furo-10-00-mm2-ta10-intelli/p</v>
      </c>
    </row>
    <row r="2360" spans="1:9" x14ac:dyDescent="0.25">
      <c r="A2360" s="29" t="s">
        <v>131</v>
      </c>
      <c r="B2360" s="29" t="s">
        <v>67</v>
      </c>
      <c r="C2360" s="29" t="s">
        <v>34</v>
      </c>
      <c r="D2360" s="37" t="s">
        <v>2703</v>
      </c>
      <c r="E2360" s="29" t="s">
        <v>481</v>
      </c>
      <c r="F2360" s="29" t="s">
        <v>36</v>
      </c>
      <c r="G2360" s="29">
        <v>4.3099999999999996</v>
      </c>
      <c r="H2360" s="71" t="s">
        <v>738</v>
      </c>
      <c r="I2360" s="37" t="str">
        <f>"https://www.dimensional.com.br/terminal-compressao-6mm2-1f-cu-intelli/p"</f>
        <v>https://www.dimensional.com.br/terminal-compressao-6mm2-1f-cu-intelli/p</v>
      </c>
    </row>
    <row r="2361" spans="1:9" x14ac:dyDescent="0.25">
      <c r="A2361" s="29" t="s">
        <v>131</v>
      </c>
      <c r="B2361" s="29" t="s">
        <v>67</v>
      </c>
      <c r="C2361" s="29" t="s">
        <v>34</v>
      </c>
      <c r="D2361" s="37" t="s">
        <v>2704</v>
      </c>
      <c r="E2361" s="29" t="s">
        <v>483</v>
      </c>
      <c r="F2361" s="29" t="s">
        <v>36</v>
      </c>
      <c r="G2361" s="29">
        <v>5.38</v>
      </c>
      <c r="H2361" s="71" t="s">
        <v>738</v>
      </c>
      <c r="I2361" s="37" t="str">
        <f>"https://www.dimensional.com.br/terminal-pressao-reto-cobre-1-furo-16-00-mm2-ta16-intelli/p"</f>
        <v>https://www.dimensional.com.br/terminal-pressao-reto-cobre-1-furo-16-00-mm2-ta16-intelli/p</v>
      </c>
    </row>
    <row r="2362" spans="1:9" x14ac:dyDescent="0.25">
      <c r="A2362" s="29" t="s">
        <v>131</v>
      </c>
      <c r="B2362" s="29" t="s">
        <v>67</v>
      </c>
      <c r="C2362" s="29" t="s">
        <v>34</v>
      </c>
      <c r="D2362" s="37" t="s">
        <v>2705</v>
      </c>
      <c r="E2362" s="29" t="s">
        <v>484</v>
      </c>
      <c r="F2362" s="29" t="s">
        <v>36</v>
      </c>
      <c r="G2362" s="29">
        <v>6.65</v>
      </c>
      <c r="H2362" s="71" t="s">
        <v>738</v>
      </c>
      <c r="I2362" s="37" t="str">
        <f>"https://www.dimensional.com.br/terminal-pressao-reto-cobre-1-furo-6-50-mm-25-00-mm2-ta25-intelli/p"</f>
        <v>https://www.dimensional.com.br/terminal-pressao-reto-cobre-1-furo-6-50-mm-25-00-mm2-ta25-intelli/p</v>
      </c>
    </row>
    <row r="2363" spans="1:9" x14ac:dyDescent="0.25">
      <c r="A2363" s="29" t="s">
        <v>131</v>
      </c>
      <c r="B2363" s="29" t="s">
        <v>67</v>
      </c>
      <c r="C2363" s="29" t="s">
        <v>34</v>
      </c>
      <c r="D2363" s="37" t="s">
        <v>2706</v>
      </c>
      <c r="E2363" s="29" t="s">
        <v>485</v>
      </c>
      <c r="F2363" s="29" t="s">
        <v>36</v>
      </c>
      <c r="G2363" s="29">
        <v>5.21</v>
      </c>
      <c r="H2363" s="71" t="s">
        <v>738</v>
      </c>
      <c r="I2363" s="37" t="str">
        <f>"https://www.dimensional.com.br/terminal-pressao-cobre-1-furo-35-00-mm2-reto-ta35-intelli/p"</f>
        <v>https://www.dimensional.com.br/terminal-pressao-cobre-1-furo-35-00-mm2-reto-ta35-intelli/p</v>
      </c>
    </row>
    <row r="2364" spans="1:9" x14ac:dyDescent="0.25">
      <c r="A2364" s="29" t="s">
        <v>131</v>
      </c>
      <c r="B2364" s="29" t="s">
        <v>67</v>
      </c>
      <c r="C2364" s="29" t="s">
        <v>34</v>
      </c>
      <c r="D2364" s="37" t="s">
        <v>2707</v>
      </c>
      <c r="E2364" s="29" t="s">
        <v>486</v>
      </c>
      <c r="F2364" s="29" t="s">
        <v>36</v>
      </c>
      <c r="G2364" s="29">
        <v>11</v>
      </c>
      <c r="H2364" s="71" t="s">
        <v>738</v>
      </c>
      <c r="I2364" s="37" t="str">
        <f>"https://www.dimensional.com.br/terminal-pressao-reto-cobre-1-furo-50-00-mm2-ta50-intelli/p"</f>
        <v>https://www.dimensional.com.br/terminal-pressao-reto-cobre-1-furo-50-00-mm2-ta50-intelli/p</v>
      </c>
    </row>
    <row r="2365" spans="1:9" x14ac:dyDescent="0.25">
      <c r="A2365" s="29" t="s">
        <v>131</v>
      </c>
      <c r="B2365" s="29" t="s">
        <v>67</v>
      </c>
      <c r="C2365" s="29" t="s">
        <v>34</v>
      </c>
      <c r="D2365" s="37" t="s">
        <v>2708</v>
      </c>
      <c r="E2365" s="29" t="s">
        <v>487</v>
      </c>
      <c r="F2365" s="29" t="s">
        <v>36</v>
      </c>
      <c r="G2365" s="29">
        <v>8.27</v>
      </c>
      <c r="H2365" s="71" t="s">
        <v>738</v>
      </c>
      <c r="I2365" s="37" t="str">
        <f>"https://www.dimensional.com.br/terminal-pressao-reto-cobre-1-furo-8-50-mm-70-00-mm2-ta70-intelli/p"</f>
        <v>https://www.dimensional.com.br/terminal-pressao-reto-cobre-1-furo-8-50-mm-70-00-mm2-ta70-intelli/p</v>
      </c>
    </row>
    <row r="2366" spans="1:9" x14ac:dyDescent="0.25">
      <c r="A2366" s="29" t="s">
        <v>131</v>
      </c>
      <c r="B2366" s="29" t="s">
        <v>67</v>
      </c>
      <c r="C2366" s="29" t="s">
        <v>34</v>
      </c>
      <c r="D2366" s="37" t="s">
        <v>2840</v>
      </c>
      <c r="E2366" s="29" t="s">
        <v>320</v>
      </c>
      <c r="F2366" s="29" t="s">
        <v>36</v>
      </c>
      <c r="G2366" s="29">
        <v>12.59</v>
      </c>
      <c r="H2366" s="71" t="s">
        <v>738</v>
      </c>
      <c r="I2366" s="37" t="str">
        <f>"https://www.dimensional.com.br/terminal-compressao-120-mm2-1-compressao-1-furo-cobre-tm120-intelli/p"</f>
        <v>https://www.dimensional.com.br/terminal-compressao-120-mm2-1-compressao-1-furo-cobre-tm120-intelli/p</v>
      </c>
    </row>
    <row r="2367" spans="1:9" x14ac:dyDescent="0.25">
      <c r="A2367" s="29" t="s">
        <v>131</v>
      </c>
      <c r="B2367" s="29" t="s">
        <v>67</v>
      </c>
      <c r="C2367" s="29" t="s">
        <v>34</v>
      </c>
      <c r="D2367" s="37" t="s">
        <v>2841</v>
      </c>
      <c r="E2367" s="29" t="s">
        <v>322</v>
      </c>
      <c r="F2367" s="29" t="s">
        <v>36</v>
      </c>
      <c r="G2367" s="29">
        <v>15.29</v>
      </c>
      <c r="H2367" s="71" t="s">
        <v>738</v>
      </c>
      <c r="I2367" s="37" t="str">
        <f>"https://www.dimensional.com.br/terminal-compressao-150mm2-1-comp-1f-cu-tm15010-intelli/p"</f>
        <v>https://www.dimensional.com.br/terminal-compressao-150mm2-1-comp-1f-cu-tm15010-intelli/p</v>
      </c>
    </row>
    <row r="2368" spans="1:9" x14ac:dyDescent="0.25">
      <c r="A2368" s="29" t="s">
        <v>131</v>
      </c>
      <c r="B2368" s="29" t="s">
        <v>67</v>
      </c>
      <c r="C2368" s="29" t="s">
        <v>34</v>
      </c>
      <c r="D2368" s="37" t="s">
        <v>2842</v>
      </c>
      <c r="E2368" s="29" t="s">
        <v>324</v>
      </c>
      <c r="F2368" s="29" t="s">
        <v>36</v>
      </c>
      <c r="G2368" s="29">
        <v>24.94</v>
      </c>
      <c r="H2368" s="71" t="s">
        <v>740</v>
      </c>
      <c r="I2368" s="37" t="str">
        <f>"https://www.axxesmat.com.br/terminal-de-cobre-a-compressao-tm-185-10-de-185mm2-furo-10-5mm-intelli"</f>
        <v>https://www.axxesmat.com.br/terminal-de-cobre-a-compressao-tm-185-10-de-185mm2-furo-10-5mm-intelli</v>
      </c>
    </row>
    <row r="2369" spans="1:9" x14ac:dyDescent="0.25">
      <c r="A2369" s="29" t="s">
        <v>131</v>
      </c>
      <c r="B2369" s="29" t="s">
        <v>67</v>
      </c>
      <c r="C2369" s="29" t="s">
        <v>34</v>
      </c>
      <c r="D2369" s="37" t="s">
        <v>2843</v>
      </c>
      <c r="E2369" s="29" t="s">
        <v>326</v>
      </c>
      <c r="F2369" s="29" t="s">
        <v>36</v>
      </c>
      <c r="G2369" s="29">
        <v>40.729999999999997</v>
      </c>
      <c r="H2369" s="71" t="s">
        <v>740</v>
      </c>
      <c r="I2369" s="37" t="str">
        <f>"https://www.axxesmat.com.br/terminal-de-cobre-a-compressao-tm-240-10-de-240m2-furo-10-5mm-intelli"</f>
        <v>https://www.axxesmat.com.br/terminal-de-cobre-a-compressao-tm-240-10-de-240m2-furo-10-5mm-intelli</v>
      </c>
    </row>
    <row r="2370" spans="1:9" x14ac:dyDescent="0.25">
      <c r="A2370" s="29" t="s">
        <v>131</v>
      </c>
      <c r="B2370" s="29" t="s">
        <v>67</v>
      </c>
      <c r="C2370" s="29" t="s">
        <v>34</v>
      </c>
      <c r="D2370" s="37" t="s">
        <v>2844</v>
      </c>
      <c r="E2370" s="29" t="s">
        <v>306</v>
      </c>
      <c r="F2370" s="29" t="s">
        <v>36</v>
      </c>
      <c r="G2370" s="29">
        <v>2.42</v>
      </c>
      <c r="H2370" s="71" t="s">
        <v>740</v>
      </c>
      <c r="I2370" s="37" t="str">
        <f>"https://www.axxesmat.com.br/terminal-de-cobre-a-compressao-tm-25-10-de-25mm2-furo-10-5mm-intelli"</f>
        <v>https://www.axxesmat.com.br/terminal-de-cobre-a-compressao-tm-25-10-de-25mm2-furo-10-5mm-intelli</v>
      </c>
    </row>
    <row r="2371" spans="1:9" x14ac:dyDescent="0.25">
      <c r="A2371" s="29" t="s">
        <v>131</v>
      </c>
      <c r="B2371" s="29" t="s">
        <v>67</v>
      </c>
      <c r="C2371" s="29" t="s">
        <v>34</v>
      </c>
      <c r="D2371" s="37" t="s">
        <v>2845</v>
      </c>
      <c r="E2371" s="29" t="s">
        <v>309</v>
      </c>
      <c r="F2371" s="29" t="s">
        <v>36</v>
      </c>
      <c r="G2371" s="29">
        <v>3.37</v>
      </c>
      <c r="H2371" s="71" t="s">
        <v>740</v>
      </c>
      <c r="I2371" s="37" t="str">
        <f>"https://www.axxesmat.com.br/terminal-de-cobre-a-compressao-tm-35-10-de-35mm2-furo-105mm-intelli"</f>
        <v>https://www.axxesmat.com.br/terminal-de-cobre-a-compressao-tm-35-10-de-35mm2-furo-105mm-intelli</v>
      </c>
    </row>
    <row r="2372" spans="1:9" x14ac:dyDescent="0.25">
      <c r="A2372" s="29" t="s">
        <v>131</v>
      </c>
      <c r="B2372" s="29" t="s">
        <v>67</v>
      </c>
      <c r="C2372" s="29" t="s">
        <v>34</v>
      </c>
      <c r="D2372" s="37" t="s">
        <v>2846</v>
      </c>
      <c r="E2372" s="29" t="s">
        <v>312</v>
      </c>
      <c r="F2372" s="29" t="s">
        <v>36</v>
      </c>
      <c r="G2372" s="29">
        <v>4.76</v>
      </c>
      <c r="H2372" s="71" t="s">
        <v>734</v>
      </c>
      <c r="I2372" s="37" t="str">
        <f>"https://www.dimensional.com.br/terminal-compressao-50-00-mm2-1-compressao-1-furo-cobre-tm50-intelli/p"</f>
        <v>https://www.dimensional.com.br/terminal-compressao-50-00-mm2-1-compressao-1-furo-cobre-tm50-intelli/p</v>
      </c>
    </row>
    <row r="2373" spans="1:9" x14ac:dyDescent="0.25">
      <c r="A2373" s="29" t="s">
        <v>131</v>
      </c>
      <c r="B2373" s="29" t="s">
        <v>67</v>
      </c>
      <c r="C2373" s="29" t="s">
        <v>34</v>
      </c>
      <c r="D2373" s="37" t="s">
        <v>2847</v>
      </c>
      <c r="E2373" s="29" t="s">
        <v>315</v>
      </c>
      <c r="F2373" s="29" t="s">
        <v>36</v>
      </c>
      <c r="G2373" s="29">
        <v>6.29</v>
      </c>
      <c r="H2373" s="71" t="s">
        <v>734</v>
      </c>
      <c r="I2373" s="37" t="str">
        <f>"https://www.dimensional.com.br/terminal-compressao-70mm2-1-comp-1f-105mm-cu-tm7010/p"</f>
        <v>https://www.dimensional.com.br/terminal-compressao-70mm2-1-comp-1f-105mm-cu-tm7010/p</v>
      </c>
    </row>
    <row r="2374" spans="1:9" x14ac:dyDescent="0.25">
      <c r="A2374" s="29" t="s">
        <v>131</v>
      </c>
      <c r="B2374" s="29" t="s">
        <v>67</v>
      </c>
      <c r="C2374" s="29" t="s">
        <v>34</v>
      </c>
      <c r="D2374" s="37" t="s">
        <v>2848</v>
      </c>
      <c r="E2374" s="29" t="s">
        <v>318</v>
      </c>
      <c r="F2374" s="29" t="s">
        <v>36</v>
      </c>
      <c r="G2374" s="29">
        <v>7.28</v>
      </c>
      <c r="H2374" s="71" t="s">
        <v>734</v>
      </c>
      <c r="I2374" s="37" t="str">
        <f>"https://www.dimensional.com.br/terminal-compressao-95-00-mm2-1-compressao-1-furo-cobre-intelli/p"</f>
        <v>https://www.dimensional.com.br/terminal-compressao-95-00-mm2-1-compressao-1-furo-cobre-intelli/p</v>
      </c>
    </row>
    <row r="2375" spans="1:9" x14ac:dyDescent="0.25">
      <c r="A2375" s="29" t="s">
        <v>131</v>
      </c>
      <c r="B2375" s="29" t="s">
        <v>67</v>
      </c>
      <c r="C2375" s="29" t="s">
        <v>34</v>
      </c>
      <c r="D2375" s="37" t="s">
        <v>2849</v>
      </c>
      <c r="E2375" s="29" t="s">
        <v>321</v>
      </c>
      <c r="F2375" s="29" t="s">
        <v>36</v>
      </c>
      <c r="G2375" s="29">
        <v>12.59</v>
      </c>
      <c r="H2375" s="71" t="s">
        <v>738</v>
      </c>
      <c r="I2375" s="37" t="str">
        <f>"https://www.dimensional.com.br/terminal-compressao-120mm2-1-comp-1f-138mm-cu-tm12013/p; https://www.jardimferramentas.com/product/terminal-compressao-12000-mm2-1-compressao-1-furo-1380-mm-cobre-tm12013-intelli/"</f>
        <v>https://www.dimensional.com.br/terminal-compressao-120mm2-1-comp-1f-138mm-cu-tm12013/p; https://www.jardimferramentas.com/product/terminal-compressao-12000-mm2-1-compressao-1-furo-1380-mm-cobre-tm12013-intelli/</v>
      </c>
    </row>
    <row r="2376" spans="1:9" x14ac:dyDescent="0.25">
      <c r="A2376" s="29" t="s">
        <v>131</v>
      </c>
      <c r="B2376" s="29" t="s">
        <v>67</v>
      </c>
      <c r="C2376" s="29" t="s">
        <v>34</v>
      </c>
      <c r="D2376" s="37" t="s">
        <v>2850</v>
      </c>
      <c r="E2376" s="29" t="s">
        <v>323</v>
      </c>
      <c r="F2376" s="29" t="s">
        <v>36</v>
      </c>
      <c r="G2376" s="29">
        <v>16.190000000000001</v>
      </c>
      <c r="H2376" s="71" t="s">
        <v>738</v>
      </c>
      <c r="I2376" s="37" t="str">
        <f>"https://www.dimensional.com.br/terminal-compressao-150mm2-1-comp-1f-13-8mm-cu-tm15013-intelli/p"</f>
        <v>https://www.dimensional.com.br/terminal-compressao-150mm2-1-comp-1f-13-8mm-cu-tm15013-intelli/p</v>
      </c>
    </row>
    <row r="2377" spans="1:9" x14ac:dyDescent="0.25">
      <c r="A2377" s="29" t="s">
        <v>131</v>
      </c>
      <c r="B2377" s="29" t="s">
        <v>67</v>
      </c>
      <c r="C2377" s="29" t="s">
        <v>34</v>
      </c>
      <c r="D2377" s="37" t="s">
        <v>2851</v>
      </c>
      <c r="E2377" s="29" t="s">
        <v>325</v>
      </c>
      <c r="F2377" s="29" t="s">
        <v>36</v>
      </c>
      <c r="G2377" s="29">
        <v>17.989999999999998</v>
      </c>
      <c r="H2377" s="71" t="s">
        <v>734</v>
      </c>
      <c r="I2377" s="37" t="str">
        <f>"https://www.dimensional.com.br/terminal-compressao-185mm2-1-comp-1f-138mm-cu-tm18513/p"</f>
        <v>https://www.dimensional.com.br/terminal-compressao-185mm2-1-comp-1f-138mm-cu-tm18513/p</v>
      </c>
    </row>
    <row r="2378" spans="1:9" x14ac:dyDescent="0.25">
      <c r="A2378" s="29" t="s">
        <v>131</v>
      </c>
      <c r="B2378" s="29" t="s">
        <v>67</v>
      </c>
      <c r="C2378" s="29" t="s">
        <v>34</v>
      </c>
      <c r="D2378" s="37" t="s">
        <v>2852</v>
      </c>
      <c r="E2378" s="29" t="s">
        <v>327</v>
      </c>
      <c r="F2378" s="29" t="s">
        <v>36</v>
      </c>
      <c r="G2378" s="29">
        <v>31.49</v>
      </c>
      <c r="H2378" s="71" t="s">
        <v>738</v>
      </c>
      <c r="I2378" s="37" t="str">
        <f>"https://www.dimensional.com.br/terminalcompressao240mm21compressao1furo138mmcobretm240intelli/p"</f>
        <v>https://www.dimensional.com.br/terminalcompressao240mm21compressao1furo138mmcobretm240intelli/p</v>
      </c>
    </row>
    <row r="2379" spans="1:9" x14ac:dyDescent="0.25">
      <c r="A2379" s="29" t="s">
        <v>131</v>
      </c>
      <c r="B2379" s="29" t="s">
        <v>67</v>
      </c>
      <c r="C2379" s="29" t="s">
        <v>34</v>
      </c>
      <c r="D2379" s="37" t="s">
        <v>2853</v>
      </c>
      <c r="E2379" s="29" t="s">
        <v>328</v>
      </c>
      <c r="F2379" s="29" t="s">
        <v>36</v>
      </c>
      <c r="G2379" s="29">
        <v>41.99</v>
      </c>
      <c r="H2379" s="71" t="s">
        <v>738</v>
      </c>
      <c r="I2379" s="37" t="str">
        <f>"https://www.dimensional.com.br/terminal-compressao-300-00-mm2-1-compressao-90-graus-1-furo-13-80-mm-cobre-tm300-intelli/p"</f>
        <v>https://www.dimensional.com.br/terminal-compressao-300-00-mm2-1-compressao-90-graus-1-furo-13-80-mm-cobre-tm300-intelli/p</v>
      </c>
    </row>
    <row r="2380" spans="1:9" x14ac:dyDescent="0.25">
      <c r="A2380" s="29" t="s">
        <v>131</v>
      </c>
      <c r="B2380" s="29" t="s">
        <v>67</v>
      </c>
      <c r="C2380" s="29" t="s">
        <v>34</v>
      </c>
      <c r="D2380" s="37" t="s">
        <v>2854</v>
      </c>
      <c r="E2380" s="29" t="s">
        <v>330</v>
      </c>
      <c r="F2380" s="29" t="s">
        <v>36</v>
      </c>
      <c r="I2380" s="37" t="s">
        <v>37</v>
      </c>
    </row>
    <row r="2381" spans="1:9" x14ac:dyDescent="0.25">
      <c r="A2381" s="29" t="s">
        <v>131</v>
      </c>
      <c r="B2381" s="29" t="s">
        <v>67</v>
      </c>
      <c r="C2381" s="29" t="s">
        <v>34</v>
      </c>
      <c r="D2381" s="37" t="s">
        <v>2855</v>
      </c>
      <c r="E2381" s="29" t="s">
        <v>313</v>
      </c>
      <c r="F2381" s="29" t="s">
        <v>36</v>
      </c>
      <c r="I2381" s="37" t="s">
        <v>37</v>
      </c>
    </row>
    <row r="2382" spans="1:9" x14ac:dyDescent="0.25">
      <c r="A2382" s="29" t="s">
        <v>131</v>
      </c>
      <c r="B2382" s="29" t="s">
        <v>67</v>
      </c>
      <c r="C2382" s="29" t="s">
        <v>34</v>
      </c>
      <c r="D2382" s="37" t="s">
        <v>2856</v>
      </c>
      <c r="E2382" s="29" t="s">
        <v>316</v>
      </c>
      <c r="F2382" s="29" t="s">
        <v>36</v>
      </c>
      <c r="I2382" s="37" t="s">
        <v>37</v>
      </c>
    </row>
    <row r="2383" spans="1:9" x14ac:dyDescent="0.25">
      <c r="A2383" s="29" t="s">
        <v>131</v>
      </c>
      <c r="B2383" s="29" t="s">
        <v>67</v>
      </c>
      <c r="C2383" s="29" t="s">
        <v>34</v>
      </c>
      <c r="D2383" s="37" t="s">
        <v>2857</v>
      </c>
      <c r="E2383" s="29" t="s">
        <v>319</v>
      </c>
      <c r="F2383" s="29" t="s">
        <v>36</v>
      </c>
      <c r="I2383" s="37" t="s">
        <v>37</v>
      </c>
    </row>
    <row r="2384" spans="1:9" x14ac:dyDescent="0.25">
      <c r="A2384" s="29" t="s">
        <v>131</v>
      </c>
      <c r="B2384" s="29" t="s">
        <v>67</v>
      </c>
      <c r="C2384" s="29" t="s">
        <v>34</v>
      </c>
      <c r="D2384" s="37" t="s">
        <v>2858</v>
      </c>
      <c r="E2384" s="29" t="s">
        <v>329</v>
      </c>
      <c r="F2384" s="29" t="s">
        <v>36</v>
      </c>
      <c r="I2384" s="37" t="s">
        <v>37</v>
      </c>
    </row>
    <row r="2385" spans="1:9" x14ac:dyDescent="0.25">
      <c r="A2385" s="29" t="s">
        <v>131</v>
      </c>
      <c r="B2385" s="29" t="s">
        <v>67</v>
      </c>
      <c r="C2385" s="29" t="s">
        <v>34</v>
      </c>
      <c r="D2385" s="37" t="s">
        <v>2859</v>
      </c>
      <c r="E2385" s="29" t="s">
        <v>331</v>
      </c>
      <c r="F2385" s="29" t="s">
        <v>36</v>
      </c>
      <c r="I2385" s="37" t="s">
        <v>37</v>
      </c>
    </row>
    <row r="2386" spans="1:9" x14ac:dyDescent="0.25">
      <c r="A2386" s="29" t="s">
        <v>131</v>
      </c>
      <c r="B2386" s="29" t="s">
        <v>67</v>
      </c>
      <c r="C2386" s="29" t="s">
        <v>34</v>
      </c>
      <c r="D2386" s="37" t="s">
        <v>2860</v>
      </c>
      <c r="E2386" s="29" t="s">
        <v>332</v>
      </c>
      <c r="F2386" s="29" t="s">
        <v>36</v>
      </c>
      <c r="G2386" s="29">
        <v>74.989999999999995</v>
      </c>
      <c r="H2386" s="71" t="s">
        <v>738</v>
      </c>
      <c r="I2386" s="37" t="str">
        <f>"https://www.dimensional.com.br/terminal-compressao-500-00mm2-1-comp-1f-m17-cu-tm500-intelli/p"</f>
        <v>https://www.dimensional.com.br/terminal-compressao-500-00mm2-1-comp-1f-m17-cu-tm500-intelli/p</v>
      </c>
    </row>
    <row r="2387" spans="1:9" x14ac:dyDescent="0.25">
      <c r="A2387" s="29" t="s">
        <v>131</v>
      </c>
      <c r="B2387" s="29" t="s">
        <v>67</v>
      </c>
      <c r="C2387" s="29" t="s">
        <v>34</v>
      </c>
      <c r="D2387" s="37" t="s">
        <v>2861</v>
      </c>
      <c r="E2387" s="29" t="s">
        <v>333</v>
      </c>
      <c r="F2387" s="29" t="s">
        <v>36</v>
      </c>
      <c r="I2387" s="37" t="s">
        <v>37</v>
      </c>
    </row>
    <row r="2388" spans="1:9" x14ac:dyDescent="0.25">
      <c r="A2388" s="29" t="s">
        <v>131</v>
      </c>
      <c r="B2388" s="29" t="s">
        <v>67</v>
      </c>
      <c r="C2388" s="29" t="s">
        <v>34</v>
      </c>
      <c r="D2388" s="37" t="s">
        <v>2862</v>
      </c>
      <c r="E2388" s="29" t="s">
        <v>297</v>
      </c>
      <c r="F2388" s="29" t="s">
        <v>36</v>
      </c>
      <c r="G2388" s="29">
        <v>0.97</v>
      </c>
      <c r="H2388" s="71" t="s">
        <v>738</v>
      </c>
      <c r="I2388" s="37" t="str">
        <f>"https://www.dimensional.com.br/terminal-compressao-10-00-mm2-1-compressao-1-furo-5-2-mm-cobre-tm10-intelli/p"</f>
        <v>https://www.dimensional.com.br/terminal-compressao-10-00-mm2-1-compressao-1-furo-5-2-mm-cobre-tm10-intelli/p</v>
      </c>
    </row>
    <row r="2389" spans="1:9" x14ac:dyDescent="0.25">
      <c r="A2389" s="29" t="s">
        <v>131</v>
      </c>
      <c r="B2389" s="29" t="s">
        <v>67</v>
      </c>
      <c r="C2389" s="29" t="s">
        <v>34</v>
      </c>
      <c r="D2389" s="37" t="s">
        <v>2863</v>
      </c>
      <c r="E2389" s="29" t="s">
        <v>293</v>
      </c>
      <c r="F2389" s="29" t="s">
        <v>36</v>
      </c>
      <c r="G2389" s="29">
        <v>1.05</v>
      </c>
      <c r="H2389" s="71" t="s">
        <v>203</v>
      </c>
      <c r="I2389" s="37" t="str">
        <f>"https://www.eletrotrafo.com.br/terminal-de-compressao-25-mm-02140015/p?skuId=15606"</f>
        <v>https://www.eletrotrafo.com.br/terminal-de-compressao-25-mm-02140015/p?skuId=15606</v>
      </c>
    </row>
    <row r="2390" spans="1:9" x14ac:dyDescent="0.25">
      <c r="A2390" s="29" t="s">
        <v>131</v>
      </c>
      <c r="B2390" s="29" t="s">
        <v>67</v>
      </c>
      <c r="C2390" s="29" t="s">
        <v>34</v>
      </c>
      <c r="D2390" s="37" t="s">
        <v>2864</v>
      </c>
      <c r="E2390" s="29" t="s">
        <v>300</v>
      </c>
      <c r="F2390" s="29" t="s">
        <v>36</v>
      </c>
      <c r="G2390" s="29">
        <v>1.34</v>
      </c>
      <c r="H2390" s="71" t="s">
        <v>738</v>
      </c>
      <c r="I2390" s="37" t="str">
        <f>"https://www.dimensional.com.br/terminalcompressao1600mm21compressao1furo52mmcobretm16intelli/p"</f>
        <v>https://www.dimensional.com.br/terminalcompressao1600mm21compressao1furo52mmcobretm16intelli/p</v>
      </c>
    </row>
    <row r="2391" spans="1:9" x14ac:dyDescent="0.25">
      <c r="A2391" s="29" t="s">
        <v>131</v>
      </c>
      <c r="B2391" s="29" t="s">
        <v>67</v>
      </c>
      <c r="C2391" s="29" t="s">
        <v>34</v>
      </c>
      <c r="D2391" s="37" t="s">
        <v>2865</v>
      </c>
      <c r="E2391" s="29" t="s">
        <v>303</v>
      </c>
      <c r="F2391" s="29" t="s">
        <v>36</v>
      </c>
      <c r="G2391" s="29">
        <v>1.88</v>
      </c>
      <c r="H2391" s="71" t="s">
        <v>738</v>
      </c>
      <c r="I2391" s="37" t="str">
        <f>"https://www.dimensional.com.br/terminal-compressao-25mm2-1-comp-1f-cu-tm255-intelli/p"</f>
        <v>https://www.dimensional.com.br/terminal-compressao-25mm2-1-comp-1f-cu-tm255-intelli/p</v>
      </c>
    </row>
    <row r="2392" spans="1:9" x14ac:dyDescent="0.25">
      <c r="A2392" s="29" t="s">
        <v>131</v>
      </c>
      <c r="B2392" s="29" t="s">
        <v>67</v>
      </c>
      <c r="C2392" s="29" t="s">
        <v>34</v>
      </c>
      <c r="D2392" s="37" t="s">
        <v>2866</v>
      </c>
      <c r="E2392" s="29" t="s">
        <v>295</v>
      </c>
      <c r="F2392" s="29" t="s">
        <v>36</v>
      </c>
      <c r="G2392" s="29">
        <v>0.76</v>
      </c>
      <c r="H2392" s="71" t="s">
        <v>738</v>
      </c>
      <c r="I2392" s="37" t="str">
        <f>"https://www.dimensional.com.br/terminal-compressao-1-compressao-cobre-1-furo-5-2-mm-4-00-6-00-mm2-tm6-intelli/p"</f>
        <v>https://www.dimensional.com.br/terminal-compressao-1-compressao-cobre-1-furo-5-2-mm-4-00-6-00-mm2-tm6-intelli/p</v>
      </c>
    </row>
    <row r="2393" spans="1:9" x14ac:dyDescent="0.25">
      <c r="A2393" s="29" t="s">
        <v>131</v>
      </c>
      <c r="B2393" s="29" t="s">
        <v>67</v>
      </c>
      <c r="C2393" s="29" t="s">
        <v>34</v>
      </c>
      <c r="D2393" s="37" t="s">
        <v>2867</v>
      </c>
      <c r="E2393" s="29" t="s">
        <v>294</v>
      </c>
      <c r="F2393" s="29" t="s">
        <v>36</v>
      </c>
      <c r="I2393" s="37" t="s">
        <v>37</v>
      </c>
    </row>
    <row r="2394" spans="1:9" x14ac:dyDescent="0.25">
      <c r="A2394" s="29" t="s">
        <v>131</v>
      </c>
      <c r="B2394" s="29" t="s">
        <v>67</v>
      </c>
      <c r="C2394" s="29" t="s">
        <v>34</v>
      </c>
      <c r="D2394" s="37" t="s">
        <v>2868</v>
      </c>
      <c r="E2394" s="29" t="s">
        <v>298</v>
      </c>
      <c r="F2394" s="29" t="s">
        <v>36</v>
      </c>
      <c r="G2394" s="29">
        <v>0.93</v>
      </c>
      <c r="H2394" s="71" t="s">
        <v>734</v>
      </c>
      <c r="I2394" s="37" t="str">
        <f>"https://www.dimensional.com.br/terminal-compressao-10mm2-1-comp-1f-65mm-cu-tm106/p"</f>
        <v>https://www.dimensional.com.br/terminal-compressao-10mm2-1-comp-1f-65mm-cu-tm106/p</v>
      </c>
    </row>
    <row r="2395" spans="1:9" x14ac:dyDescent="0.25">
      <c r="A2395" s="29" t="s">
        <v>131</v>
      </c>
      <c r="B2395" s="29" t="s">
        <v>67</v>
      </c>
      <c r="C2395" s="29" t="s">
        <v>34</v>
      </c>
      <c r="D2395" s="37" t="s">
        <v>2869</v>
      </c>
      <c r="E2395" s="29" t="s">
        <v>301</v>
      </c>
      <c r="F2395" s="29" t="s">
        <v>36</v>
      </c>
      <c r="I2395" s="37" t="s">
        <v>37</v>
      </c>
    </row>
    <row r="2396" spans="1:9" x14ac:dyDescent="0.25">
      <c r="A2396" s="29" t="s">
        <v>131</v>
      </c>
      <c r="B2396" s="29" t="s">
        <v>67</v>
      </c>
      <c r="C2396" s="29" t="s">
        <v>34</v>
      </c>
      <c r="D2396" s="37" t="s">
        <v>2870</v>
      </c>
      <c r="E2396" s="29" t="s">
        <v>304</v>
      </c>
      <c r="F2396" s="29" t="s">
        <v>36</v>
      </c>
      <c r="G2396" s="29">
        <v>1.88</v>
      </c>
      <c r="H2396" s="71" t="s">
        <v>738</v>
      </c>
      <c r="I2396" s="37" t="str">
        <f>"https://www.dimensional.com.br/terminal-compressao-25-00-mm2-1-compressao-1-furo-6-50-mm-cobre-tm25-intelli/p"</f>
        <v>https://www.dimensional.com.br/terminal-compressao-25-00-mm2-1-compressao-1-furo-6-50-mm-cobre-tm25-intelli/p</v>
      </c>
    </row>
    <row r="2397" spans="1:9" x14ac:dyDescent="0.25">
      <c r="A2397" s="29" t="s">
        <v>131</v>
      </c>
      <c r="B2397" s="29" t="s">
        <v>67</v>
      </c>
      <c r="C2397" s="29" t="s">
        <v>34</v>
      </c>
      <c r="D2397" s="37" t="s">
        <v>2871</v>
      </c>
      <c r="E2397" s="29" t="s">
        <v>307</v>
      </c>
      <c r="F2397" s="29" t="s">
        <v>36</v>
      </c>
      <c r="I2397" s="37" t="s">
        <v>37</v>
      </c>
    </row>
    <row r="2398" spans="1:9" x14ac:dyDescent="0.25">
      <c r="A2398" s="29" t="s">
        <v>131</v>
      </c>
      <c r="B2398" s="29" t="s">
        <v>67</v>
      </c>
      <c r="C2398" s="29" t="s">
        <v>34</v>
      </c>
      <c r="D2398" s="37" t="s">
        <v>2872</v>
      </c>
      <c r="E2398" s="29" t="s">
        <v>296</v>
      </c>
      <c r="F2398" s="29" t="s">
        <v>36</v>
      </c>
      <c r="G2398" s="29">
        <v>0.76</v>
      </c>
      <c r="H2398" s="71" t="s">
        <v>734</v>
      </c>
      <c r="I2398" s="37" t="str">
        <f>"https://www.dimensional.com.br/terminal-compressao-4-0-6-0mm2-1-comp-1f-cu-tm66-intelli/p"</f>
        <v>https://www.dimensional.com.br/terminal-compressao-4-0-6-0mm2-1-comp-1f-cu-tm66-intelli/p</v>
      </c>
    </row>
    <row r="2399" spans="1:9" x14ac:dyDescent="0.25">
      <c r="A2399" s="29" t="s">
        <v>131</v>
      </c>
      <c r="B2399" s="29" t="s">
        <v>67</v>
      </c>
      <c r="C2399" s="29" t="s">
        <v>34</v>
      </c>
      <c r="D2399" s="37" t="s">
        <v>2873</v>
      </c>
      <c r="E2399" s="29" t="s">
        <v>310</v>
      </c>
      <c r="F2399" s="29" t="s">
        <v>36</v>
      </c>
      <c r="I2399" s="37" t="s">
        <v>37</v>
      </c>
    </row>
    <row r="2400" spans="1:9" x14ac:dyDescent="0.25">
      <c r="A2400" s="29" t="s">
        <v>131</v>
      </c>
      <c r="B2400" s="29" t="s">
        <v>67</v>
      </c>
      <c r="C2400" s="29" t="s">
        <v>34</v>
      </c>
      <c r="D2400" s="37" t="s">
        <v>2874</v>
      </c>
      <c r="E2400" s="29" t="s">
        <v>299</v>
      </c>
      <c r="F2400" s="29" t="s">
        <v>36</v>
      </c>
      <c r="G2400" s="29">
        <v>0.98</v>
      </c>
      <c r="H2400" s="71" t="s">
        <v>734</v>
      </c>
      <c r="I2400" s="37" t="str">
        <f>"https://www.dimensional.com.br/terminal-compressao-10-00-mm2-1-compressao-1-furo-cobre-tm108-intelli/p"</f>
        <v>https://www.dimensional.com.br/terminal-compressao-10-00-mm2-1-compressao-1-furo-cobre-tm108-intelli/p</v>
      </c>
    </row>
    <row r="2401" spans="1:9" x14ac:dyDescent="0.25">
      <c r="A2401" s="29" t="s">
        <v>131</v>
      </c>
      <c r="B2401" s="29" t="s">
        <v>67</v>
      </c>
      <c r="C2401" s="29" t="s">
        <v>34</v>
      </c>
      <c r="D2401" s="37" t="s">
        <v>2875</v>
      </c>
      <c r="E2401" s="29" t="s">
        <v>302</v>
      </c>
      <c r="F2401" s="29" t="s">
        <v>36</v>
      </c>
      <c r="G2401" s="29">
        <v>1.1599999999999999</v>
      </c>
      <c r="H2401" s="71" t="s">
        <v>734</v>
      </c>
      <c r="I2401" s="37" t="str">
        <f>"https://www.dimensional.com.br/terminal-compressao-1600mm2-1-comp-1f-85mm-cu-tm168/p"</f>
        <v>https://www.dimensional.com.br/terminal-compressao-1600mm2-1-comp-1f-85mm-cu-tm168/p</v>
      </c>
    </row>
    <row r="2402" spans="1:9" x14ac:dyDescent="0.25">
      <c r="A2402" s="29" t="s">
        <v>131</v>
      </c>
      <c r="B2402" s="29" t="s">
        <v>67</v>
      </c>
      <c r="C2402" s="29" t="s">
        <v>34</v>
      </c>
      <c r="D2402" s="37" t="s">
        <v>2876</v>
      </c>
      <c r="E2402" s="29" t="s">
        <v>305</v>
      </c>
      <c r="F2402" s="29" t="s">
        <v>36</v>
      </c>
      <c r="G2402" s="29">
        <v>2.06</v>
      </c>
      <c r="H2402" s="71" t="s">
        <v>734</v>
      </c>
      <c r="I2402" s="37" t="str">
        <f>"https://www.dimensional.com.br/terminal-compressao-25-00-mm2-1-compressao-1-furo-cobre-tm258-intelli/p"</f>
        <v>https://www.dimensional.com.br/terminal-compressao-25-00-mm2-1-compressao-1-furo-cobre-tm258-intelli/p</v>
      </c>
    </row>
    <row r="2403" spans="1:9" x14ac:dyDescent="0.25">
      <c r="A2403" s="29" t="s">
        <v>131</v>
      </c>
      <c r="B2403" s="29" t="s">
        <v>67</v>
      </c>
      <c r="C2403" s="29" t="s">
        <v>34</v>
      </c>
      <c r="D2403" s="37" t="s">
        <v>2877</v>
      </c>
      <c r="E2403" s="29" t="s">
        <v>308</v>
      </c>
      <c r="F2403" s="29" t="s">
        <v>36</v>
      </c>
      <c r="G2403" s="29">
        <v>2.69</v>
      </c>
      <c r="H2403" s="71" t="s">
        <v>734</v>
      </c>
      <c r="I2403" s="37" t="str">
        <f>"https://www.dimensional.com.br/terminal-compressao-35-00-mm2-1-compressao-1-furo-cobre-tm35-intelli/p"</f>
        <v>https://www.dimensional.com.br/terminal-compressao-35-00-mm2-1-compressao-1-furo-cobre-tm35-intelli/p</v>
      </c>
    </row>
    <row r="2404" spans="1:9" x14ac:dyDescent="0.25">
      <c r="A2404" s="29" t="s">
        <v>131</v>
      </c>
      <c r="B2404" s="29" t="s">
        <v>67</v>
      </c>
      <c r="C2404" s="29" t="s">
        <v>34</v>
      </c>
      <c r="D2404" s="37" t="s">
        <v>2878</v>
      </c>
      <c r="E2404" s="29" t="s">
        <v>311</v>
      </c>
      <c r="F2404" s="29" t="s">
        <v>36</v>
      </c>
      <c r="G2404" s="29">
        <v>5.59</v>
      </c>
      <c r="H2404" s="71" t="s">
        <v>800</v>
      </c>
      <c r="I2404" s="37" t="str">
        <f>"https://www.axxesmat.com.br/terminal-de-cobre-a-compressao-tm-50-8-de-50mm2-furo-8-5mm-intelli"</f>
        <v>https://www.axxesmat.com.br/terminal-de-cobre-a-compressao-tm-50-8-de-50mm2-furo-8-5mm-intelli</v>
      </c>
    </row>
    <row r="2405" spans="1:9" x14ac:dyDescent="0.25">
      <c r="A2405" s="29" t="s">
        <v>131</v>
      </c>
      <c r="B2405" s="29" t="s">
        <v>67</v>
      </c>
      <c r="C2405" s="29" t="s">
        <v>34</v>
      </c>
      <c r="D2405" s="37" t="s">
        <v>2879</v>
      </c>
      <c r="E2405" s="29" t="s">
        <v>314</v>
      </c>
      <c r="F2405" s="29" t="s">
        <v>36</v>
      </c>
      <c r="G2405" s="29">
        <v>7.1</v>
      </c>
      <c r="H2405" s="71" t="s">
        <v>734</v>
      </c>
      <c r="I2405" s="37" t="str">
        <f>"https://www.dimensional.com.br/terminal-compressao-70mm2-1f-8mm-cu-tm708-intelli/p"</f>
        <v>https://www.dimensional.com.br/terminal-compressao-70mm2-1f-8mm-cu-tm708-intelli/p</v>
      </c>
    </row>
    <row r="2406" spans="1:9" x14ac:dyDescent="0.25">
      <c r="A2406" s="29" t="s">
        <v>131</v>
      </c>
      <c r="B2406" s="29" t="s">
        <v>67</v>
      </c>
      <c r="C2406" s="29" t="s">
        <v>34</v>
      </c>
      <c r="D2406" s="37" t="s">
        <v>2880</v>
      </c>
      <c r="E2406" s="29" t="s">
        <v>317</v>
      </c>
      <c r="F2406" s="29" t="s">
        <v>36</v>
      </c>
      <c r="G2406" s="29">
        <v>8.6300000000000008</v>
      </c>
      <c r="H2406" s="71" t="s">
        <v>738</v>
      </c>
      <c r="I2406" s="37" t="str">
        <f>"https://www.dimensional.com.br/terminal-compressao-95mm2-1-comp-1f-8mm-cu-tm958-intelli/p"</f>
        <v>https://www.dimensional.com.br/terminal-compressao-95mm2-1-comp-1f-8mm-cu-tm958-intelli/p</v>
      </c>
    </row>
    <row r="2407" spans="1:9" x14ac:dyDescent="0.25">
      <c r="A2407" s="29" t="s">
        <v>131</v>
      </c>
      <c r="B2407" s="29" t="s">
        <v>67</v>
      </c>
      <c r="C2407" s="29" t="s">
        <v>34</v>
      </c>
      <c r="D2407" s="37" t="s">
        <v>2881</v>
      </c>
      <c r="E2407" s="29" t="s">
        <v>380</v>
      </c>
      <c r="F2407" s="29" t="s">
        <v>36</v>
      </c>
      <c r="I2407" s="37" t="s">
        <v>37</v>
      </c>
    </row>
    <row r="2408" spans="1:9" x14ac:dyDescent="0.25">
      <c r="A2408" s="29" t="s">
        <v>131</v>
      </c>
      <c r="B2408" s="29" t="s">
        <v>67</v>
      </c>
      <c r="C2408" s="29" t="s">
        <v>34</v>
      </c>
      <c r="D2408" s="37" t="s">
        <v>2882</v>
      </c>
      <c r="E2408" s="29" t="s">
        <v>381</v>
      </c>
      <c r="F2408" s="29" t="s">
        <v>36</v>
      </c>
      <c r="I2408" s="37" t="s">
        <v>37</v>
      </c>
    </row>
    <row r="2409" spans="1:9" x14ac:dyDescent="0.25">
      <c r="A2409" s="29" t="s">
        <v>131</v>
      </c>
      <c r="B2409" s="29" t="s">
        <v>67</v>
      </c>
      <c r="C2409" s="29" t="s">
        <v>34</v>
      </c>
      <c r="D2409" s="37" t="s">
        <v>2883</v>
      </c>
      <c r="E2409" s="29" t="s">
        <v>382</v>
      </c>
      <c r="F2409" s="29" t="s">
        <v>36</v>
      </c>
      <c r="G2409" s="29">
        <v>36.99</v>
      </c>
      <c r="H2409" s="71" t="s">
        <v>738</v>
      </c>
      <c r="I2409" s="37" t="str">
        <f>"https://www.dimensional.com.br/terminal-compressao-185mm2-2f-13-8mm-cu-tm1852-intelli/p"</f>
        <v>https://www.dimensional.com.br/terminal-compressao-185mm2-2f-13-8mm-cu-tm1852-intelli/p</v>
      </c>
    </row>
    <row r="2410" spans="1:9" x14ac:dyDescent="0.25">
      <c r="A2410" s="29" t="s">
        <v>131</v>
      </c>
      <c r="B2410" s="29" t="s">
        <v>67</v>
      </c>
      <c r="C2410" s="29" t="s">
        <v>34</v>
      </c>
      <c r="D2410" s="37" t="s">
        <v>2884</v>
      </c>
      <c r="E2410" s="29" t="s">
        <v>383</v>
      </c>
      <c r="F2410" s="29" t="s">
        <v>36</v>
      </c>
      <c r="I2410" s="37" t="s">
        <v>37</v>
      </c>
    </row>
    <row r="2411" spans="1:9" x14ac:dyDescent="0.25">
      <c r="A2411" s="29" t="s">
        <v>131</v>
      </c>
      <c r="B2411" s="29" t="s">
        <v>67</v>
      </c>
      <c r="C2411" s="29" t="s">
        <v>34</v>
      </c>
      <c r="D2411" s="37" t="s">
        <v>2885</v>
      </c>
      <c r="E2411" s="29" t="s">
        <v>384</v>
      </c>
      <c r="F2411" s="29" t="s">
        <v>36</v>
      </c>
      <c r="I2411" s="37" t="s">
        <v>37</v>
      </c>
    </row>
    <row r="2412" spans="1:9" x14ac:dyDescent="0.25">
      <c r="A2412" s="29" t="s">
        <v>131</v>
      </c>
      <c r="B2412" s="29" t="s">
        <v>67</v>
      </c>
      <c r="C2412" s="29" t="s">
        <v>34</v>
      </c>
      <c r="D2412" s="37" t="s">
        <v>2886</v>
      </c>
      <c r="E2412" s="29" t="s">
        <v>385</v>
      </c>
      <c r="F2412" s="29" t="s">
        <v>36</v>
      </c>
      <c r="I2412" s="37" t="s">
        <v>37</v>
      </c>
    </row>
    <row r="2413" spans="1:9" x14ac:dyDescent="0.25">
      <c r="A2413" s="29" t="s">
        <v>131</v>
      </c>
      <c r="B2413" s="29" t="s">
        <v>67</v>
      </c>
      <c r="C2413" s="29" t="s">
        <v>34</v>
      </c>
      <c r="D2413" s="37" t="s">
        <v>2887</v>
      </c>
      <c r="E2413" s="29" t="s">
        <v>386</v>
      </c>
      <c r="F2413" s="29" t="s">
        <v>36</v>
      </c>
      <c r="I2413" s="37" t="s">
        <v>37</v>
      </c>
    </row>
    <row r="2414" spans="1:9" x14ac:dyDescent="0.25">
      <c r="A2414" s="29" t="s">
        <v>131</v>
      </c>
      <c r="B2414" s="29" t="s">
        <v>67</v>
      </c>
      <c r="C2414" s="29" t="s">
        <v>34</v>
      </c>
      <c r="D2414" s="37" t="s">
        <v>2888</v>
      </c>
      <c r="E2414" s="29" t="s">
        <v>387</v>
      </c>
      <c r="F2414" s="29" t="s">
        <v>36</v>
      </c>
      <c r="I2414" s="37" t="s">
        <v>37</v>
      </c>
    </row>
    <row r="2415" spans="1:9" x14ac:dyDescent="0.25">
      <c r="A2415" s="29" t="s">
        <v>131</v>
      </c>
      <c r="B2415" s="29" t="s">
        <v>67</v>
      </c>
      <c r="C2415" s="29" t="s">
        <v>34</v>
      </c>
      <c r="D2415" s="37" t="s">
        <v>2889</v>
      </c>
      <c r="E2415" s="29" t="s">
        <v>378</v>
      </c>
      <c r="F2415" s="29" t="s">
        <v>36</v>
      </c>
      <c r="G2415" s="29">
        <v>11.69</v>
      </c>
      <c r="H2415" s="71" t="s">
        <v>738</v>
      </c>
      <c r="I2415" s="37" t="str">
        <f>"https://www.dimensional.com.br/terminal-compressao-70mm2-1-comp-2f-13-8mm-cu-tm702-intelli/p"</f>
        <v>https://www.dimensional.com.br/terminal-compressao-70mm2-1-comp-2f-13-8mm-cu-tm702-intelli/p</v>
      </c>
    </row>
    <row r="2416" spans="1:9" x14ac:dyDescent="0.25">
      <c r="A2416" s="29" t="s">
        <v>131</v>
      </c>
      <c r="B2416" s="29" t="s">
        <v>67</v>
      </c>
      <c r="C2416" s="29" t="s">
        <v>34</v>
      </c>
      <c r="D2416" s="37" t="s">
        <v>2890</v>
      </c>
      <c r="E2416" s="29" t="s">
        <v>379</v>
      </c>
      <c r="F2416" s="29" t="s">
        <v>36</v>
      </c>
      <c r="I2416" s="37" t="s">
        <v>37</v>
      </c>
    </row>
    <row r="2417" spans="1:9" x14ac:dyDescent="0.25">
      <c r="A2417" s="29" t="s">
        <v>131</v>
      </c>
      <c r="B2417" s="29" t="s">
        <v>67</v>
      </c>
      <c r="C2417" s="29" t="s">
        <v>34</v>
      </c>
      <c r="D2417" s="37" t="s">
        <v>2891</v>
      </c>
      <c r="E2417" s="29" t="s">
        <v>373</v>
      </c>
      <c r="F2417" s="29" t="s">
        <v>36</v>
      </c>
      <c r="I2417" s="37" t="s">
        <v>37</v>
      </c>
    </row>
    <row r="2418" spans="1:9" x14ac:dyDescent="0.25">
      <c r="A2418" s="29" t="s">
        <v>131</v>
      </c>
      <c r="B2418" s="29" t="s">
        <v>67</v>
      </c>
      <c r="C2418" s="29" t="s">
        <v>34</v>
      </c>
      <c r="D2418" s="37" t="s">
        <v>2892</v>
      </c>
      <c r="E2418" s="29" t="s">
        <v>374</v>
      </c>
      <c r="F2418" s="29" t="s">
        <v>36</v>
      </c>
      <c r="I2418" s="37" t="s">
        <v>37</v>
      </c>
    </row>
    <row r="2419" spans="1:9" x14ac:dyDescent="0.25">
      <c r="A2419" s="29" t="s">
        <v>131</v>
      </c>
      <c r="B2419" s="29" t="s">
        <v>67</v>
      </c>
      <c r="C2419" s="29" t="s">
        <v>34</v>
      </c>
      <c r="D2419" s="37" t="s">
        <v>2893</v>
      </c>
      <c r="E2419" s="29" t="s">
        <v>375</v>
      </c>
      <c r="F2419" s="29" t="s">
        <v>36</v>
      </c>
      <c r="I2419" s="37" t="s">
        <v>37</v>
      </c>
    </row>
    <row r="2420" spans="1:9" x14ac:dyDescent="0.25">
      <c r="A2420" s="29" t="s">
        <v>131</v>
      </c>
      <c r="B2420" s="29" t="s">
        <v>67</v>
      </c>
      <c r="C2420" s="29" t="s">
        <v>34</v>
      </c>
      <c r="D2420" s="37" t="s">
        <v>2894</v>
      </c>
      <c r="E2420" s="29" t="s">
        <v>376</v>
      </c>
      <c r="F2420" s="29" t="s">
        <v>36</v>
      </c>
      <c r="G2420" s="29">
        <v>4.3899999999999997</v>
      </c>
      <c r="H2420" s="71" t="s">
        <v>738</v>
      </c>
      <c r="I2420" s="37" t="str">
        <f>"https://www.dimensional.com.br/terminal-compressao-35mm2-1-comp-2f-cu-tm352-intelli/p"</f>
        <v>https://www.dimensional.com.br/terminal-compressao-35mm2-1-comp-2f-cu-tm352-intelli/p</v>
      </c>
    </row>
    <row r="2421" spans="1:9" x14ac:dyDescent="0.25">
      <c r="A2421" s="29" t="s">
        <v>131</v>
      </c>
      <c r="B2421" s="29" t="s">
        <v>67</v>
      </c>
      <c r="C2421" s="29" t="s">
        <v>34</v>
      </c>
      <c r="D2421" s="37" t="s">
        <v>2895</v>
      </c>
      <c r="E2421" s="29" t="s">
        <v>377</v>
      </c>
      <c r="F2421" s="29" t="s">
        <v>36</v>
      </c>
      <c r="I2421" s="37" t="s">
        <v>37</v>
      </c>
    </row>
    <row r="2422" spans="1:9" x14ac:dyDescent="0.25">
      <c r="A2422" s="29" t="s">
        <v>131</v>
      </c>
      <c r="B2422" s="29" t="s">
        <v>67</v>
      </c>
      <c r="C2422" s="29" t="s">
        <v>34</v>
      </c>
      <c r="D2422" s="37" t="s">
        <v>2896</v>
      </c>
      <c r="E2422" s="29" t="s">
        <v>432</v>
      </c>
      <c r="F2422" s="29" t="s">
        <v>36</v>
      </c>
      <c r="I2422" s="37" t="s">
        <v>37</v>
      </c>
    </row>
    <row r="2423" spans="1:9" x14ac:dyDescent="0.25">
      <c r="A2423" s="29" t="s">
        <v>131</v>
      </c>
      <c r="B2423" s="29" t="s">
        <v>67</v>
      </c>
      <c r="C2423" s="29" t="s">
        <v>34</v>
      </c>
      <c r="D2423" s="37" t="s">
        <v>2897</v>
      </c>
      <c r="E2423" s="29" t="s">
        <v>421</v>
      </c>
      <c r="F2423" s="29" t="s">
        <v>36</v>
      </c>
      <c r="I2423" s="37" t="s">
        <v>37</v>
      </c>
    </row>
    <row r="2424" spans="1:9" x14ac:dyDescent="0.25">
      <c r="A2424" s="29" t="s">
        <v>131</v>
      </c>
      <c r="B2424" s="29" t="s">
        <v>67</v>
      </c>
      <c r="C2424" s="29" t="s">
        <v>34</v>
      </c>
      <c r="D2424" s="37" t="s">
        <v>2898</v>
      </c>
      <c r="E2424" s="29" t="s">
        <v>423</v>
      </c>
      <c r="F2424" s="29" t="s">
        <v>36</v>
      </c>
      <c r="I2424" s="37" t="s">
        <v>37</v>
      </c>
    </row>
    <row r="2425" spans="1:9" x14ac:dyDescent="0.25">
      <c r="A2425" s="29" t="s">
        <v>131</v>
      </c>
      <c r="B2425" s="29" t="s">
        <v>67</v>
      </c>
      <c r="C2425" s="29" t="s">
        <v>34</v>
      </c>
      <c r="D2425" s="37" t="s">
        <v>2899</v>
      </c>
      <c r="E2425" s="29" t="s">
        <v>425</v>
      </c>
      <c r="F2425" s="29" t="s">
        <v>36</v>
      </c>
      <c r="I2425" s="37" t="s">
        <v>37</v>
      </c>
    </row>
    <row r="2426" spans="1:9" x14ac:dyDescent="0.25">
      <c r="A2426" s="29" t="s">
        <v>131</v>
      </c>
      <c r="B2426" s="29" t="s">
        <v>67</v>
      </c>
      <c r="C2426" s="29" t="s">
        <v>34</v>
      </c>
      <c r="D2426" s="37" t="s">
        <v>2900</v>
      </c>
      <c r="E2426" s="29" t="s">
        <v>428</v>
      </c>
      <c r="F2426" s="29" t="s">
        <v>36</v>
      </c>
      <c r="I2426" s="37" t="s">
        <v>37</v>
      </c>
    </row>
    <row r="2427" spans="1:9" x14ac:dyDescent="0.25">
      <c r="A2427" s="29" t="s">
        <v>131</v>
      </c>
      <c r="B2427" s="29" t="s">
        <v>67</v>
      </c>
      <c r="C2427" s="29" t="s">
        <v>34</v>
      </c>
      <c r="D2427" s="37" t="s">
        <v>2901</v>
      </c>
      <c r="E2427" s="29" t="s">
        <v>430</v>
      </c>
      <c r="F2427" s="29" t="s">
        <v>36</v>
      </c>
      <c r="I2427" s="37" t="s">
        <v>37</v>
      </c>
    </row>
    <row r="2428" spans="1:9" x14ac:dyDescent="0.25">
      <c r="A2428" s="29" t="s">
        <v>131</v>
      </c>
      <c r="B2428" s="29" t="s">
        <v>67</v>
      </c>
      <c r="C2428" s="29" t="s">
        <v>34</v>
      </c>
      <c r="D2428" s="37" t="s">
        <v>2902</v>
      </c>
      <c r="E2428" s="29" t="s">
        <v>433</v>
      </c>
      <c r="F2428" s="29" t="s">
        <v>36</v>
      </c>
      <c r="G2428" s="29">
        <v>14.99</v>
      </c>
      <c r="H2428" s="71" t="s">
        <v>738</v>
      </c>
      <c r="I2428" s="37" t="str">
        <f>"https://www.dimensional.com.br/terminal-compressao-120mm2-2-comp-1f-13-80mm-cob-tm120l-intelli/p; https://www.jardimferramentas.com/product/terminal-compressao-120mm2-2-comp-1f-1380mm-cob-tm120l-intelli/"</f>
        <v>https://www.dimensional.com.br/terminal-compressao-120mm2-2-comp-1f-13-80mm-cob-tm120l-intelli/p; https://www.jardimferramentas.com/product/terminal-compressao-120mm2-2-comp-1f-1380mm-cob-tm120l-intelli/</v>
      </c>
    </row>
    <row r="2429" spans="1:9" x14ac:dyDescent="0.25">
      <c r="A2429" s="29" t="s">
        <v>131</v>
      </c>
      <c r="B2429" s="29" t="s">
        <v>67</v>
      </c>
      <c r="C2429" s="29" t="s">
        <v>34</v>
      </c>
      <c r="D2429" s="37" t="s">
        <v>2903</v>
      </c>
      <c r="E2429" s="29" t="s">
        <v>434</v>
      </c>
      <c r="F2429" s="29" t="s">
        <v>36</v>
      </c>
      <c r="I2429" s="37" t="s">
        <v>37</v>
      </c>
    </row>
    <row r="2430" spans="1:9" x14ac:dyDescent="0.25">
      <c r="A2430" s="29" t="s">
        <v>131</v>
      </c>
      <c r="B2430" s="29" t="s">
        <v>67</v>
      </c>
      <c r="C2430" s="29" t="s">
        <v>34</v>
      </c>
      <c r="D2430" s="37" t="s">
        <v>2904</v>
      </c>
      <c r="E2430" s="29" t="s">
        <v>435</v>
      </c>
      <c r="F2430" s="29" t="s">
        <v>36</v>
      </c>
      <c r="G2430" s="29">
        <v>21.59</v>
      </c>
      <c r="H2430" s="71" t="s">
        <v>738</v>
      </c>
      <c r="I2430" s="37" t="str">
        <f>"https://www.dimensional.com.br/terminal-compressao-185mm2-2-comp-1f-13-8mm-cu-tm185l-intelli/p"</f>
        <v>https://www.dimensional.com.br/terminal-compressao-185mm2-2-comp-1f-13-8mm-cu-tm185l-intelli/p</v>
      </c>
    </row>
    <row r="2431" spans="1:9" x14ac:dyDescent="0.25">
      <c r="A2431" s="29" t="s">
        <v>131</v>
      </c>
      <c r="B2431" s="29" t="s">
        <v>67</v>
      </c>
      <c r="C2431" s="29" t="s">
        <v>34</v>
      </c>
      <c r="D2431" s="37" t="s">
        <v>2905</v>
      </c>
      <c r="E2431" s="29" t="s">
        <v>436</v>
      </c>
      <c r="F2431" s="29" t="s">
        <v>36</v>
      </c>
      <c r="I2431" s="37" t="s">
        <v>37</v>
      </c>
    </row>
    <row r="2432" spans="1:9" x14ac:dyDescent="0.25">
      <c r="A2432" s="29" t="s">
        <v>131</v>
      </c>
      <c r="B2432" s="29" t="s">
        <v>67</v>
      </c>
      <c r="C2432" s="29" t="s">
        <v>34</v>
      </c>
      <c r="D2432" s="37" t="s">
        <v>2906</v>
      </c>
      <c r="E2432" s="29" t="s">
        <v>437</v>
      </c>
      <c r="F2432" s="29" t="s">
        <v>36</v>
      </c>
      <c r="G2432" s="29">
        <v>44.99</v>
      </c>
      <c r="H2432" s="71" t="s">
        <v>738</v>
      </c>
      <c r="I2432" s="37" t="str">
        <f>"https://www.dimensional.com.br/terminal-compressao-300mm2-2-comp-1f-13-8mm-cob-tm300l-intelli/p"</f>
        <v>https://www.dimensional.com.br/terminal-compressao-300mm2-2-comp-1f-13-8mm-cob-tm300l-intelli/p</v>
      </c>
    </row>
    <row r="2433" spans="1:9" x14ac:dyDescent="0.25">
      <c r="A2433" s="29" t="s">
        <v>131</v>
      </c>
      <c r="B2433" s="29" t="s">
        <v>67</v>
      </c>
      <c r="C2433" s="29" t="s">
        <v>34</v>
      </c>
      <c r="D2433" s="37" t="s">
        <v>2907</v>
      </c>
      <c r="E2433" s="29" t="s">
        <v>438</v>
      </c>
      <c r="F2433" s="29" t="s">
        <v>36</v>
      </c>
      <c r="G2433" s="29">
        <v>69.290000000000006</v>
      </c>
      <c r="H2433" s="71" t="s">
        <v>738</v>
      </c>
      <c r="I2433" s="37" t="str">
        <f>"https://www.dimensional.com.br/terminal-compressao-2-comp-cu-1f-13-8mm-400-00mm2-tm-400-l---intelli/p"</f>
        <v>https://www.dimensional.com.br/terminal-compressao-2-comp-cu-1f-13-8mm-400-00mm2-tm-400-l---intelli/p</v>
      </c>
    </row>
    <row r="2434" spans="1:9" x14ac:dyDescent="0.25">
      <c r="A2434" s="29" t="s">
        <v>131</v>
      </c>
      <c r="B2434" s="29" t="s">
        <v>67</v>
      </c>
      <c r="C2434" s="29" t="s">
        <v>34</v>
      </c>
      <c r="D2434" s="37" t="s">
        <v>2908</v>
      </c>
      <c r="E2434" s="29" t="s">
        <v>439</v>
      </c>
      <c r="F2434" s="29" t="s">
        <v>36</v>
      </c>
      <c r="I2434" s="37" t="s">
        <v>37</v>
      </c>
    </row>
    <row r="2435" spans="1:9" x14ac:dyDescent="0.25">
      <c r="A2435" s="29" t="s">
        <v>131</v>
      </c>
      <c r="B2435" s="29" t="s">
        <v>67</v>
      </c>
      <c r="C2435" s="29" t="s">
        <v>34</v>
      </c>
      <c r="D2435" s="37" t="s">
        <v>2909</v>
      </c>
      <c r="E2435" s="29" t="s">
        <v>426</v>
      </c>
      <c r="F2435" s="29" t="s">
        <v>36</v>
      </c>
      <c r="I2435" s="37" t="s">
        <v>37</v>
      </c>
    </row>
    <row r="2436" spans="1:9" x14ac:dyDescent="0.25">
      <c r="A2436" s="29" t="s">
        <v>131</v>
      </c>
      <c r="B2436" s="29" t="s">
        <v>67</v>
      </c>
      <c r="C2436" s="29" t="s">
        <v>34</v>
      </c>
      <c r="D2436" s="37" t="s">
        <v>2910</v>
      </c>
      <c r="E2436" s="29" t="s">
        <v>440</v>
      </c>
      <c r="F2436" s="29" t="s">
        <v>36</v>
      </c>
      <c r="I2436" s="37" t="s">
        <v>37</v>
      </c>
    </row>
    <row r="2437" spans="1:9" x14ac:dyDescent="0.25">
      <c r="A2437" s="29" t="s">
        <v>131</v>
      </c>
      <c r="B2437" s="29" t="s">
        <v>67</v>
      </c>
      <c r="C2437" s="29" t="s">
        <v>34</v>
      </c>
      <c r="D2437" s="37" t="s">
        <v>2911</v>
      </c>
      <c r="E2437" s="29" t="s">
        <v>427</v>
      </c>
      <c r="F2437" s="29" t="s">
        <v>36</v>
      </c>
      <c r="G2437" s="29">
        <v>8.27</v>
      </c>
      <c r="H2437" s="71" t="s">
        <v>738</v>
      </c>
      <c r="I2437" s="37" t="str">
        <f>"https://www.dimensional.com.br/terminal-compressao-2-compressoes-cobre-1-furo-13-80-mm-70-00-mm2-tm70l-intelli/p"</f>
        <v>https://www.dimensional.com.br/terminal-compressao-2-compressoes-cobre-1-furo-13-80-mm-70-00-mm2-tm70l-intelli/p</v>
      </c>
    </row>
    <row r="2438" spans="1:9" x14ac:dyDescent="0.25">
      <c r="A2438" s="29" t="s">
        <v>131</v>
      </c>
      <c r="B2438" s="29" t="s">
        <v>67</v>
      </c>
      <c r="C2438" s="29" t="s">
        <v>34</v>
      </c>
      <c r="D2438" s="37" t="s">
        <v>2912</v>
      </c>
      <c r="E2438" s="29" t="s">
        <v>431</v>
      </c>
      <c r="F2438" s="29" t="s">
        <v>36</v>
      </c>
      <c r="G2438" s="29">
        <v>8.9</v>
      </c>
      <c r="H2438" s="71" t="s">
        <v>738</v>
      </c>
      <c r="I2438" s="37" t="str">
        <f>"https://www.dimensional.com.br/terminal-compressao-95mm2-2-comp-1f-138mm-cu-tm95l13/p"</f>
        <v>https://www.dimensional.com.br/terminal-compressao-95mm2-2-comp-1f-138mm-cu-tm95l13/p</v>
      </c>
    </row>
    <row r="2439" spans="1:9" x14ac:dyDescent="0.25">
      <c r="A2439" s="29" t="s">
        <v>131</v>
      </c>
      <c r="B2439" s="29" t="s">
        <v>67</v>
      </c>
      <c r="C2439" s="29" t="s">
        <v>34</v>
      </c>
      <c r="D2439" s="37" t="s">
        <v>2913</v>
      </c>
      <c r="E2439" s="29" t="s">
        <v>416</v>
      </c>
      <c r="F2439" s="29" t="s">
        <v>36</v>
      </c>
      <c r="G2439" s="29">
        <v>1.1599999999999999</v>
      </c>
      <c r="H2439" s="71" t="s">
        <v>734</v>
      </c>
      <c r="I2439" s="37" t="str">
        <f>"https://www.dimensional.com.br/terminal-compressao-10-00-mm2-2-compressoes-1-furo-6-00-mm-cobre-tm10l-intelli/p"</f>
        <v>https://www.dimensional.com.br/terminal-compressao-10-00-mm2-2-compressoes-1-furo-6-00-mm-cobre-tm10l-intelli/p</v>
      </c>
    </row>
    <row r="2440" spans="1:9" x14ac:dyDescent="0.25">
      <c r="A2440" s="29" t="s">
        <v>131</v>
      </c>
      <c r="B2440" s="29" t="s">
        <v>67</v>
      </c>
      <c r="C2440" s="29" t="s">
        <v>34</v>
      </c>
      <c r="D2440" s="37" t="s">
        <v>2914</v>
      </c>
      <c r="E2440" s="29" t="s">
        <v>417</v>
      </c>
      <c r="F2440" s="29" t="s">
        <v>36</v>
      </c>
      <c r="I2440" s="37" t="s">
        <v>37</v>
      </c>
    </row>
    <row r="2441" spans="1:9" x14ac:dyDescent="0.25">
      <c r="A2441" s="29" t="s">
        <v>131</v>
      </c>
      <c r="B2441" s="29" t="s">
        <v>67</v>
      </c>
      <c r="C2441" s="29" t="s">
        <v>34</v>
      </c>
      <c r="D2441" s="37" t="s">
        <v>2915</v>
      </c>
      <c r="E2441" s="29" t="s">
        <v>418</v>
      </c>
      <c r="F2441" s="29" t="s">
        <v>36</v>
      </c>
      <c r="G2441" s="29">
        <v>1.7</v>
      </c>
      <c r="H2441" s="71" t="s">
        <v>734</v>
      </c>
      <c r="I2441" s="37" t="str">
        <f>"https://www.dimensional.com.br/terminal-compressao-16-00-mm2-2-compressoes-1-furo-6-50-mm-cobre-tm16l-intelli/p"</f>
        <v>https://www.dimensional.com.br/terminal-compressao-16-00-mm2-2-compressoes-1-furo-6-50-mm-cobre-tm16l-intelli/p</v>
      </c>
    </row>
    <row r="2442" spans="1:9" x14ac:dyDescent="0.25">
      <c r="A2442" s="29" t="s">
        <v>131</v>
      </c>
      <c r="B2442" s="29" t="s">
        <v>67</v>
      </c>
      <c r="C2442" s="29" t="s">
        <v>34</v>
      </c>
      <c r="D2442" s="37" t="s">
        <v>2916</v>
      </c>
      <c r="E2442" s="29" t="s">
        <v>420</v>
      </c>
      <c r="F2442" s="29" t="s">
        <v>36</v>
      </c>
      <c r="G2442" s="29">
        <v>2.5099999999999998</v>
      </c>
      <c r="H2442" s="71" t="s">
        <v>734</v>
      </c>
      <c r="I2442" s="37" t="str">
        <f>"https://www.dimensional.com.br/terminal-compressao-25mm2-2-comp-1f-65mm-cu-tm25l6/p"</f>
        <v>https://www.dimensional.com.br/terminal-compressao-25mm2-2-comp-1f-65mm-cu-tm25l6/p</v>
      </c>
    </row>
    <row r="2443" spans="1:9" x14ac:dyDescent="0.25">
      <c r="A2443" s="29" t="s">
        <v>131</v>
      </c>
      <c r="B2443" s="29" t="s">
        <v>67</v>
      </c>
      <c r="C2443" s="29" t="s">
        <v>34</v>
      </c>
      <c r="D2443" s="37" t="s">
        <v>2917</v>
      </c>
      <c r="E2443" s="29" t="s">
        <v>419</v>
      </c>
      <c r="F2443" s="29" t="s">
        <v>36</v>
      </c>
      <c r="I2443" s="37" t="s">
        <v>37</v>
      </c>
    </row>
    <row r="2444" spans="1:9" x14ac:dyDescent="0.25">
      <c r="A2444" s="29" t="s">
        <v>131</v>
      </c>
      <c r="B2444" s="29" t="s">
        <v>67</v>
      </c>
      <c r="C2444" s="29" t="s">
        <v>34</v>
      </c>
      <c r="D2444" s="37" t="s">
        <v>2918</v>
      </c>
      <c r="E2444" s="29" t="s">
        <v>422</v>
      </c>
      <c r="F2444" s="29" t="s">
        <v>36</v>
      </c>
      <c r="G2444" s="29">
        <v>3.68</v>
      </c>
      <c r="H2444" s="71" t="s">
        <v>734</v>
      </c>
      <c r="I2444" s="37" t="str">
        <f>"https://www.dimensional.com.br/terminal-compressao-35mm2-2-comp-1f-cu-tm35l-intelli/p"</f>
        <v>https://www.dimensional.com.br/terminal-compressao-35mm2-2-comp-1f-cu-tm35l-intelli/p</v>
      </c>
    </row>
    <row r="2445" spans="1:9" x14ac:dyDescent="0.25">
      <c r="A2445" s="29" t="s">
        <v>131</v>
      </c>
      <c r="B2445" s="29" t="s">
        <v>67</v>
      </c>
      <c r="C2445" s="29" t="s">
        <v>34</v>
      </c>
      <c r="D2445" s="37" t="s">
        <v>2919</v>
      </c>
      <c r="E2445" s="29" t="s">
        <v>424</v>
      </c>
      <c r="F2445" s="29" t="s">
        <v>36</v>
      </c>
      <c r="G2445" s="29">
        <v>6.99</v>
      </c>
      <c r="H2445" s="71" t="s">
        <v>734</v>
      </c>
      <c r="I2445" s="37" t="str">
        <f>"https://www.dimensional.com.br/terminal-compressao-50-00-mm2-2-compressoes-1-furo-cobre-tm50l-intelli/p"</f>
        <v>https://www.dimensional.com.br/terminal-compressao-50-00-mm2-2-compressoes-1-furo-cobre-tm50l-intelli/p</v>
      </c>
    </row>
    <row r="2446" spans="1:9" x14ac:dyDescent="0.25">
      <c r="A2446" s="29" t="s">
        <v>131</v>
      </c>
      <c r="B2446" s="29" t="s">
        <v>67</v>
      </c>
      <c r="C2446" s="29" t="s">
        <v>34</v>
      </c>
      <c r="D2446" s="37" t="s">
        <v>2920</v>
      </c>
      <c r="E2446" s="29" t="s">
        <v>429</v>
      </c>
      <c r="F2446" s="29" t="s">
        <v>36</v>
      </c>
      <c r="I2446" s="37" t="s">
        <v>37</v>
      </c>
    </row>
    <row r="2447" spans="1:9" x14ac:dyDescent="0.25">
      <c r="A2447" s="29" t="s">
        <v>131</v>
      </c>
      <c r="B2447" s="29" t="s">
        <v>67</v>
      </c>
      <c r="C2447" s="29" t="s">
        <v>34</v>
      </c>
      <c r="D2447" s="37" t="s">
        <v>2921</v>
      </c>
      <c r="E2447" s="29" t="s">
        <v>395</v>
      </c>
      <c r="F2447" s="29" t="s">
        <v>36</v>
      </c>
      <c r="G2447" s="29">
        <v>22.49</v>
      </c>
      <c r="H2447" s="71" t="s">
        <v>738</v>
      </c>
      <c r="I2447" s="37" t="str">
        <f>"https://www.dimensional.com.br/terminal-compressao-tubular-longo-120mm2-2comp-2furos-14mm-cobre-estan-500a-chata-c-furo-180g-reto-tm1202l-intelli/p"</f>
        <v>https://www.dimensional.com.br/terminal-compressao-tubular-longo-120mm2-2comp-2furos-14mm-cobre-estan-500a-chata-c-furo-180g-reto-tm1202l-intelli/p</v>
      </c>
    </row>
    <row r="2448" spans="1:9" x14ac:dyDescent="0.25">
      <c r="A2448" s="29" t="s">
        <v>131</v>
      </c>
      <c r="B2448" s="29" t="s">
        <v>67</v>
      </c>
      <c r="C2448" s="29" t="s">
        <v>34</v>
      </c>
      <c r="D2448" s="37" t="s">
        <v>2922</v>
      </c>
      <c r="E2448" s="29" t="s">
        <v>396</v>
      </c>
      <c r="F2448" s="29" t="s">
        <v>36</v>
      </c>
      <c r="I2448" s="37" t="s">
        <v>37</v>
      </c>
    </row>
    <row r="2449" spans="1:9" x14ac:dyDescent="0.25">
      <c r="A2449" s="29" t="s">
        <v>131</v>
      </c>
      <c r="B2449" s="29" t="s">
        <v>67</v>
      </c>
      <c r="C2449" s="29" t="s">
        <v>34</v>
      </c>
      <c r="D2449" s="37" t="s">
        <v>2923</v>
      </c>
      <c r="E2449" s="29" t="s">
        <v>397</v>
      </c>
      <c r="F2449" s="29" t="s">
        <v>36</v>
      </c>
      <c r="G2449" s="29">
        <v>32.39</v>
      </c>
      <c r="H2449" s="71" t="s">
        <v>738</v>
      </c>
      <c r="I2449" s="37" t="str">
        <f>"https://www.dimensional.com.br/terminal-compressao-tubular-longo-185mm2-2comp-2furos-14mm-cobre-estan-661a-chata-c-furo-180g-reto-tm1852l-intelli/p"</f>
        <v>https://www.dimensional.com.br/terminal-compressao-tubular-longo-185mm2-2comp-2furos-14mm-cobre-estan-661a-chata-c-furo-180g-reto-tm1852l-intelli/p</v>
      </c>
    </row>
    <row r="2450" spans="1:9" x14ac:dyDescent="0.25">
      <c r="A2450" s="29" t="s">
        <v>131</v>
      </c>
      <c r="B2450" s="29" t="s">
        <v>67</v>
      </c>
      <c r="C2450" s="29" t="s">
        <v>34</v>
      </c>
      <c r="D2450" s="37" t="s">
        <v>2924</v>
      </c>
      <c r="E2450" s="29" t="s">
        <v>398</v>
      </c>
      <c r="F2450" s="29" t="s">
        <v>36</v>
      </c>
      <c r="G2450" s="29">
        <v>62</v>
      </c>
      <c r="H2450" s="71" t="s">
        <v>738</v>
      </c>
      <c r="I2450" s="37" t="str">
        <f>"https://www.dimensional.com.br/terminal-compressao-240mm2-2-comp-2f-13-8mm-cu-tm2402l13-intelli/p"</f>
        <v>https://www.dimensional.com.br/terminal-compressao-240mm2-2-comp-2f-13-8mm-cu-tm2402l13-intelli/p</v>
      </c>
    </row>
    <row r="2451" spans="1:9" x14ac:dyDescent="0.25">
      <c r="A2451" s="29" t="s">
        <v>131</v>
      </c>
      <c r="B2451" s="29" t="s">
        <v>67</v>
      </c>
      <c r="C2451" s="29" t="s">
        <v>34</v>
      </c>
      <c r="D2451" s="37" t="s">
        <v>2925</v>
      </c>
      <c r="E2451" s="29" t="s">
        <v>399</v>
      </c>
      <c r="F2451" s="29" t="s">
        <v>36</v>
      </c>
      <c r="G2451" s="29">
        <v>64.790000000000006</v>
      </c>
      <c r="H2451" s="71" t="s">
        <v>738</v>
      </c>
      <c r="I2451" s="37" t="str">
        <f>"https://www.dimensional.com.br/terminal-compressao-tubular-longo-300mm2-2comp-2furos-14mm-cobre-estan-902a-chata-c-furo-180g-reto-tm3002l-intelli/p"</f>
        <v>https://www.dimensional.com.br/terminal-compressao-tubular-longo-300mm2-2comp-2furos-14mm-cobre-estan-902a-chata-c-furo-180g-reto-tm3002l-intelli/p</v>
      </c>
    </row>
    <row r="2452" spans="1:9" x14ac:dyDescent="0.25">
      <c r="A2452" s="29" t="s">
        <v>131</v>
      </c>
      <c r="B2452" s="29" t="s">
        <v>67</v>
      </c>
      <c r="C2452" s="29" t="s">
        <v>34</v>
      </c>
      <c r="D2452" s="37" t="s">
        <v>2926</v>
      </c>
      <c r="E2452" s="29" t="s">
        <v>400</v>
      </c>
      <c r="F2452" s="29" t="s">
        <v>36</v>
      </c>
      <c r="G2452" s="29">
        <v>101.69</v>
      </c>
      <c r="H2452" s="71" t="s">
        <v>738</v>
      </c>
      <c r="I2452" s="37" t="str">
        <f>"https://www.dimensional.com.br/terminal-compressao-400mm2-2-comp-2f-cu-tm4002l/p"</f>
        <v>https://www.dimensional.com.br/terminal-compressao-400mm2-2-comp-2f-cu-tm4002l/p</v>
      </c>
    </row>
    <row r="2453" spans="1:9" x14ac:dyDescent="0.25">
      <c r="A2453" s="29" t="s">
        <v>131</v>
      </c>
      <c r="B2453" s="29" t="s">
        <v>67</v>
      </c>
      <c r="C2453" s="29" t="s">
        <v>34</v>
      </c>
      <c r="D2453" s="37" t="s">
        <v>2927</v>
      </c>
      <c r="E2453" s="29" t="s">
        <v>401</v>
      </c>
      <c r="F2453" s="29" t="s">
        <v>36</v>
      </c>
      <c r="G2453" s="29">
        <v>98.99</v>
      </c>
      <c r="H2453" s="71" t="s">
        <v>738</v>
      </c>
      <c r="I2453" s="37" t="str">
        <f>"https://www.dimensional.com.br/tm-500-2l-terminal-compr-2furos-2compr-500mm-intelli/p"</f>
        <v>https://www.dimensional.com.br/tm-500-2l-terminal-compr-2furos-2compr-500mm-intelli/p</v>
      </c>
    </row>
    <row r="2454" spans="1:9" x14ac:dyDescent="0.25">
      <c r="A2454" s="29" t="s">
        <v>131</v>
      </c>
      <c r="B2454" s="29" t="s">
        <v>67</v>
      </c>
      <c r="C2454" s="29" t="s">
        <v>34</v>
      </c>
      <c r="D2454" s="37" t="s">
        <v>2928</v>
      </c>
      <c r="E2454" s="29" t="s">
        <v>402</v>
      </c>
      <c r="F2454" s="29" t="s">
        <v>36</v>
      </c>
      <c r="I2454" s="37" t="s">
        <v>37</v>
      </c>
    </row>
    <row r="2455" spans="1:9" x14ac:dyDescent="0.25">
      <c r="A2455" s="29" t="s">
        <v>131</v>
      </c>
      <c r="B2455" s="29" t="s">
        <v>67</v>
      </c>
      <c r="C2455" s="29" t="s">
        <v>34</v>
      </c>
      <c r="D2455" s="37" t="s">
        <v>2929</v>
      </c>
      <c r="E2455" s="29" t="s">
        <v>393</v>
      </c>
      <c r="F2455" s="29" t="s">
        <v>36</v>
      </c>
      <c r="G2455" s="29">
        <v>13.49</v>
      </c>
      <c r="H2455" s="71" t="s">
        <v>738</v>
      </c>
      <c r="I2455" s="37" t="str">
        <f>"https://www.dimensional.com.br/terminal-compressao-tubular-longo-70mm2-2comp-2furos-14mm-cobre-estan-353a-chata-c-furo-180g-reto-tm702l-intelli/p"</f>
        <v>https://www.dimensional.com.br/terminal-compressao-tubular-longo-70mm2-2comp-2furos-14mm-cobre-estan-353a-chata-c-furo-180g-reto-tm702l-intelli/p</v>
      </c>
    </row>
    <row r="2456" spans="1:9" x14ac:dyDescent="0.25">
      <c r="A2456" s="29" t="s">
        <v>131</v>
      </c>
      <c r="B2456" s="29" t="s">
        <v>67</v>
      </c>
      <c r="C2456" s="29" t="s">
        <v>34</v>
      </c>
      <c r="D2456" s="37" t="s">
        <v>2930</v>
      </c>
      <c r="E2456" s="29" t="s">
        <v>394</v>
      </c>
      <c r="F2456" s="29" t="s">
        <v>36</v>
      </c>
      <c r="I2456" s="37" t="s">
        <v>37</v>
      </c>
    </row>
    <row r="2457" spans="1:9" x14ac:dyDescent="0.25">
      <c r="A2457" s="29" t="s">
        <v>131</v>
      </c>
      <c r="B2457" s="29" t="s">
        <v>67</v>
      </c>
      <c r="C2457" s="29" t="s">
        <v>34</v>
      </c>
      <c r="D2457" s="37" t="s">
        <v>2931</v>
      </c>
      <c r="E2457" s="29" t="s">
        <v>388</v>
      </c>
      <c r="F2457" s="29" t="s">
        <v>36</v>
      </c>
      <c r="I2457" s="37" t="s">
        <v>37</v>
      </c>
    </row>
    <row r="2458" spans="1:9" x14ac:dyDescent="0.25">
      <c r="A2458" s="29" t="s">
        <v>131</v>
      </c>
      <c r="B2458" s="29" t="s">
        <v>67</v>
      </c>
      <c r="C2458" s="29" t="s">
        <v>34</v>
      </c>
      <c r="D2458" s="37" t="s">
        <v>2932</v>
      </c>
      <c r="E2458" s="29" t="s">
        <v>389</v>
      </c>
      <c r="F2458" s="29" t="s">
        <v>36</v>
      </c>
      <c r="I2458" s="37" t="s">
        <v>37</v>
      </c>
    </row>
    <row r="2459" spans="1:9" x14ac:dyDescent="0.25">
      <c r="A2459" s="29" t="s">
        <v>131</v>
      </c>
      <c r="B2459" s="29" t="s">
        <v>67</v>
      </c>
      <c r="C2459" s="29" t="s">
        <v>34</v>
      </c>
      <c r="D2459" s="37" t="s">
        <v>2933</v>
      </c>
      <c r="E2459" s="29" t="s">
        <v>390</v>
      </c>
      <c r="F2459" s="29" t="s">
        <v>36</v>
      </c>
      <c r="I2459" s="37" t="s">
        <v>37</v>
      </c>
    </row>
    <row r="2460" spans="1:9" x14ac:dyDescent="0.25">
      <c r="A2460" s="29" t="s">
        <v>131</v>
      </c>
      <c r="B2460" s="29" t="s">
        <v>67</v>
      </c>
      <c r="C2460" s="29" t="s">
        <v>34</v>
      </c>
      <c r="D2460" s="37" t="s">
        <v>2934</v>
      </c>
      <c r="E2460" s="29" t="s">
        <v>391</v>
      </c>
      <c r="F2460" s="29" t="s">
        <v>36</v>
      </c>
      <c r="I2460" s="37" t="s">
        <v>37</v>
      </c>
    </row>
    <row r="2461" spans="1:9" x14ac:dyDescent="0.25">
      <c r="A2461" s="29" t="s">
        <v>131</v>
      </c>
      <c r="B2461" s="29" t="s">
        <v>67</v>
      </c>
      <c r="C2461" s="29" t="s">
        <v>34</v>
      </c>
      <c r="D2461" s="37" t="s">
        <v>2935</v>
      </c>
      <c r="E2461" s="29" t="s">
        <v>392</v>
      </c>
      <c r="F2461" s="29" t="s">
        <v>36</v>
      </c>
      <c r="I2461" s="37" t="s">
        <v>37</v>
      </c>
    </row>
    <row r="2462" spans="1:9" x14ac:dyDescent="0.25">
      <c r="A2462" s="29" t="s">
        <v>131</v>
      </c>
      <c r="B2462" s="29" t="s">
        <v>67</v>
      </c>
      <c r="C2462" s="29" t="s">
        <v>34</v>
      </c>
      <c r="D2462" s="37" t="s">
        <v>1663</v>
      </c>
      <c r="E2462" s="29" t="s">
        <v>441</v>
      </c>
      <c r="F2462" s="29" t="s">
        <v>36</v>
      </c>
      <c r="I2462" s="37" t="s">
        <v>37</v>
      </c>
    </row>
    <row r="2463" spans="1:9" x14ac:dyDescent="0.25">
      <c r="A2463" s="29" t="s">
        <v>131</v>
      </c>
      <c r="B2463" s="29" t="s">
        <v>67</v>
      </c>
      <c r="C2463" s="29" t="s">
        <v>34</v>
      </c>
      <c r="D2463" s="37" t="s">
        <v>1664</v>
      </c>
      <c r="E2463" s="29" t="s">
        <v>442</v>
      </c>
      <c r="F2463" s="29" t="s">
        <v>36</v>
      </c>
      <c r="I2463" s="37" t="s">
        <v>37</v>
      </c>
    </row>
    <row r="2464" spans="1:9" x14ac:dyDescent="0.25">
      <c r="A2464" s="29" t="s">
        <v>131</v>
      </c>
      <c r="B2464" s="29" t="s">
        <v>67</v>
      </c>
      <c r="C2464" s="29" t="s">
        <v>34</v>
      </c>
      <c r="D2464" s="37" t="s">
        <v>1665</v>
      </c>
      <c r="E2464" s="29" t="s">
        <v>443</v>
      </c>
      <c r="F2464" s="29" t="s">
        <v>36</v>
      </c>
      <c r="I2464" s="37" t="s">
        <v>37</v>
      </c>
    </row>
    <row r="2465" spans="1:9" x14ac:dyDescent="0.25">
      <c r="A2465" s="29" t="s">
        <v>131</v>
      </c>
      <c r="B2465" s="29" t="s">
        <v>67</v>
      </c>
      <c r="C2465" s="29" t="s">
        <v>34</v>
      </c>
      <c r="D2465" s="37" t="s">
        <v>1666</v>
      </c>
      <c r="E2465" s="29" t="s">
        <v>444</v>
      </c>
      <c r="F2465" s="29" t="s">
        <v>36</v>
      </c>
      <c r="I2465" s="37" t="s">
        <v>37</v>
      </c>
    </row>
    <row r="2466" spans="1:9" x14ac:dyDescent="0.25">
      <c r="A2466" s="29" t="s">
        <v>131</v>
      </c>
      <c r="B2466" s="29" t="s">
        <v>67</v>
      </c>
      <c r="C2466" s="29" t="s">
        <v>34</v>
      </c>
      <c r="D2466" s="37" t="s">
        <v>1667</v>
      </c>
      <c r="E2466" s="29" t="s">
        <v>445</v>
      </c>
      <c r="F2466" s="29" t="s">
        <v>36</v>
      </c>
      <c r="I2466" s="37" t="s">
        <v>37</v>
      </c>
    </row>
    <row r="2467" spans="1:9" x14ac:dyDescent="0.25">
      <c r="A2467" s="29" t="s">
        <v>131</v>
      </c>
      <c r="B2467" s="29" t="s">
        <v>67</v>
      </c>
      <c r="C2467" s="29" t="s">
        <v>34</v>
      </c>
      <c r="D2467" s="37" t="s">
        <v>1668</v>
      </c>
      <c r="E2467" s="29" t="s">
        <v>446</v>
      </c>
      <c r="F2467" s="29" t="s">
        <v>36</v>
      </c>
      <c r="I2467" s="37" t="s">
        <v>37</v>
      </c>
    </row>
    <row r="2468" spans="1:9" x14ac:dyDescent="0.25">
      <c r="A2468" s="29" t="s">
        <v>131</v>
      </c>
      <c r="B2468" s="29" t="s">
        <v>67</v>
      </c>
      <c r="C2468" s="29" t="s">
        <v>34</v>
      </c>
      <c r="D2468" s="37" t="s">
        <v>2709</v>
      </c>
      <c r="E2468" s="29" t="s">
        <v>760</v>
      </c>
      <c r="F2468" s="29" t="s">
        <v>36</v>
      </c>
      <c r="G2468" s="29">
        <v>6.02</v>
      </c>
      <c r="H2468" s="71" t="s">
        <v>738</v>
      </c>
      <c r="I2468" s="37" t="str">
        <f>"https://www.dimensional.com.br/terminal-compressao-50mm2-1-comp-1f-al-tal44-intelli/p"</f>
        <v>https://www.dimensional.com.br/terminal-compressao-50mm2-1-comp-1f-al-tal44-intelli/p</v>
      </c>
    </row>
    <row r="2469" spans="1:9" x14ac:dyDescent="0.25">
      <c r="A2469" s="29" t="s">
        <v>131</v>
      </c>
      <c r="B2469" s="29" t="s">
        <v>67</v>
      </c>
      <c r="C2469" s="29" t="s">
        <v>34</v>
      </c>
      <c r="D2469" s="37" t="s">
        <v>2710</v>
      </c>
      <c r="E2469" s="29" t="s">
        <v>761</v>
      </c>
      <c r="F2469" s="29" t="s">
        <v>36</v>
      </c>
      <c r="I2469" s="37" t="s">
        <v>37</v>
      </c>
    </row>
    <row r="2470" spans="1:9" x14ac:dyDescent="0.25">
      <c r="A2470" s="29" t="s">
        <v>131</v>
      </c>
      <c r="B2470" s="29" t="s">
        <v>67</v>
      </c>
      <c r="C2470" s="29" t="s">
        <v>34</v>
      </c>
      <c r="D2470" s="37" t="s">
        <v>2711</v>
      </c>
      <c r="E2470" s="29" t="s">
        <v>762</v>
      </c>
      <c r="F2470" s="29" t="s">
        <v>36</v>
      </c>
      <c r="G2470" s="29">
        <v>27.13</v>
      </c>
      <c r="H2470" s="71" t="s">
        <v>203</v>
      </c>
      <c r="I2470" s="37" t="str">
        <f>"https://www.eletrotrafo.com.br/terminal-de-compressao-aluminio-2awg--1furo--812804-9-tal-38-intelli-02140119/p?skuId=11204"</f>
        <v>https://www.eletrotrafo.com.br/terminal-de-compressao-aluminio-2awg--1furo--812804-9-tal-38-intelli-02140119/p?skuId=11204</v>
      </c>
    </row>
    <row r="2471" spans="1:9" x14ac:dyDescent="0.25">
      <c r="A2471" s="29" t="s">
        <v>131</v>
      </c>
      <c r="B2471" s="29" t="s">
        <v>67</v>
      </c>
      <c r="C2471" s="29" t="s">
        <v>34</v>
      </c>
      <c r="D2471" s="37" t="s">
        <v>2712</v>
      </c>
      <c r="E2471" s="29" t="s">
        <v>763</v>
      </c>
      <c r="F2471" s="29" t="s">
        <v>36</v>
      </c>
      <c r="G2471" s="29">
        <v>34.119999999999997</v>
      </c>
      <c r="H2471" s="71" t="s">
        <v>203</v>
      </c>
      <c r="I2471" s="37" t="str">
        <f>"https://www.eletrotrafo.com.br/terminal-de-compressao-aluminio-4-0awg--1furo--c-p-812808-1-tal-60-02140123/p?skuId=11215"</f>
        <v>https://www.eletrotrafo.com.br/terminal-de-compressao-aluminio-4-0awg--1furo--c-p-812808-1-tal-60-02140123/p?skuId=11215</v>
      </c>
    </row>
    <row r="2472" spans="1:9" x14ac:dyDescent="0.25">
      <c r="A2472" s="29" t="s">
        <v>131</v>
      </c>
      <c r="B2472" s="29" t="s">
        <v>67</v>
      </c>
      <c r="C2472" s="29" t="s">
        <v>34</v>
      </c>
      <c r="D2472" s="37" t="s">
        <v>2713</v>
      </c>
      <c r="E2472" s="29" t="s">
        <v>739</v>
      </c>
      <c r="F2472" s="29" t="s">
        <v>36</v>
      </c>
      <c r="G2472" s="29">
        <v>20.6</v>
      </c>
      <c r="H2472" s="71" t="s">
        <v>203</v>
      </c>
      <c r="I2472" s="37" t="str">
        <f>"https://www.eletrotrafo.com.br/terminal-de-compressao-aluminio-4awg--1furo--tt4-812803-0-tal-32-intelli-02140118/p?skuId=13345"</f>
        <v>https://www.eletrotrafo.com.br/terminal-de-compressao-aluminio-4awg--1furo--tt4-812803-0-tal-32-intelli-02140118/p?skuId=13345</v>
      </c>
    </row>
    <row r="2473" spans="1:9" x14ac:dyDescent="0.25">
      <c r="A2473" s="29" t="s">
        <v>131</v>
      </c>
      <c r="B2473" s="29" t="s">
        <v>67</v>
      </c>
      <c r="C2473" s="29" t="s">
        <v>34</v>
      </c>
      <c r="D2473" s="37" t="s">
        <v>2714</v>
      </c>
      <c r="E2473" s="29" t="s">
        <v>764</v>
      </c>
      <c r="F2473" s="29" t="s">
        <v>36</v>
      </c>
      <c r="G2473" s="29">
        <v>4.59</v>
      </c>
      <c r="H2473" s="71" t="s">
        <v>738</v>
      </c>
      <c r="I2473" s="37" t="str">
        <f>"https://www.dimensional.com.br/terminal-compressao-16mm2-2-comp-1f-m8-al-tal16-intelli/p"</f>
        <v>https://www.dimensional.com.br/terminal-compressao-16mm2-2-comp-1f-m8-al-tal16-intelli/p</v>
      </c>
    </row>
    <row r="2474" spans="1:9" x14ac:dyDescent="0.25">
      <c r="A2474" s="29" t="s">
        <v>131</v>
      </c>
      <c r="B2474" s="29" t="s">
        <v>67</v>
      </c>
      <c r="C2474" s="29" t="s">
        <v>34</v>
      </c>
      <c r="D2474" s="37" t="s">
        <v>2715</v>
      </c>
      <c r="E2474" s="29" t="s">
        <v>765</v>
      </c>
      <c r="F2474" s="29" t="s">
        <v>36</v>
      </c>
      <c r="I2474" s="37" t="s">
        <v>37</v>
      </c>
    </row>
    <row r="2475" spans="1:9" x14ac:dyDescent="0.25">
      <c r="A2475" s="29" t="s">
        <v>131</v>
      </c>
      <c r="B2475" s="29" t="s">
        <v>67</v>
      </c>
      <c r="C2475" s="29" t="s">
        <v>34</v>
      </c>
      <c r="D2475" s="37" t="s">
        <v>2716</v>
      </c>
      <c r="E2475" s="29" t="s">
        <v>766</v>
      </c>
      <c r="F2475" s="29" t="s">
        <v>36</v>
      </c>
      <c r="G2475" s="29">
        <v>53.9</v>
      </c>
      <c r="H2475" s="71" t="s">
        <v>203</v>
      </c>
      <c r="I2475" s="37" t="str">
        <f>"https://www.eletrotrafo.com.br/terminal-de-compressao-aluminio-2-0awg-2f-tal-49-2-812813-8-intelli-04040016/p?skuId=13348"</f>
        <v>https://www.eletrotrafo.com.br/terminal-de-compressao-aluminio-2-0awg-2f-tal-49-2-812813-8-intelli-04040016/p?skuId=13348</v>
      </c>
    </row>
    <row r="2476" spans="1:9" x14ac:dyDescent="0.25">
      <c r="A2476" s="29" t="s">
        <v>131</v>
      </c>
      <c r="B2476" s="29" t="s">
        <v>67</v>
      </c>
      <c r="C2476" s="29" t="s">
        <v>34</v>
      </c>
      <c r="D2476" s="37" t="s">
        <v>2717</v>
      </c>
      <c r="E2476" s="29" t="s">
        <v>767</v>
      </c>
      <c r="F2476" s="29" t="s">
        <v>36</v>
      </c>
      <c r="I2476" s="37" t="s">
        <v>37</v>
      </c>
    </row>
    <row r="2477" spans="1:9" x14ac:dyDescent="0.25">
      <c r="A2477" s="29" t="s">
        <v>131</v>
      </c>
      <c r="B2477" s="29" t="s">
        <v>67</v>
      </c>
      <c r="C2477" s="29" t="s">
        <v>34</v>
      </c>
      <c r="D2477" s="37" t="s">
        <v>2718</v>
      </c>
      <c r="E2477" s="29" t="s">
        <v>768</v>
      </c>
      <c r="F2477" s="29" t="s">
        <v>36</v>
      </c>
      <c r="I2477" s="37" t="s">
        <v>37</v>
      </c>
    </row>
    <row r="2478" spans="1:9" x14ac:dyDescent="0.25">
      <c r="A2478" s="29" t="s">
        <v>131</v>
      </c>
      <c r="B2478" s="29" t="s">
        <v>67</v>
      </c>
      <c r="C2478" s="29" t="s">
        <v>34</v>
      </c>
      <c r="D2478" s="37" t="s">
        <v>2719</v>
      </c>
      <c r="E2478" s="29" t="s">
        <v>769</v>
      </c>
      <c r="F2478" s="29" t="s">
        <v>36</v>
      </c>
      <c r="I2478" s="37" t="s">
        <v>37</v>
      </c>
    </row>
    <row r="2479" spans="1:9" x14ac:dyDescent="0.25">
      <c r="A2479" s="29" t="s">
        <v>131</v>
      </c>
      <c r="B2479" s="29" t="s">
        <v>67</v>
      </c>
      <c r="C2479" s="29" t="s">
        <v>34</v>
      </c>
      <c r="D2479" s="37" t="s">
        <v>2720</v>
      </c>
      <c r="E2479" s="29" t="s">
        <v>770</v>
      </c>
      <c r="F2479" s="29" t="s">
        <v>36</v>
      </c>
      <c r="I2479" s="37" t="s">
        <v>37</v>
      </c>
    </row>
    <row r="2480" spans="1:9" x14ac:dyDescent="0.25">
      <c r="A2480" s="29" t="s">
        <v>131</v>
      </c>
      <c r="B2480" s="29" t="s">
        <v>67</v>
      </c>
      <c r="C2480" s="29" t="s">
        <v>34</v>
      </c>
      <c r="D2480" s="37" t="s">
        <v>2721</v>
      </c>
      <c r="E2480" s="29" t="s">
        <v>771</v>
      </c>
      <c r="F2480" s="29" t="s">
        <v>36</v>
      </c>
      <c r="G2480" s="29">
        <v>47.19</v>
      </c>
      <c r="H2480" s="71" t="s">
        <v>203</v>
      </c>
      <c r="I2480" s="37" t="str">
        <f>"https://www.eletrotrafo.com.br/terminal-de-compressao-aluminio-4-0awg-120mm-2f-tal-60-2-c-p-ntc812925-intelli-02140121/p?skuId=13346"</f>
        <v>https://www.eletrotrafo.com.br/terminal-de-compressao-aluminio-4-0awg-120mm-2f-tal-60-2-c-p-ntc812925-intelli-02140121/p?skuId=13346</v>
      </c>
    </row>
    <row r="2481" spans="1:9" x14ac:dyDescent="0.25">
      <c r="A2481" s="29" t="s">
        <v>131</v>
      </c>
      <c r="B2481" s="29" t="s">
        <v>67</v>
      </c>
      <c r="C2481" s="29" t="s">
        <v>34</v>
      </c>
      <c r="D2481" s="37" t="s">
        <v>2722</v>
      </c>
      <c r="E2481" s="29" t="s">
        <v>772</v>
      </c>
      <c r="F2481" s="29" t="s">
        <v>36</v>
      </c>
      <c r="I2481" s="37" t="s">
        <v>37</v>
      </c>
    </row>
    <row r="2482" spans="1:9" x14ac:dyDescent="0.25">
      <c r="A2482" s="29" t="s">
        <v>131</v>
      </c>
      <c r="B2482" s="29" t="s">
        <v>67</v>
      </c>
      <c r="C2482" s="29" t="s">
        <v>34</v>
      </c>
      <c r="D2482" s="37" t="s">
        <v>2723</v>
      </c>
      <c r="E2482" s="29" t="s">
        <v>773</v>
      </c>
      <c r="F2482" s="29" t="s">
        <v>36</v>
      </c>
      <c r="I2482" s="37" t="s">
        <v>37</v>
      </c>
    </row>
    <row r="2483" spans="1:9" x14ac:dyDescent="0.25">
      <c r="A2483" s="29" t="s">
        <v>131</v>
      </c>
      <c r="B2483" s="29" t="s">
        <v>67</v>
      </c>
      <c r="C2483" s="29" t="s">
        <v>34</v>
      </c>
      <c r="D2483" s="37" t="s">
        <v>2724</v>
      </c>
      <c r="E2483" s="29" t="s">
        <v>774</v>
      </c>
      <c r="F2483" s="29" t="s">
        <v>36</v>
      </c>
      <c r="G2483" s="29">
        <v>58.04</v>
      </c>
      <c r="H2483" s="71" t="s">
        <v>203</v>
      </c>
      <c r="I2483" s="37" t="str">
        <f>"https://www.eletrotrafo.com.br/terminal-de-compressao-aluminio-ca-3364-185mm-2f-c-p-ntc-812811-1-tal-72-2-02140124/p?skuId=13347"</f>
        <v>https://www.eletrotrafo.com.br/terminal-de-compressao-aluminio-ca-3364-185mm-2f-c-p-ntc-812811-1-tal-72-2-02140124/p?skuId=13347</v>
      </c>
    </row>
    <row r="2484" spans="1:9" x14ac:dyDescent="0.25">
      <c r="A2484" s="29" t="s">
        <v>131</v>
      </c>
      <c r="B2484" s="29" t="s">
        <v>67</v>
      </c>
      <c r="C2484" s="29" t="s">
        <v>34</v>
      </c>
      <c r="D2484" s="37" t="s">
        <v>2725</v>
      </c>
      <c r="E2484" s="29" t="s">
        <v>775</v>
      </c>
      <c r="F2484" s="29" t="s">
        <v>36</v>
      </c>
      <c r="G2484" s="29">
        <v>40.93</v>
      </c>
      <c r="H2484" s="71" t="s">
        <v>203</v>
      </c>
      <c r="I2484" s="37" t="str">
        <f>"https://www.eletrotrafo.com.br/terminal-de-compressao-aluminio-caa-3364-185-240mm-ca-400mcm-2f-tal-80-2-s-p-02010121/p?skuId=13349"</f>
        <v>https://www.eletrotrafo.com.br/terminal-de-compressao-aluminio-caa-3364-185-240mm-ca-400mcm-2f-tal-80-2-s-p-02010121/p?skuId=13349</v>
      </c>
    </row>
    <row r="2485" spans="1:9" x14ac:dyDescent="0.25">
      <c r="A2485" s="29" t="s">
        <v>131</v>
      </c>
      <c r="B2485" s="29" t="s">
        <v>67</v>
      </c>
      <c r="C2485" s="29" t="s">
        <v>34</v>
      </c>
      <c r="D2485" s="37" t="s">
        <v>2726</v>
      </c>
      <c r="E2485" s="29" t="s">
        <v>776</v>
      </c>
      <c r="F2485" s="29" t="s">
        <v>36</v>
      </c>
      <c r="I2485" s="37" t="s">
        <v>37</v>
      </c>
    </row>
    <row r="2486" spans="1:9" x14ac:dyDescent="0.25">
      <c r="A2486" s="29" t="s">
        <v>131</v>
      </c>
      <c r="B2486" s="29" t="s">
        <v>67</v>
      </c>
      <c r="C2486" s="29" t="s">
        <v>34</v>
      </c>
      <c r="D2486" s="37" t="s">
        <v>1669</v>
      </c>
      <c r="E2486" s="29" t="s">
        <v>334</v>
      </c>
      <c r="F2486" s="29" t="s">
        <v>36</v>
      </c>
      <c r="G2486" s="29">
        <v>8.64</v>
      </c>
      <c r="H2486" s="71" t="s">
        <v>203</v>
      </c>
      <c r="I2486" s="37" t="str">
        <f>"https://www.eletrotrafo.com.br/terminal-de-compressao-p-borne-cobre-pino-curto-p-cabo-10mm-copel-017230-8-02140139/p?skuId=9326"</f>
        <v>https://www.eletrotrafo.com.br/terminal-de-compressao-p-borne-cobre-pino-curto-p-cabo-10mm-copel-017230-8-02140139/p?skuId=9326</v>
      </c>
    </row>
    <row r="2487" spans="1:9" x14ac:dyDescent="0.25">
      <c r="A2487" s="29" t="s">
        <v>131</v>
      </c>
      <c r="B2487" s="29" t="s">
        <v>67</v>
      </c>
      <c r="C2487" s="29" t="s">
        <v>34</v>
      </c>
      <c r="D2487" s="37" t="s">
        <v>1670</v>
      </c>
      <c r="E2487" s="29" t="s">
        <v>37</v>
      </c>
      <c r="F2487" s="29" t="s">
        <v>36</v>
      </c>
      <c r="G2487" s="29">
        <v>8.91</v>
      </c>
      <c r="H2487" s="71" t="s">
        <v>203</v>
      </c>
      <c r="I2487" s="37" t="str">
        <f>"https://www.eletrotrafo.com.br/terminal-de-compressao-p-borne-cobre-pino-longo-p-cabo-10mm-02140132/p?skuId=13443"</f>
        <v>https://www.eletrotrafo.com.br/terminal-de-compressao-p-borne-cobre-pino-longo-p-cabo-10mm-02140132/p?skuId=13443</v>
      </c>
    </row>
    <row r="2488" spans="1:9" x14ac:dyDescent="0.25">
      <c r="A2488" s="29" t="s">
        <v>131</v>
      </c>
      <c r="B2488" s="29" t="s">
        <v>67</v>
      </c>
      <c r="C2488" s="29" t="s">
        <v>34</v>
      </c>
      <c r="D2488" s="37" t="s">
        <v>1671</v>
      </c>
      <c r="E2488" s="29" t="s">
        <v>348</v>
      </c>
      <c r="F2488" s="29" t="s">
        <v>36</v>
      </c>
      <c r="I2488" s="37" t="s">
        <v>37</v>
      </c>
    </row>
    <row r="2489" spans="1:9" x14ac:dyDescent="0.25">
      <c r="A2489" s="29" t="s">
        <v>131</v>
      </c>
      <c r="B2489" s="29" t="s">
        <v>67</v>
      </c>
      <c r="C2489" s="29" t="s">
        <v>34</v>
      </c>
      <c r="D2489" s="37" t="s">
        <v>1672</v>
      </c>
      <c r="E2489" s="29" t="s">
        <v>263</v>
      </c>
      <c r="F2489" s="29" t="s">
        <v>36</v>
      </c>
      <c r="G2489" s="29">
        <v>15.35</v>
      </c>
      <c r="H2489" s="71" t="s">
        <v>203</v>
      </c>
      <c r="I2489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490" spans="1:9" x14ac:dyDescent="0.25">
      <c r="A2490" s="29" t="s">
        <v>131</v>
      </c>
      <c r="B2490" s="29" t="s">
        <v>67</v>
      </c>
      <c r="C2490" s="29" t="s">
        <v>34</v>
      </c>
      <c r="D2490" s="37" t="s">
        <v>1673</v>
      </c>
      <c r="E2490" s="29" t="s">
        <v>288</v>
      </c>
      <c r="F2490" s="29" t="s">
        <v>36</v>
      </c>
      <c r="I2490" s="37" t="s">
        <v>37</v>
      </c>
    </row>
    <row r="2491" spans="1:9" x14ac:dyDescent="0.25">
      <c r="A2491" s="29" t="s">
        <v>131</v>
      </c>
      <c r="B2491" s="29" t="s">
        <v>67</v>
      </c>
      <c r="C2491" s="29" t="s">
        <v>34</v>
      </c>
      <c r="D2491" s="37" t="s">
        <v>1674</v>
      </c>
      <c r="E2491" s="29" t="s">
        <v>289</v>
      </c>
      <c r="F2491" s="29" t="s">
        <v>36</v>
      </c>
      <c r="I2491" s="37" t="s">
        <v>37</v>
      </c>
    </row>
    <row r="2492" spans="1:9" x14ac:dyDescent="0.25">
      <c r="A2492" s="29" t="s">
        <v>131</v>
      </c>
      <c r="B2492" s="29" t="s">
        <v>67</v>
      </c>
      <c r="C2492" s="29" t="s">
        <v>34</v>
      </c>
      <c r="D2492" s="37" t="s">
        <v>1675</v>
      </c>
      <c r="E2492" s="29" t="s">
        <v>290</v>
      </c>
      <c r="F2492" s="29" t="s">
        <v>36</v>
      </c>
      <c r="I2492" s="37" t="s">
        <v>37</v>
      </c>
    </row>
    <row r="2493" spans="1:9" x14ac:dyDescent="0.25">
      <c r="A2493" s="29" t="s">
        <v>131</v>
      </c>
      <c r="B2493" s="29" t="s">
        <v>67</v>
      </c>
      <c r="C2493" s="29" t="s">
        <v>34</v>
      </c>
      <c r="D2493" s="37" t="s">
        <v>1676</v>
      </c>
      <c r="E2493" s="29" t="s">
        <v>277</v>
      </c>
      <c r="F2493" s="29" t="s">
        <v>36</v>
      </c>
      <c r="I2493" s="37" t="s">
        <v>37</v>
      </c>
    </row>
    <row r="2494" spans="1:9" x14ac:dyDescent="0.25">
      <c r="A2494" s="29" t="s">
        <v>131</v>
      </c>
      <c r="B2494" s="29" t="s">
        <v>67</v>
      </c>
      <c r="C2494" s="29" t="s">
        <v>34</v>
      </c>
      <c r="D2494" s="37" t="s">
        <v>1677</v>
      </c>
      <c r="E2494" s="29" t="s">
        <v>279</v>
      </c>
      <c r="F2494" s="29" t="s">
        <v>36</v>
      </c>
      <c r="I2494" s="37" t="s">
        <v>37</v>
      </c>
    </row>
    <row r="2495" spans="1:9" x14ac:dyDescent="0.25">
      <c r="A2495" s="29" t="s">
        <v>131</v>
      </c>
      <c r="B2495" s="29" t="s">
        <v>67</v>
      </c>
      <c r="C2495" s="29" t="s">
        <v>34</v>
      </c>
      <c r="D2495" s="37" t="s">
        <v>1678</v>
      </c>
      <c r="E2495" s="29" t="s">
        <v>260</v>
      </c>
      <c r="F2495" s="29" t="s">
        <v>36</v>
      </c>
      <c r="G2495" s="29">
        <v>5.46</v>
      </c>
      <c r="H2495" s="71" t="s">
        <v>203</v>
      </c>
      <c r="I2495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496" spans="1:9" x14ac:dyDescent="0.25">
      <c r="A2496" s="29" t="s">
        <v>131</v>
      </c>
      <c r="B2496" s="29" t="s">
        <v>67</v>
      </c>
      <c r="C2496" s="29" t="s">
        <v>34</v>
      </c>
      <c r="D2496" s="37" t="s">
        <v>1679</v>
      </c>
      <c r="E2496" s="29" t="s">
        <v>261</v>
      </c>
      <c r="F2496" s="29" t="s">
        <v>36</v>
      </c>
      <c r="G2496" s="29">
        <v>7.9</v>
      </c>
      <c r="H2496" s="71" t="s">
        <v>203</v>
      </c>
      <c r="I2496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497" spans="1:9" x14ac:dyDescent="0.25">
      <c r="A2497" s="29" t="s">
        <v>131</v>
      </c>
      <c r="B2497" s="29" t="s">
        <v>67</v>
      </c>
      <c r="C2497" s="29" t="s">
        <v>34</v>
      </c>
      <c r="D2497" s="37" t="s">
        <v>1680</v>
      </c>
      <c r="E2497" s="29" t="s">
        <v>262</v>
      </c>
      <c r="F2497" s="29" t="s">
        <v>36</v>
      </c>
      <c r="G2497" s="29">
        <v>9.83</v>
      </c>
      <c r="H2497" s="71" t="s">
        <v>203</v>
      </c>
      <c r="I2497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498" spans="1:9" x14ac:dyDescent="0.25">
      <c r="A2498" s="29" t="s">
        <v>131</v>
      </c>
      <c r="B2498" s="29" t="s">
        <v>67</v>
      </c>
      <c r="C2498" s="29" t="s">
        <v>34</v>
      </c>
      <c r="D2498" s="37" t="s">
        <v>1681</v>
      </c>
      <c r="E2498" s="29" t="s">
        <v>287</v>
      </c>
      <c r="F2498" s="29" t="s">
        <v>36</v>
      </c>
      <c r="I2498" s="37" t="s">
        <v>37</v>
      </c>
    </row>
    <row r="2499" spans="1:9" x14ac:dyDescent="0.25">
      <c r="A2499" s="29" t="s">
        <v>131</v>
      </c>
      <c r="B2499" s="29" t="s">
        <v>67</v>
      </c>
      <c r="C2499" s="29" t="s">
        <v>34</v>
      </c>
      <c r="D2499" s="37" t="s">
        <v>1682</v>
      </c>
      <c r="E2499" s="29" t="s">
        <v>264</v>
      </c>
      <c r="F2499" s="29" t="s">
        <v>36</v>
      </c>
      <c r="G2499" s="29">
        <v>19.77</v>
      </c>
      <c r="H2499" s="71" t="s">
        <v>203</v>
      </c>
      <c r="I2499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500" spans="1:9" x14ac:dyDescent="0.25">
      <c r="A2500" s="29" t="s">
        <v>131</v>
      </c>
      <c r="B2500" s="29" t="s">
        <v>67</v>
      </c>
      <c r="C2500" s="29" t="s">
        <v>34</v>
      </c>
      <c r="D2500" s="37" t="s">
        <v>1683</v>
      </c>
      <c r="E2500" s="29" t="s">
        <v>265</v>
      </c>
      <c r="F2500" s="29" t="s">
        <v>36</v>
      </c>
      <c r="G2500" s="29">
        <v>23.82</v>
      </c>
      <c r="H2500" s="71" t="s">
        <v>203</v>
      </c>
      <c r="I2500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501" spans="1:9" x14ac:dyDescent="0.25">
      <c r="A2501" s="29" t="s">
        <v>131</v>
      </c>
      <c r="B2501" s="29" t="s">
        <v>67</v>
      </c>
      <c r="C2501" s="29" t="s">
        <v>34</v>
      </c>
      <c r="D2501" s="37" t="s">
        <v>1684</v>
      </c>
      <c r="E2501" s="29" t="s">
        <v>266</v>
      </c>
      <c r="F2501" s="29" t="s">
        <v>36</v>
      </c>
      <c r="G2501" s="29">
        <v>38.81</v>
      </c>
      <c r="H2501" s="71" t="s">
        <v>203</v>
      </c>
      <c r="I2501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502" spans="1:9" x14ac:dyDescent="0.25">
      <c r="A2502" s="29" t="s">
        <v>131</v>
      </c>
      <c r="B2502" s="29" t="s">
        <v>67</v>
      </c>
      <c r="C2502" s="29" t="s">
        <v>34</v>
      </c>
      <c r="D2502" s="37" t="s">
        <v>1685</v>
      </c>
      <c r="E2502" s="29" t="s">
        <v>291</v>
      </c>
      <c r="F2502" s="29" t="s">
        <v>36</v>
      </c>
      <c r="I2502" s="37" t="s">
        <v>37</v>
      </c>
    </row>
    <row r="2503" spans="1:9" x14ac:dyDescent="0.25">
      <c r="A2503" s="29" t="s">
        <v>131</v>
      </c>
      <c r="B2503" s="29" t="s">
        <v>67</v>
      </c>
      <c r="C2503" s="29" t="s">
        <v>34</v>
      </c>
      <c r="D2503" s="37" t="s">
        <v>1686</v>
      </c>
      <c r="E2503" s="29" t="s">
        <v>292</v>
      </c>
      <c r="F2503" s="29" t="s">
        <v>36</v>
      </c>
      <c r="I2503" s="37" t="s">
        <v>37</v>
      </c>
    </row>
    <row r="2504" spans="1:9" x14ac:dyDescent="0.25">
      <c r="A2504" s="29" t="s">
        <v>131</v>
      </c>
      <c r="B2504" s="29" t="s">
        <v>67</v>
      </c>
      <c r="C2504" s="29" t="s">
        <v>34</v>
      </c>
      <c r="D2504" s="37" t="s">
        <v>1687</v>
      </c>
      <c r="E2504" s="29" t="s">
        <v>282</v>
      </c>
      <c r="F2504" s="29" t="s">
        <v>36</v>
      </c>
      <c r="I2504" s="37" t="s">
        <v>37</v>
      </c>
    </row>
    <row r="2505" spans="1:9" x14ac:dyDescent="0.25">
      <c r="A2505" s="29" t="s">
        <v>131</v>
      </c>
      <c r="B2505" s="29" t="s">
        <v>67</v>
      </c>
      <c r="C2505" s="29" t="s">
        <v>34</v>
      </c>
      <c r="D2505" s="37" t="s">
        <v>1688</v>
      </c>
      <c r="E2505" s="29" t="s">
        <v>284</v>
      </c>
      <c r="F2505" s="29" t="s">
        <v>36</v>
      </c>
      <c r="I2505" s="37" t="s">
        <v>37</v>
      </c>
    </row>
    <row r="2506" spans="1:9" x14ac:dyDescent="0.25">
      <c r="A2506" s="29" t="s">
        <v>131</v>
      </c>
      <c r="B2506" s="29" t="s">
        <v>67</v>
      </c>
      <c r="C2506" s="29" t="s">
        <v>34</v>
      </c>
      <c r="D2506" s="37" t="s">
        <v>1689</v>
      </c>
      <c r="E2506" s="29" t="s">
        <v>286</v>
      </c>
      <c r="F2506" s="29" t="s">
        <v>36</v>
      </c>
      <c r="I2506" s="37" t="s">
        <v>37</v>
      </c>
    </row>
    <row r="2507" spans="1:9" x14ac:dyDescent="0.25">
      <c r="A2507" s="29" t="s">
        <v>131</v>
      </c>
      <c r="B2507" s="29" t="s">
        <v>67</v>
      </c>
      <c r="C2507" s="29" t="s">
        <v>34</v>
      </c>
      <c r="D2507" s="37" t="s">
        <v>1690</v>
      </c>
      <c r="E2507" s="29" t="s">
        <v>267</v>
      </c>
      <c r="F2507" s="29" t="s">
        <v>36</v>
      </c>
      <c r="G2507" s="29">
        <v>49.76</v>
      </c>
      <c r="H2507" s="71" t="s">
        <v>203</v>
      </c>
      <c r="I2507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508" spans="1:9" x14ac:dyDescent="0.25">
      <c r="A2508" s="29" t="s">
        <v>131</v>
      </c>
      <c r="B2508" s="29" t="s">
        <v>67</v>
      </c>
      <c r="C2508" s="29" t="s">
        <v>34</v>
      </c>
      <c r="D2508" s="37" t="s">
        <v>1691</v>
      </c>
      <c r="E2508" s="29" t="s">
        <v>268</v>
      </c>
      <c r="F2508" s="29" t="s">
        <v>36</v>
      </c>
      <c r="G2508" s="29">
        <v>69.63</v>
      </c>
      <c r="H2508" s="71" t="s">
        <v>203</v>
      </c>
      <c r="I2508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509" spans="1:9" x14ac:dyDescent="0.25">
      <c r="A2509" s="29" t="s">
        <v>131</v>
      </c>
      <c r="B2509" s="29" t="s">
        <v>67</v>
      </c>
      <c r="C2509" s="29" t="s">
        <v>34</v>
      </c>
      <c r="D2509" s="37" t="s">
        <v>1692</v>
      </c>
      <c r="E2509" s="29" t="s">
        <v>269</v>
      </c>
      <c r="F2509" s="29" t="s">
        <v>36</v>
      </c>
      <c r="G2509" s="29">
        <v>105.79</v>
      </c>
      <c r="H2509" s="71" t="s">
        <v>203</v>
      </c>
      <c r="I2509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510" spans="1:9" x14ac:dyDescent="0.25">
      <c r="A2510" s="29" t="s">
        <v>131</v>
      </c>
      <c r="B2510" s="29" t="s">
        <v>67</v>
      </c>
      <c r="C2510" s="29" t="s">
        <v>34</v>
      </c>
      <c r="D2510" s="37" t="s">
        <v>1693</v>
      </c>
      <c r="E2510" s="29" t="s">
        <v>257</v>
      </c>
      <c r="F2510" s="29" t="s">
        <v>36</v>
      </c>
      <c r="G2510" s="29">
        <v>0.96</v>
      </c>
      <c r="H2510" s="71" t="s">
        <v>203</v>
      </c>
      <c r="I2510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511" spans="1:9" x14ac:dyDescent="0.25">
      <c r="A2511" s="29" t="s">
        <v>131</v>
      </c>
      <c r="B2511" s="29" t="s">
        <v>67</v>
      </c>
      <c r="C2511" s="29" t="s">
        <v>34</v>
      </c>
      <c r="D2511" s="37" t="s">
        <v>1694</v>
      </c>
      <c r="E2511" s="29" t="s">
        <v>255</v>
      </c>
      <c r="F2511" s="29" t="s">
        <v>36</v>
      </c>
      <c r="G2511" s="29">
        <v>1.49</v>
      </c>
      <c r="H2511" s="71" t="s">
        <v>203</v>
      </c>
      <c r="I2511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512" spans="1:9" x14ac:dyDescent="0.25">
      <c r="A2512" s="29" t="s">
        <v>131</v>
      </c>
      <c r="B2512" s="29" t="s">
        <v>67</v>
      </c>
      <c r="C2512" s="29" t="s">
        <v>34</v>
      </c>
      <c r="D2512" s="37" t="s">
        <v>1695</v>
      </c>
      <c r="E2512" s="29" t="s">
        <v>275</v>
      </c>
      <c r="F2512" s="29" t="s">
        <v>36</v>
      </c>
      <c r="I2512" s="37" t="s">
        <v>37</v>
      </c>
    </row>
    <row r="2513" spans="1:9" x14ac:dyDescent="0.25">
      <c r="A2513" s="29" t="s">
        <v>131</v>
      </c>
      <c r="B2513" s="29" t="s">
        <v>67</v>
      </c>
      <c r="C2513" s="29" t="s">
        <v>34</v>
      </c>
      <c r="D2513" s="37" t="s">
        <v>1696</v>
      </c>
      <c r="E2513" s="29" t="s">
        <v>256</v>
      </c>
      <c r="F2513" s="29" t="s">
        <v>36</v>
      </c>
      <c r="G2513" s="29">
        <v>1.34</v>
      </c>
      <c r="H2513" s="71" t="s">
        <v>203</v>
      </c>
      <c r="I2513" s="37" t="str">
        <f>"https://www.eletrotrafo.com.br/terminal-de-compressao-6mm-1f-1c-tf-6-intelli-02140017/p?skuId=11203"</f>
        <v>https://www.eletrotrafo.com.br/terminal-de-compressao-6mm-1f-1c-tf-6-intelli-02140017/p?skuId=11203</v>
      </c>
    </row>
    <row r="2514" spans="1:9" x14ac:dyDescent="0.25">
      <c r="A2514" s="29" t="s">
        <v>131</v>
      </c>
      <c r="B2514" s="29" t="s">
        <v>67</v>
      </c>
      <c r="C2514" s="29" t="s">
        <v>34</v>
      </c>
      <c r="D2514" s="37" t="s">
        <v>1697</v>
      </c>
      <c r="E2514" s="29" t="s">
        <v>271</v>
      </c>
      <c r="F2514" s="29" t="s">
        <v>36</v>
      </c>
      <c r="I2514" s="37" t="s">
        <v>37</v>
      </c>
    </row>
    <row r="2515" spans="1:9" x14ac:dyDescent="0.25">
      <c r="A2515" s="29" t="s">
        <v>131</v>
      </c>
      <c r="B2515" s="29" t="s">
        <v>67</v>
      </c>
      <c r="C2515" s="29" t="s">
        <v>34</v>
      </c>
      <c r="D2515" s="37" t="s">
        <v>1698</v>
      </c>
      <c r="E2515" s="29" t="s">
        <v>273</v>
      </c>
      <c r="F2515" s="29" t="s">
        <v>36</v>
      </c>
      <c r="I2515" s="37" t="s">
        <v>37</v>
      </c>
    </row>
    <row r="2516" spans="1:9" x14ac:dyDescent="0.25">
      <c r="A2516" s="29" t="s">
        <v>131</v>
      </c>
      <c r="B2516" s="29" t="s">
        <v>67</v>
      </c>
      <c r="C2516" s="29" t="s">
        <v>34</v>
      </c>
      <c r="D2516" s="37" t="s">
        <v>1699</v>
      </c>
      <c r="E2516" s="29" t="s">
        <v>258</v>
      </c>
      <c r="F2516" s="29" t="s">
        <v>36</v>
      </c>
      <c r="G2516" s="29">
        <v>2.36</v>
      </c>
      <c r="H2516" s="71" t="s">
        <v>203</v>
      </c>
      <c r="I2516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517" spans="1:9" x14ac:dyDescent="0.25">
      <c r="A2517" s="29" t="s">
        <v>131</v>
      </c>
      <c r="B2517" s="29" t="s">
        <v>67</v>
      </c>
      <c r="C2517" s="29" t="s">
        <v>34</v>
      </c>
      <c r="D2517" s="37" t="s">
        <v>1700</v>
      </c>
      <c r="E2517" s="29" t="s">
        <v>278</v>
      </c>
      <c r="F2517" s="29" t="s">
        <v>36</v>
      </c>
      <c r="I2517" s="37" t="s">
        <v>37</v>
      </c>
    </row>
    <row r="2518" spans="1:9" x14ac:dyDescent="0.25">
      <c r="A2518" s="29" t="s">
        <v>131</v>
      </c>
      <c r="B2518" s="29" t="s">
        <v>67</v>
      </c>
      <c r="C2518" s="29" t="s">
        <v>34</v>
      </c>
      <c r="D2518" s="37" t="s">
        <v>1701</v>
      </c>
      <c r="E2518" s="29" t="s">
        <v>280</v>
      </c>
      <c r="F2518" s="29" t="s">
        <v>36</v>
      </c>
      <c r="I2518" s="37" t="s">
        <v>37</v>
      </c>
    </row>
    <row r="2519" spans="1:9" x14ac:dyDescent="0.25">
      <c r="A2519" s="29" t="s">
        <v>131</v>
      </c>
      <c r="B2519" s="29" t="s">
        <v>67</v>
      </c>
      <c r="C2519" s="29" t="s">
        <v>34</v>
      </c>
      <c r="D2519" s="37" t="s">
        <v>1702</v>
      </c>
      <c r="E2519" s="29" t="s">
        <v>270</v>
      </c>
      <c r="F2519" s="29" t="s">
        <v>36</v>
      </c>
      <c r="I2519" s="37" t="s">
        <v>37</v>
      </c>
    </row>
    <row r="2520" spans="1:9" x14ac:dyDescent="0.25">
      <c r="A2520" s="29" t="s">
        <v>131</v>
      </c>
      <c r="B2520" s="29" t="s">
        <v>67</v>
      </c>
      <c r="C2520" s="29" t="s">
        <v>34</v>
      </c>
      <c r="D2520" s="37" t="s">
        <v>1703</v>
      </c>
      <c r="E2520" s="29" t="s">
        <v>272</v>
      </c>
      <c r="F2520" s="29" t="s">
        <v>36</v>
      </c>
      <c r="I2520" s="37" t="s">
        <v>37</v>
      </c>
    </row>
    <row r="2521" spans="1:9" x14ac:dyDescent="0.25">
      <c r="A2521" s="29" t="s">
        <v>131</v>
      </c>
      <c r="B2521" s="29" t="s">
        <v>67</v>
      </c>
      <c r="C2521" s="29" t="s">
        <v>34</v>
      </c>
      <c r="D2521" s="37" t="s">
        <v>1704</v>
      </c>
      <c r="E2521" s="29" t="s">
        <v>274</v>
      </c>
      <c r="F2521" s="29" t="s">
        <v>36</v>
      </c>
      <c r="I2521" s="37" t="s">
        <v>37</v>
      </c>
    </row>
    <row r="2522" spans="1:9" x14ac:dyDescent="0.25">
      <c r="A2522" s="29" t="s">
        <v>131</v>
      </c>
      <c r="B2522" s="29" t="s">
        <v>67</v>
      </c>
      <c r="C2522" s="29" t="s">
        <v>34</v>
      </c>
      <c r="D2522" s="37" t="s">
        <v>1705</v>
      </c>
      <c r="E2522" s="29" t="s">
        <v>276</v>
      </c>
      <c r="F2522" s="29" t="s">
        <v>36</v>
      </c>
      <c r="I2522" s="37" t="s">
        <v>37</v>
      </c>
    </row>
    <row r="2523" spans="1:9" x14ac:dyDescent="0.25">
      <c r="A2523" s="29" t="s">
        <v>131</v>
      </c>
      <c r="B2523" s="29" t="s">
        <v>67</v>
      </c>
      <c r="C2523" s="29" t="s">
        <v>34</v>
      </c>
      <c r="D2523" s="37" t="s">
        <v>1706</v>
      </c>
      <c r="E2523" s="29" t="s">
        <v>259</v>
      </c>
      <c r="F2523" s="29" t="s">
        <v>36</v>
      </c>
      <c r="G2523" s="29">
        <v>3.06</v>
      </c>
      <c r="H2523" s="71" t="s">
        <v>203</v>
      </c>
      <c r="I2523" s="37" t="str">
        <f>"https://www.eletrotrafo.com.br/terminal-de-compressao-10-mm-1f-1c-tf-10-intelli-02140018/p?skuId=2650"</f>
        <v>https://www.eletrotrafo.com.br/terminal-de-compressao-10-mm-1f-1c-tf-10-intelli-02140018/p?skuId=2650</v>
      </c>
    </row>
    <row r="2524" spans="1:9" x14ac:dyDescent="0.25">
      <c r="A2524" s="29" t="s">
        <v>131</v>
      </c>
      <c r="B2524" s="29" t="s">
        <v>67</v>
      </c>
      <c r="C2524" s="29" t="s">
        <v>34</v>
      </c>
      <c r="D2524" s="37" t="s">
        <v>1707</v>
      </c>
      <c r="E2524" s="29" t="s">
        <v>281</v>
      </c>
      <c r="F2524" s="29" t="s">
        <v>36</v>
      </c>
      <c r="I2524" s="37" t="s">
        <v>37</v>
      </c>
    </row>
    <row r="2525" spans="1:9" x14ac:dyDescent="0.25">
      <c r="A2525" s="29" t="s">
        <v>131</v>
      </c>
      <c r="B2525" s="29" t="s">
        <v>67</v>
      </c>
      <c r="C2525" s="29" t="s">
        <v>34</v>
      </c>
      <c r="D2525" s="37" t="s">
        <v>1708</v>
      </c>
      <c r="E2525" s="29" t="s">
        <v>283</v>
      </c>
      <c r="F2525" s="29" t="s">
        <v>36</v>
      </c>
      <c r="I2525" s="37" t="s">
        <v>37</v>
      </c>
    </row>
    <row r="2526" spans="1:9" x14ac:dyDescent="0.25">
      <c r="A2526" s="29" t="s">
        <v>131</v>
      </c>
      <c r="B2526" s="29" t="s">
        <v>67</v>
      </c>
      <c r="C2526" s="29" t="s">
        <v>34</v>
      </c>
      <c r="D2526" s="37" t="s">
        <v>1709</v>
      </c>
      <c r="E2526" s="29" t="s">
        <v>285</v>
      </c>
      <c r="F2526" s="29" t="s">
        <v>36</v>
      </c>
      <c r="I2526" s="37" t="s">
        <v>37</v>
      </c>
    </row>
    <row r="2527" spans="1:9" x14ac:dyDescent="0.25">
      <c r="A2527" s="29" t="s">
        <v>131</v>
      </c>
      <c r="B2527" s="29" t="s">
        <v>67</v>
      </c>
      <c r="C2527" s="29" t="s">
        <v>34</v>
      </c>
      <c r="D2527" s="37" t="s">
        <v>1710</v>
      </c>
      <c r="E2527" s="29" t="s">
        <v>342</v>
      </c>
      <c r="F2527" s="29" t="s">
        <v>36</v>
      </c>
      <c r="I2527" s="37" t="s">
        <v>37</v>
      </c>
    </row>
    <row r="2528" spans="1:9" x14ac:dyDescent="0.25">
      <c r="A2528" s="29" t="s">
        <v>131</v>
      </c>
      <c r="B2528" s="29" t="s">
        <v>67</v>
      </c>
      <c r="C2528" s="29" t="s">
        <v>34</v>
      </c>
      <c r="D2528" s="37" t="s">
        <v>1711</v>
      </c>
      <c r="E2528" s="29" t="s">
        <v>343</v>
      </c>
      <c r="F2528" s="29" t="s">
        <v>36</v>
      </c>
      <c r="I2528" s="37" t="s">
        <v>37</v>
      </c>
    </row>
    <row r="2529" spans="1:9" x14ac:dyDescent="0.25">
      <c r="A2529" s="29" t="s">
        <v>131</v>
      </c>
      <c r="B2529" s="29" t="s">
        <v>67</v>
      </c>
      <c r="C2529" s="29" t="s">
        <v>34</v>
      </c>
      <c r="D2529" s="37" t="s">
        <v>1712</v>
      </c>
      <c r="E2529" s="29" t="s">
        <v>344</v>
      </c>
      <c r="F2529" s="29" t="s">
        <v>36</v>
      </c>
      <c r="I2529" s="37" t="s">
        <v>37</v>
      </c>
    </row>
    <row r="2530" spans="1:9" x14ac:dyDescent="0.25">
      <c r="A2530" s="29" t="s">
        <v>131</v>
      </c>
      <c r="B2530" s="29" t="s">
        <v>67</v>
      </c>
      <c r="C2530" s="29" t="s">
        <v>34</v>
      </c>
      <c r="D2530" s="37" t="s">
        <v>1713</v>
      </c>
      <c r="E2530" s="29" t="s">
        <v>345</v>
      </c>
      <c r="F2530" s="29" t="s">
        <v>36</v>
      </c>
      <c r="I2530" s="37" t="s">
        <v>37</v>
      </c>
    </row>
    <row r="2531" spans="1:9" x14ac:dyDescent="0.25">
      <c r="A2531" s="29" t="s">
        <v>131</v>
      </c>
      <c r="B2531" s="29" t="s">
        <v>67</v>
      </c>
      <c r="C2531" s="29" t="s">
        <v>34</v>
      </c>
      <c r="D2531" s="37" t="s">
        <v>1714</v>
      </c>
      <c r="E2531" s="29" t="s">
        <v>346</v>
      </c>
      <c r="F2531" s="29" t="s">
        <v>36</v>
      </c>
      <c r="I2531" s="37" t="s">
        <v>37</v>
      </c>
    </row>
    <row r="2532" spans="1:9" x14ac:dyDescent="0.25">
      <c r="A2532" s="29" t="s">
        <v>131</v>
      </c>
      <c r="B2532" s="29" t="s">
        <v>67</v>
      </c>
      <c r="C2532" s="29" t="s">
        <v>34</v>
      </c>
      <c r="D2532" s="37" t="s">
        <v>1715</v>
      </c>
      <c r="E2532" s="29" t="s">
        <v>347</v>
      </c>
      <c r="F2532" s="29" t="s">
        <v>36</v>
      </c>
      <c r="I2532" s="37" t="s">
        <v>37</v>
      </c>
    </row>
    <row r="2533" spans="1:9" x14ac:dyDescent="0.25">
      <c r="A2533" s="29" t="s">
        <v>131</v>
      </c>
      <c r="B2533" s="29" t="s">
        <v>67</v>
      </c>
      <c r="C2533" s="29" t="s">
        <v>34</v>
      </c>
      <c r="D2533" s="37" t="s">
        <v>1716</v>
      </c>
      <c r="E2533" s="29" t="s">
        <v>335</v>
      </c>
      <c r="F2533" s="29" t="s">
        <v>36</v>
      </c>
      <c r="G2533" s="29">
        <v>19.77</v>
      </c>
      <c r="H2533" s="71" t="s">
        <v>203</v>
      </c>
      <c r="I2533" s="37" t="str">
        <f>"https://www.eletrotrafo.com.br/terminal-de-compressao-70mm-2-furos-tf-70-2-intelli-02010115/p?skuId=6856"</f>
        <v>https://www.eletrotrafo.com.br/terminal-de-compressao-70mm-2-furos-tf-70-2-intelli-02010115/p?skuId=6856</v>
      </c>
    </row>
    <row r="2534" spans="1:9" x14ac:dyDescent="0.25">
      <c r="A2534" s="29" t="s">
        <v>131</v>
      </c>
      <c r="B2534" s="29" t="s">
        <v>67</v>
      </c>
      <c r="C2534" s="29" t="s">
        <v>34</v>
      </c>
      <c r="D2534" s="37" t="s">
        <v>1717</v>
      </c>
      <c r="E2534" s="29" t="s">
        <v>341</v>
      </c>
      <c r="F2534" s="29" t="s">
        <v>36</v>
      </c>
      <c r="I2534" s="37" t="s">
        <v>37</v>
      </c>
    </row>
    <row r="2535" spans="1:9" x14ac:dyDescent="0.25">
      <c r="A2535" s="29" t="s">
        <v>131</v>
      </c>
      <c r="B2535" s="29" t="s">
        <v>67</v>
      </c>
      <c r="C2535" s="29" t="s">
        <v>34</v>
      </c>
      <c r="D2535" s="37" t="s">
        <v>1718</v>
      </c>
      <c r="E2535" s="29" t="s">
        <v>336</v>
      </c>
      <c r="F2535" s="29" t="s">
        <v>36</v>
      </c>
      <c r="I2535" s="37" t="s">
        <v>37</v>
      </c>
    </row>
    <row r="2536" spans="1:9" x14ac:dyDescent="0.25">
      <c r="A2536" s="29" t="s">
        <v>131</v>
      </c>
      <c r="B2536" s="29" t="s">
        <v>67</v>
      </c>
      <c r="C2536" s="29" t="s">
        <v>34</v>
      </c>
      <c r="D2536" s="37" t="s">
        <v>1719</v>
      </c>
      <c r="E2536" s="29" t="s">
        <v>337</v>
      </c>
      <c r="F2536" s="29" t="s">
        <v>36</v>
      </c>
      <c r="I2536" s="37" t="s">
        <v>37</v>
      </c>
    </row>
    <row r="2537" spans="1:9" x14ac:dyDescent="0.25">
      <c r="A2537" s="29" t="s">
        <v>131</v>
      </c>
      <c r="B2537" s="29" t="s">
        <v>67</v>
      </c>
      <c r="C2537" s="29" t="s">
        <v>34</v>
      </c>
      <c r="D2537" s="37" t="s">
        <v>1720</v>
      </c>
      <c r="E2537" s="29" t="s">
        <v>338</v>
      </c>
      <c r="F2537" s="29" t="s">
        <v>36</v>
      </c>
      <c r="I2537" s="37" t="s">
        <v>37</v>
      </c>
    </row>
    <row r="2538" spans="1:9" x14ac:dyDescent="0.25">
      <c r="A2538" s="29" t="s">
        <v>131</v>
      </c>
      <c r="B2538" s="29" t="s">
        <v>67</v>
      </c>
      <c r="C2538" s="29" t="s">
        <v>34</v>
      </c>
      <c r="D2538" s="37" t="s">
        <v>1721</v>
      </c>
      <c r="E2538" s="29" t="s">
        <v>339</v>
      </c>
      <c r="F2538" s="29" t="s">
        <v>36</v>
      </c>
      <c r="I2538" s="37" t="s">
        <v>37</v>
      </c>
    </row>
    <row r="2539" spans="1:9" x14ac:dyDescent="0.25">
      <c r="A2539" s="29" t="s">
        <v>131</v>
      </c>
      <c r="B2539" s="29" t="s">
        <v>67</v>
      </c>
      <c r="C2539" s="29" t="s">
        <v>34</v>
      </c>
      <c r="D2539" s="37" t="s">
        <v>1722</v>
      </c>
      <c r="E2539" s="29" t="s">
        <v>340</v>
      </c>
      <c r="F2539" s="29" t="s">
        <v>36</v>
      </c>
      <c r="I2539" s="37" t="s">
        <v>37</v>
      </c>
    </row>
    <row r="2540" spans="1:9" x14ac:dyDescent="0.25">
      <c r="A2540" s="29" t="s">
        <v>131</v>
      </c>
      <c r="B2540" s="29" t="s">
        <v>67</v>
      </c>
      <c r="C2540" s="29" t="s">
        <v>34</v>
      </c>
      <c r="D2540" s="37" t="s">
        <v>1723</v>
      </c>
      <c r="E2540" s="29" t="s">
        <v>364</v>
      </c>
      <c r="F2540" s="29" t="s">
        <v>36</v>
      </c>
      <c r="I2540" s="37" t="s">
        <v>37</v>
      </c>
    </row>
    <row r="2541" spans="1:9" x14ac:dyDescent="0.25">
      <c r="A2541" s="29" t="s">
        <v>131</v>
      </c>
      <c r="B2541" s="29" t="s">
        <v>67</v>
      </c>
      <c r="C2541" s="29" t="s">
        <v>34</v>
      </c>
      <c r="D2541" s="37" t="s">
        <v>1724</v>
      </c>
      <c r="E2541" s="29" t="s">
        <v>367</v>
      </c>
      <c r="F2541" s="29" t="s">
        <v>36</v>
      </c>
      <c r="I2541" s="37" t="s">
        <v>37</v>
      </c>
    </row>
    <row r="2542" spans="1:9" x14ac:dyDescent="0.25">
      <c r="A2542" s="29" t="s">
        <v>131</v>
      </c>
      <c r="B2542" s="29" t="s">
        <v>67</v>
      </c>
      <c r="C2542" s="29" t="s">
        <v>34</v>
      </c>
      <c r="D2542" s="37" t="s">
        <v>1725</v>
      </c>
      <c r="E2542" s="29" t="s">
        <v>357</v>
      </c>
      <c r="F2542" s="29" t="s">
        <v>36</v>
      </c>
      <c r="I2542" s="37" t="s">
        <v>37</v>
      </c>
    </row>
    <row r="2543" spans="1:9" x14ac:dyDescent="0.25">
      <c r="A2543" s="29" t="s">
        <v>131</v>
      </c>
      <c r="B2543" s="29" t="s">
        <v>67</v>
      </c>
      <c r="C2543" s="29" t="s">
        <v>34</v>
      </c>
      <c r="D2543" s="37" t="s">
        <v>1726</v>
      </c>
      <c r="E2543" s="29" t="s">
        <v>360</v>
      </c>
      <c r="F2543" s="29" t="s">
        <v>36</v>
      </c>
      <c r="I2543" s="37" t="s">
        <v>37</v>
      </c>
    </row>
    <row r="2544" spans="1:9" x14ac:dyDescent="0.25">
      <c r="A2544" s="29" t="s">
        <v>131</v>
      </c>
      <c r="B2544" s="29" t="s">
        <v>67</v>
      </c>
      <c r="C2544" s="29" t="s">
        <v>34</v>
      </c>
      <c r="D2544" s="37" t="s">
        <v>1727</v>
      </c>
      <c r="E2544" s="29" t="s">
        <v>362</v>
      </c>
      <c r="F2544" s="29" t="s">
        <v>36</v>
      </c>
      <c r="I2544" s="37" t="s">
        <v>37</v>
      </c>
    </row>
    <row r="2545" spans="1:9" x14ac:dyDescent="0.25">
      <c r="A2545" s="29" t="s">
        <v>131</v>
      </c>
      <c r="B2545" s="29" t="s">
        <v>67</v>
      </c>
      <c r="C2545" s="29" t="s">
        <v>34</v>
      </c>
      <c r="D2545" s="37" t="s">
        <v>1728</v>
      </c>
      <c r="E2545" s="29" t="s">
        <v>365</v>
      </c>
      <c r="F2545" s="29" t="s">
        <v>36</v>
      </c>
      <c r="I2545" s="37" t="s">
        <v>37</v>
      </c>
    </row>
    <row r="2546" spans="1:9" x14ac:dyDescent="0.25">
      <c r="A2546" s="29" t="s">
        <v>131</v>
      </c>
      <c r="B2546" s="29" t="s">
        <v>67</v>
      </c>
      <c r="C2546" s="29" t="s">
        <v>34</v>
      </c>
      <c r="D2546" s="37" t="s">
        <v>1729</v>
      </c>
      <c r="E2546" s="29" t="s">
        <v>366</v>
      </c>
      <c r="F2546" s="29" t="s">
        <v>36</v>
      </c>
      <c r="I2546" s="37" t="s">
        <v>37</v>
      </c>
    </row>
    <row r="2547" spans="1:9" x14ac:dyDescent="0.25">
      <c r="A2547" s="29" t="s">
        <v>131</v>
      </c>
      <c r="B2547" s="29" t="s">
        <v>67</v>
      </c>
      <c r="C2547" s="29" t="s">
        <v>34</v>
      </c>
      <c r="D2547" s="37" t="s">
        <v>1730</v>
      </c>
      <c r="E2547" s="29" t="s">
        <v>368</v>
      </c>
      <c r="F2547" s="29" t="s">
        <v>36</v>
      </c>
      <c r="I2547" s="37" t="s">
        <v>37</v>
      </c>
    </row>
    <row r="2548" spans="1:9" x14ac:dyDescent="0.25">
      <c r="A2548" s="29" t="s">
        <v>131</v>
      </c>
      <c r="B2548" s="29" t="s">
        <v>67</v>
      </c>
      <c r="C2548" s="29" t="s">
        <v>34</v>
      </c>
      <c r="D2548" s="37" t="s">
        <v>1731</v>
      </c>
      <c r="E2548" s="29" t="s">
        <v>369</v>
      </c>
      <c r="F2548" s="29" t="s">
        <v>36</v>
      </c>
      <c r="I2548" s="37" t="s">
        <v>37</v>
      </c>
    </row>
    <row r="2549" spans="1:9" x14ac:dyDescent="0.25">
      <c r="A2549" s="29" t="s">
        <v>131</v>
      </c>
      <c r="B2549" s="29" t="s">
        <v>67</v>
      </c>
      <c r="C2549" s="29" t="s">
        <v>34</v>
      </c>
      <c r="D2549" s="37" t="s">
        <v>1732</v>
      </c>
      <c r="E2549" s="29" t="s">
        <v>370</v>
      </c>
      <c r="F2549" s="29" t="s">
        <v>36</v>
      </c>
      <c r="G2549" s="29">
        <v>75.349999999999994</v>
      </c>
      <c r="H2549" s="71" t="s">
        <v>738</v>
      </c>
      <c r="I2549" s="37" t="str">
        <f>"https://www.dimensional.com.br/terminal-compressao-300mm2-2-comp-2f-13-8mm-flex-tf3002l-intelli/p"</f>
        <v>https://www.dimensional.com.br/terminal-compressao-300mm2-2-comp-2f-13-8mm-flex-tf3002l-intelli/p</v>
      </c>
    </row>
    <row r="2550" spans="1:9" x14ac:dyDescent="0.25">
      <c r="A2550" s="29" t="s">
        <v>131</v>
      </c>
      <c r="B2550" s="29" t="s">
        <v>67</v>
      </c>
      <c r="C2550" s="29" t="s">
        <v>34</v>
      </c>
      <c r="D2550" s="37" t="s">
        <v>1733</v>
      </c>
      <c r="E2550" s="29" t="s">
        <v>371</v>
      </c>
      <c r="F2550" s="29" t="s">
        <v>36</v>
      </c>
      <c r="I2550" s="37" t="s">
        <v>37</v>
      </c>
    </row>
    <row r="2551" spans="1:9" x14ac:dyDescent="0.25">
      <c r="A2551" s="29" t="s">
        <v>131</v>
      </c>
      <c r="B2551" s="29" t="s">
        <v>67</v>
      </c>
      <c r="C2551" s="29" t="s">
        <v>34</v>
      </c>
      <c r="D2551" s="37" t="s">
        <v>1734</v>
      </c>
      <c r="E2551" s="29" t="s">
        <v>372</v>
      </c>
      <c r="F2551" s="29" t="s">
        <v>36</v>
      </c>
      <c r="I2551" s="37" t="s">
        <v>37</v>
      </c>
    </row>
    <row r="2552" spans="1:9" x14ac:dyDescent="0.25">
      <c r="A2552" s="29" t="s">
        <v>131</v>
      </c>
      <c r="B2552" s="29" t="s">
        <v>67</v>
      </c>
      <c r="C2552" s="29" t="s">
        <v>34</v>
      </c>
      <c r="D2552" s="37" t="s">
        <v>1735</v>
      </c>
      <c r="E2552" s="29" t="s">
        <v>361</v>
      </c>
      <c r="F2552" s="29" t="s">
        <v>36</v>
      </c>
      <c r="I2552" s="37" t="s">
        <v>37</v>
      </c>
    </row>
    <row r="2553" spans="1:9" x14ac:dyDescent="0.25">
      <c r="A2553" s="29" t="s">
        <v>131</v>
      </c>
      <c r="B2553" s="29" t="s">
        <v>67</v>
      </c>
      <c r="C2553" s="29" t="s">
        <v>34</v>
      </c>
      <c r="D2553" s="37" t="s">
        <v>1736</v>
      </c>
      <c r="E2553" s="29" t="s">
        <v>363</v>
      </c>
      <c r="F2553" s="29" t="s">
        <v>36</v>
      </c>
      <c r="I2553" s="37" t="s">
        <v>37</v>
      </c>
    </row>
    <row r="2554" spans="1:9" x14ac:dyDescent="0.25">
      <c r="A2554" s="29" t="s">
        <v>131</v>
      </c>
      <c r="B2554" s="29" t="s">
        <v>67</v>
      </c>
      <c r="C2554" s="29" t="s">
        <v>34</v>
      </c>
      <c r="D2554" s="37" t="s">
        <v>1737</v>
      </c>
      <c r="E2554" s="29" t="s">
        <v>349</v>
      </c>
      <c r="F2554" s="29" t="s">
        <v>36</v>
      </c>
      <c r="I2554" s="37" t="s">
        <v>37</v>
      </c>
    </row>
    <row r="2555" spans="1:9" x14ac:dyDescent="0.25">
      <c r="A2555" s="29" t="s">
        <v>131</v>
      </c>
      <c r="B2555" s="29" t="s">
        <v>67</v>
      </c>
      <c r="C2555" s="29" t="s">
        <v>34</v>
      </c>
      <c r="D2555" s="37" t="s">
        <v>1738</v>
      </c>
      <c r="E2555" s="29" t="s">
        <v>350</v>
      </c>
      <c r="F2555" s="29" t="s">
        <v>36</v>
      </c>
      <c r="I2555" s="37" t="s">
        <v>37</v>
      </c>
    </row>
    <row r="2556" spans="1:9" x14ac:dyDescent="0.25">
      <c r="A2556" s="29" t="s">
        <v>131</v>
      </c>
      <c r="B2556" s="29" t="s">
        <v>67</v>
      </c>
      <c r="C2556" s="29" t="s">
        <v>34</v>
      </c>
      <c r="D2556" s="37" t="s">
        <v>1739</v>
      </c>
      <c r="E2556" s="29" t="s">
        <v>352</v>
      </c>
      <c r="F2556" s="29" t="s">
        <v>36</v>
      </c>
      <c r="I2556" s="37" t="s">
        <v>37</v>
      </c>
    </row>
    <row r="2557" spans="1:9" x14ac:dyDescent="0.25">
      <c r="A2557" s="29" t="s">
        <v>131</v>
      </c>
      <c r="B2557" s="29" t="s">
        <v>67</v>
      </c>
      <c r="C2557" s="29" t="s">
        <v>34</v>
      </c>
      <c r="D2557" s="37" t="s">
        <v>1740</v>
      </c>
      <c r="E2557" s="29" t="s">
        <v>351</v>
      </c>
      <c r="F2557" s="29" t="s">
        <v>36</v>
      </c>
      <c r="I2557" s="37" t="s">
        <v>37</v>
      </c>
    </row>
    <row r="2558" spans="1:9" x14ac:dyDescent="0.25">
      <c r="A2558" s="29" t="s">
        <v>131</v>
      </c>
      <c r="B2558" s="29" t="s">
        <v>67</v>
      </c>
      <c r="C2558" s="29" t="s">
        <v>34</v>
      </c>
      <c r="D2558" s="37" t="s">
        <v>1741</v>
      </c>
      <c r="E2558" s="29" t="s">
        <v>353</v>
      </c>
      <c r="F2558" s="29" t="s">
        <v>36</v>
      </c>
      <c r="I2558" s="37" t="s">
        <v>37</v>
      </c>
    </row>
    <row r="2559" spans="1:9" x14ac:dyDescent="0.25">
      <c r="A2559" s="29" t="s">
        <v>131</v>
      </c>
      <c r="B2559" s="29" t="s">
        <v>67</v>
      </c>
      <c r="C2559" s="29" t="s">
        <v>34</v>
      </c>
      <c r="D2559" s="37" t="s">
        <v>1742</v>
      </c>
      <c r="E2559" s="29" t="s">
        <v>356</v>
      </c>
      <c r="F2559" s="29" t="s">
        <v>36</v>
      </c>
      <c r="I2559" s="37" t="s">
        <v>37</v>
      </c>
    </row>
    <row r="2560" spans="1:9" x14ac:dyDescent="0.25">
      <c r="A2560" s="29" t="s">
        <v>131</v>
      </c>
      <c r="B2560" s="29" t="s">
        <v>67</v>
      </c>
      <c r="C2560" s="29" t="s">
        <v>34</v>
      </c>
      <c r="D2560" s="37" t="s">
        <v>1743</v>
      </c>
      <c r="E2560" s="29" t="s">
        <v>358</v>
      </c>
      <c r="F2560" s="29" t="s">
        <v>36</v>
      </c>
      <c r="I2560" s="37" t="s">
        <v>37</v>
      </c>
    </row>
    <row r="2561" spans="1:9" x14ac:dyDescent="0.25">
      <c r="A2561" s="29" t="s">
        <v>131</v>
      </c>
      <c r="B2561" s="29" t="s">
        <v>67</v>
      </c>
      <c r="C2561" s="29" t="s">
        <v>34</v>
      </c>
      <c r="D2561" s="37" t="s">
        <v>1744</v>
      </c>
      <c r="E2561" s="29" t="s">
        <v>354</v>
      </c>
      <c r="F2561" s="29" t="s">
        <v>36</v>
      </c>
      <c r="I2561" s="37" t="s">
        <v>37</v>
      </c>
    </row>
    <row r="2562" spans="1:9" x14ac:dyDescent="0.25">
      <c r="A2562" s="29" t="s">
        <v>131</v>
      </c>
      <c r="B2562" s="29" t="s">
        <v>67</v>
      </c>
      <c r="C2562" s="29" t="s">
        <v>34</v>
      </c>
      <c r="D2562" s="37" t="s">
        <v>1745</v>
      </c>
      <c r="E2562" s="29" t="s">
        <v>355</v>
      </c>
      <c r="F2562" s="29" t="s">
        <v>36</v>
      </c>
      <c r="I2562" s="37" t="s">
        <v>37</v>
      </c>
    </row>
    <row r="2563" spans="1:9" x14ac:dyDescent="0.25">
      <c r="A2563" s="29" t="s">
        <v>131</v>
      </c>
      <c r="B2563" s="29" t="s">
        <v>67</v>
      </c>
      <c r="C2563" s="29" t="s">
        <v>34</v>
      </c>
      <c r="D2563" s="37" t="s">
        <v>1746</v>
      </c>
      <c r="E2563" s="29" t="s">
        <v>359</v>
      </c>
      <c r="F2563" s="29" t="s">
        <v>36</v>
      </c>
      <c r="I2563" s="37" t="s">
        <v>37</v>
      </c>
    </row>
    <row r="2564" spans="1:9" x14ac:dyDescent="0.25">
      <c r="A2564" s="29" t="s">
        <v>131</v>
      </c>
      <c r="B2564" s="29" t="s">
        <v>67</v>
      </c>
      <c r="C2564" s="29" t="s">
        <v>34</v>
      </c>
      <c r="D2564" s="37" t="s">
        <v>2227</v>
      </c>
      <c r="E2564" s="29" t="s">
        <v>477</v>
      </c>
      <c r="F2564" s="29" t="s">
        <v>36</v>
      </c>
      <c r="I2564" s="37" t="s">
        <v>37</v>
      </c>
    </row>
    <row r="2565" spans="1:9" x14ac:dyDescent="0.25">
      <c r="A2565" s="29" t="s">
        <v>131</v>
      </c>
      <c r="B2565" s="29" t="s">
        <v>67</v>
      </c>
      <c r="C2565" s="29" t="s">
        <v>34</v>
      </c>
      <c r="D2565" s="37" t="s">
        <v>2228</v>
      </c>
      <c r="E2565" s="29" t="s">
        <v>478</v>
      </c>
      <c r="F2565" s="29" t="s">
        <v>36</v>
      </c>
      <c r="I2565" s="37" t="s">
        <v>37</v>
      </c>
    </row>
    <row r="2566" spans="1:9" x14ac:dyDescent="0.25">
      <c r="A2566" s="29" t="s">
        <v>131</v>
      </c>
      <c r="B2566" s="29" t="s">
        <v>67</v>
      </c>
      <c r="C2566" s="29" t="s">
        <v>34</v>
      </c>
      <c r="D2566" s="37" t="s">
        <v>2229</v>
      </c>
      <c r="E2566" s="29" t="s">
        <v>479</v>
      </c>
      <c r="F2566" s="29" t="s">
        <v>36</v>
      </c>
      <c r="I2566" s="37" t="s">
        <v>37</v>
      </c>
    </row>
    <row r="2567" spans="1:9" x14ac:dyDescent="0.25">
      <c r="A2567" s="29" t="s">
        <v>131</v>
      </c>
      <c r="B2567" s="29" t="s">
        <v>67</v>
      </c>
      <c r="C2567" s="29" t="s">
        <v>34</v>
      </c>
      <c r="D2567" s="37" t="s">
        <v>2230</v>
      </c>
      <c r="E2567" s="29" t="s">
        <v>480</v>
      </c>
      <c r="F2567" s="29" t="s">
        <v>36</v>
      </c>
      <c r="I2567" s="37" t="s">
        <v>37</v>
      </c>
    </row>
    <row r="2568" spans="1:9" x14ac:dyDescent="0.25">
      <c r="A2568" s="29" t="s">
        <v>131</v>
      </c>
      <c r="B2568" s="29" t="s">
        <v>67</v>
      </c>
      <c r="C2568" s="29" t="s">
        <v>34</v>
      </c>
      <c r="D2568" s="37" t="s">
        <v>2231</v>
      </c>
      <c r="E2568" s="29" t="s">
        <v>475</v>
      </c>
      <c r="F2568" s="29" t="s">
        <v>36</v>
      </c>
      <c r="I2568" s="37" t="s">
        <v>37</v>
      </c>
    </row>
    <row r="2569" spans="1:9" x14ac:dyDescent="0.25">
      <c r="A2569" s="29" t="s">
        <v>131</v>
      </c>
      <c r="B2569" s="29" t="s">
        <v>67</v>
      </c>
      <c r="C2569" s="29" t="s">
        <v>34</v>
      </c>
      <c r="D2569" s="37" t="s">
        <v>2232</v>
      </c>
      <c r="E2569" s="29" t="s">
        <v>476</v>
      </c>
      <c r="F2569" s="29" t="s">
        <v>36</v>
      </c>
      <c r="G2569" s="29">
        <v>23.39</v>
      </c>
      <c r="H2569" s="71" t="s">
        <v>738</v>
      </c>
      <c r="I2569" s="37" t="str">
        <f>"https://www.dimensional.com.br/terminal-pressao-ef-mola-cu-70mm2-tpam70-intelli/p"</f>
        <v>https://www.dimensional.com.br/terminal-pressao-ef-mola-cu-70mm2-tpam70-intelli/p</v>
      </c>
    </row>
    <row r="2570" spans="1:9" x14ac:dyDescent="0.25">
      <c r="A2570" s="29" t="s">
        <v>131</v>
      </c>
      <c r="B2570" s="29" t="s">
        <v>67</v>
      </c>
      <c r="C2570" s="29" t="s">
        <v>34</v>
      </c>
      <c r="D2570" s="37" t="s">
        <v>1400</v>
      </c>
      <c r="E2570" s="29" t="s">
        <v>226</v>
      </c>
      <c r="F2570" s="29" t="s">
        <v>36</v>
      </c>
      <c r="G2570" s="29">
        <v>21.52</v>
      </c>
      <c r="H2570" s="71" t="s">
        <v>740</v>
      </c>
      <c r="I2570" s="37" t="str">
        <f>"https://www.axxesmat.com.br/terminal-de-cobre-para-condutores-flexiveis-tf-120-l-10-furo-10-5mm-intelli"</f>
        <v>https://www.axxesmat.com.br/terminal-de-cobre-para-condutores-flexiveis-tf-120-l-10-furo-10-5mm-intelli</v>
      </c>
    </row>
    <row r="2571" spans="1:9" x14ac:dyDescent="0.25">
      <c r="A2571" s="29" t="s">
        <v>131</v>
      </c>
      <c r="B2571" s="29" t="s">
        <v>67</v>
      </c>
      <c r="C2571" s="29" t="s">
        <v>34</v>
      </c>
      <c r="D2571" s="37" t="s">
        <v>1401</v>
      </c>
      <c r="E2571" s="29" t="s">
        <v>216</v>
      </c>
      <c r="F2571" s="29" t="s">
        <v>36</v>
      </c>
      <c r="G2571" s="29">
        <v>4.3</v>
      </c>
      <c r="H2571" s="71" t="s">
        <v>800</v>
      </c>
      <c r="I2571" s="37" t="str">
        <f>"https://www.axxesmat.com.br/terminal-de-cobre-para-condutores-flexiveis-tf-35-l-10-furo-10-5mm-intelli"</f>
        <v>https://www.axxesmat.com.br/terminal-de-cobre-para-condutores-flexiveis-tf-35-l-10-furo-10-5mm-intelli</v>
      </c>
    </row>
    <row r="2572" spans="1:9" x14ac:dyDescent="0.25">
      <c r="A2572" s="29" t="s">
        <v>131</v>
      </c>
      <c r="B2572" s="29" t="s">
        <v>67</v>
      </c>
      <c r="C2572" s="29" t="s">
        <v>34</v>
      </c>
      <c r="D2572" s="37" t="s">
        <v>1402</v>
      </c>
      <c r="E2572" s="29" t="s">
        <v>219</v>
      </c>
      <c r="F2572" s="29" t="s">
        <v>36</v>
      </c>
      <c r="G2572" s="29">
        <v>7.45</v>
      </c>
      <c r="H2572" s="71" t="s">
        <v>800</v>
      </c>
      <c r="I2572" s="37" t="str">
        <f>"https://www.axxesmat.com.br/terminal-de-cobre-para-condutores-flexiveis-tf-50-l-10-furo-10-5mm-intelli"</f>
        <v>https://www.axxesmat.com.br/terminal-de-cobre-para-condutores-flexiveis-tf-50-l-10-furo-10-5mm-intelli</v>
      </c>
    </row>
    <row r="2573" spans="1:9" x14ac:dyDescent="0.25">
      <c r="A2573" s="29" t="s">
        <v>131</v>
      </c>
      <c r="B2573" s="29" t="s">
        <v>67</v>
      </c>
      <c r="C2573" s="29" t="s">
        <v>34</v>
      </c>
      <c r="D2573" s="37" t="s">
        <v>1403</v>
      </c>
      <c r="E2573" s="29" t="s">
        <v>222</v>
      </c>
      <c r="F2573" s="29" t="s">
        <v>36</v>
      </c>
      <c r="G2573" s="29">
        <v>10.36</v>
      </c>
      <c r="H2573" s="71" t="s">
        <v>800</v>
      </c>
      <c r="I2573" s="37" t="str">
        <f>"https://www.axxesmat.com.br/terminal-de-cobre-para-condutores-flexiveis-tf-70-l-10-furo-10-5mm-intelli"</f>
        <v>https://www.axxesmat.com.br/terminal-de-cobre-para-condutores-flexiveis-tf-70-l-10-furo-10-5mm-intelli</v>
      </c>
    </row>
    <row r="2574" spans="1:9" x14ac:dyDescent="0.25">
      <c r="A2574" s="29" t="s">
        <v>131</v>
      </c>
      <c r="B2574" s="29" t="s">
        <v>67</v>
      </c>
      <c r="C2574" s="29" t="s">
        <v>34</v>
      </c>
      <c r="D2574" s="37" t="s">
        <v>1404</v>
      </c>
      <c r="E2574" s="29" t="s">
        <v>223</v>
      </c>
      <c r="F2574" s="29" t="s">
        <v>36</v>
      </c>
      <c r="G2574" s="29">
        <v>11.56</v>
      </c>
      <c r="H2574" s="71" t="s">
        <v>800</v>
      </c>
      <c r="I2574" s="37" t="str">
        <f>"https://www.axxesmat.com.br/terminal-de-cobre-para-condutores-flexiveis-tf-95-l-10-furo-10-5mm-intelli"</f>
        <v>https://www.axxesmat.com.br/terminal-de-cobre-para-condutores-flexiveis-tf-95-l-10-furo-10-5mm-intelli</v>
      </c>
    </row>
    <row r="2575" spans="1:9" x14ac:dyDescent="0.25">
      <c r="A2575" s="29" t="s">
        <v>131</v>
      </c>
      <c r="B2575" s="29" t="s">
        <v>67</v>
      </c>
      <c r="C2575" s="29" t="s">
        <v>34</v>
      </c>
      <c r="D2575" s="37" t="s">
        <v>1405</v>
      </c>
      <c r="E2575" s="29" t="s">
        <v>227</v>
      </c>
      <c r="F2575" s="29" t="s">
        <v>36</v>
      </c>
      <c r="G2575" s="29">
        <v>16.05</v>
      </c>
      <c r="H2575" s="71" t="s">
        <v>203</v>
      </c>
      <c r="I2575" s="37" t="str">
        <f>"https://www.eletrotrafo.com.br/terminal-de-compressao-duas-compressao-10mm-tf-10-l-02010082/p?skuId=2621"</f>
        <v>https://www.eletrotrafo.com.br/terminal-de-compressao-duas-compressao-10mm-tf-10-l-02010082/p?skuId=2621</v>
      </c>
    </row>
    <row r="2576" spans="1:9" x14ac:dyDescent="0.25">
      <c r="A2576" s="29" t="s">
        <v>131</v>
      </c>
      <c r="B2576" s="29" t="s">
        <v>67</v>
      </c>
      <c r="C2576" s="29" t="s">
        <v>34</v>
      </c>
      <c r="D2576" s="37" t="s">
        <v>1406</v>
      </c>
      <c r="E2576" s="29" t="s">
        <v>225</v>
      </c>
      <c r="F2576" s="29" t="s">
        <v>36</v>
      </c>
      <c r="G2576" s="29">
        <v>21.6</v>
      </c>
      <c r="H2576" s="71" t="s">
        <v>203</v>
      </c>
      <c r="I2576" s="37" t="str">
        <f>"https://www.eletrotrafo.com.br/terminal-de-compressao-duas-compressao-10mm-tf-10-l-02010082/p?skuId=2621"</f>
        <v>https://www.eletrotrafo.com.br/terminal-de-compressao-duas-compressao-10mm-tf-10-l-02010082/p?skuId=2621</v>
      </c>
    </row>
    <row r="2577" spans="1:9" x14ac:dyDescent="0.25">
      <c r="A2577" s="29" t="s">
        <v>131</v>
      </c>
      <c r="B2577" s="29" t="s">
        <v>67</v>
      </c>
      <c r="C2577" s="29" t="s">
        <v>34</v>
      </c>
      <c r="D2577" s="37" t="s">
        <v>1407</v>
      </c>
      <c r="E2577" s="29" t="s">
        <v>224</v>
      </c>
      <c r="F2577" s="29" t="s">
        <v>36</v>
      </c>
      <c r="G2577" s="29">
        <v>25</v>
      </c>
      <c r="H2577" s="71" t="s">
        <v>203</v>
      </c>
      <c r="I2577" s="37" t="str">
        <f>"https://www.eletrotrafo.com.br/terminal-de-compressao-duas-compressao-10mm-tf-10-l-02010082/p?skuId=2621"</f>
        <v>https://www.eletrotrafo.com.br/terminal-de-compressao-duas-compressao-10mm-tf-10-l-02010082/p?skuId=2621</v>
      </c>
    </row>
    <row r="2578" spans="1:9" x14ac:dyDescent="0.25">
      <c r="A2578" s="29" t="s">
        <v>131</v>
      </c>
      <c r="B2578" s="29" t="s">
        <v>67</v>
      </c>
      <c r="C2578" s="29" t="s">
        <v>34</v>
      </c>
      <c r="D2578" s="37" t="s">
        <v>1408</v>
      </c>
      <c r="E2578" s="29" t="s">
        <v>230</v>
      </c>
      <c r="F2578" s="29" t="s">
        <v>36</v>
      </c>
      <c r="G2578" s="29">
        <v>42.05</v>
      </c>
      <c r="H2578" s="71" t="s">
        <v>203</v>
      </c>
      <c r="I2578" s="37" t="str">
        <f>"https://www.eletrotrafo.com.br/terminal-de-compressao-duas-compressao-10mm-tf-10-l-02010082/p?skuId=2621"</f>
        <v>https://www.eletrotrafo.com.br/terminal-de-compressao-duas-compressao-10mm-tf-10-l-02010082/p?skuId=2621</v>
      </c>
    </row>
    <row r="2579" spans="1:9" x14ac:dyDescent="0.25">
      <c r="A2579" s="29" t="s">
        <v>131</v>
      </c>
      <c r="B2579" s="29" t="s">
        <v>67</v>
      </c>
      <c r="C2579" s="29" t="s">
        <v>34</v>
      </c>
      <c r="D2579" s="37" t="s">
        <v>1409</v>
      </c>
      <c r="E2579" s="29" t="s">
        <v>231</v>
      </c>
      <c r="F2579" s="29" t="s">
        <v>36</v>
      </c>
      <c r="I2579" s="37" t="s">
        <v>37</v>
      </c>
    </row>
    <row r="2580" spans="1:9" x14ac:dyDescent="0.25">
      <c r="A2580" s="29" t="s">
        <v>131</v>
      </c>
      <c r="B2580" s="29" t="s">
        <v>67</v>
      </c>
      <c r="C2580" s="29" t="s">
        <v>34</v>
      </c>
      <c r="D2580" s="37" t="s">
        <v>1410</v>
      </c>
      <c r="E2580" s="29" t="s">
        <v>232</v>
      </c>
      <c r="F2580" s="29" t="s">
        <v>36</v>
      </c>
      <c r="I2580" s="37" t="s">
        <v>37</v>
      </c>
    </row>
    <row r="2581" spans="1:9" x14ac:dyDescent="0.25">
      <c r="A2581" s="29" t="s">
        <v>131</v>
      </c>
      <c r="B2581" s="29" t="s">
        <v>67</v>
      </c>
      <c r="C2581" s="29" t="s">
        <v>34</v>
      </c>
      <c r="D2581" s="37" t="s">
        <v>1411</v>
      </c>
      <c r="E2581" s="29" t="s">
        <v>233</v>
      </c>
      <c r="F2581" s="29" t="s">
        <v>36</v>
      </c>
      <c r="I2581" s="37" t="s">
        <v>37</v>
      </c>
    </row>
    <row r="2582" spans="1:9" x14ac:dyDescent="0.25">
      <c r="A2582" s="29" t="s">
        <v>131</v>
      </c>
      <c r="B2582" s="29" t="s">
        <v>67</v>
      </c>
      <c r="C2582" s="29" t="s">
        <v>34</v>
      </c>
      <c r="D2582" s="37" t="s">
        <v>1412</v>
      </c>
      <c r="E2582" s="29" t="s">
        <v>220</v>
      </c>
      <c r="F2582" s="29" t="s">
        <v>36</v>
      </c>
      <c r="G2582" s="29">
        <v>6.82</v>
      </c>
      <c r="H2582" s="71" t="s">
        <v>740</v>
      </c>
      <c r="I2582" s="37" t="str">
        <f>"https://www.axxesmat.com.br/terminal-de-cobre-para-condutores-flexiveis-tf-50-l-13-furo-13-8mm-intelli"</f>
        <v>https://www.axxesmat.com.br/terminal-de-cobre-para-condutores-flexiveis-tf-50-l-13-furo-13-8mm-intelli</v>
      </c>
    </row>
    <row r="2583" spans="1:9" x14ac:dyDescent="0.25">
      <c r="A2583" s="29" t="s">
        <v>131</v>
      </c>
      <c r="B2583" s="29" t="s">
        <v>67</v>
      </c>
      <c r="C2583" s="29" t="s">
        <v>34</v>
      </c>
      <c r="D2583" s="37" t="s">
        <v>1413</v>
      </c>
      <c r="E2583" s="29" t="s">
        <v>221</v>
      </c>
      <c r="F2583" s="29" t="s">
        <v>36</v>
      </c>
      <c r="G2583" s="29">
        <v>8.6</v>
      </c>
      <c r="H2583" s="71" t="s">
        <v>203</v>
      </c>
      <c r="I2583" s="37" t="str">
        <f>"https://www.eletrotrafo.com.br/terminal-de-compressao-duas-compressao-10mm-tf-10-l-02010082/p?skuId=2621"</f>
        <v>https://www.eletrotrafo.com.br/terminal-de-compressao-duas-compressao-10mm-tf-10-l-02010082/p?skuId=2621</v>
      </c>
    </row>
    <row r="2584" spans="1:9" x14ac:dyDescent="0.25">
      <c r="A2584" s="29" t="s">
        <v>131</v>
      </c>
      <c r="B2584" s="29" t="s">
        <v>67</v>
      </c>
      <c r="C2584" s="29" t="s">
        <v>34</v>
      </c>
      <c r="D2584" s="37" t="s">
        <v>1414</v>
      </c>
      <c r="E2584" s="29" t="s">
        <v>228</v>
      </c>
      <c r="F2584" s="29" t="s">
        <v>36</v>
      </c>
      <c r="G2584" s="29">
        <v>10.42</v>
      </c>
      <c r="H2584" s="71" t="s">
        <v>203</v>
      </c>
      <c r="I2584" s="37" t="str">
        <f>"https://www.eletrotrafo.com.br/terminal-de-compressao-duas-compressao-10mm-tf-10-l-02010082/p?skuId=2621"</f>
        <v>https://www.eletrotrafo.com.br/terminal-de-compressao-duas-compressao-10mm-tf-10-l-02010082/p?skuId=2621</v>
      </c>
    </row>
    <row r="2585" spans="1:9" x14ac:dyDescent="0.25">
      <c r="A2585" s="29" t="s">
        <v>131</v>
      </c>
      <c r="B2585" s="29" t="s">
        <v>67</v>
      </c>
      <c r="C2585" s="29" t="s">
        <v>34</v>
      </c>
      <c r="D2585" s="37" t="s">
        <v>1415</v>
      </c>
      <c r="E2585" s="29" t="s">
        <v>208</v>
      </c>
      <c r="F2585" s="29" t="s">
        <v>36</v>
      </c>
      <c r="G2585" s="29">
        <v>1.1299999999999999</v>
      </c>
      <c r="H2585" s="71" t="s">
        <v>203</v>
      </c>
      <c r="I2585" s="37" t="str">
        <f>"https://www.eletrotrafo.com.br/terminal-de-compressao-duas-compressao-10mm-tf-10-l-02010082/p?skuId=2621"</f>
        <v>https://www.eletrotrafo.com.br/terminal-de-compressao-duas-compressao-10mm-tf-10-l-02010082/p?skuId=2621</v>
      </c>
    </row>
    <row r="2586" spans="1:9" x14ac:dyDescent="0.25">
      <c r="A2586" s="29" t="s">
        <v>131</v>
      </c>
      <c r="B2586" s="29" t="s">
        <v>67</v>
      </c>
      <c r="C2586" s="29" t="s">
        <v>34</v>
      </c>
      <c r="D2586" s="37" t="s">
        <v>1416</v>
      </c>
      <c r="E2586" s="29" t="s">
        <v>209</v>
      </c>
      <c r="F2586" s="29" t="s">
        <v>36</v>
      </c>
      <c r="G2586" s="29">
        <v>1.23</v>
      </c>
      <c r="H2586" s="71" t="s">
        <v>800</v>
      </c>
      <c r="I2586" s="37" t="str">
        <f>"https://www.axxesmat.com.br/terminal-de-cobre-para-condutores-flexiveis-tf-10-l-6-furo-6-5mm-intelli"</f>
        <v>https://www.axxesmat.com.br/terminal-de-cobre-para-condutores-flexiveis-tf-10-l-6-furo-6-5mm-intelli</v>
      </c>
    </row>
    <row r="2587" spans="1:9" x14ac:dyDescent="0.25">
      <c r="A2587" s="29" t="s">
        <v>131</v>
      </c>
      <c r="B2587" s="29" t="s">
        <v>67</v>
      </c>
      <c r="C2587" s="29" t="s">
        <v>34</v>
      </c>
      <c r="D2587" s="37" t="s">
        <v>1417</v>
      </c>
      <c r="E2587" s="29" t="s">
        <v>210</v>
      </c>
      <c r="F2587" s="29" t="s">
        <v>36</v>
      </c>
      <c r="G2587" s="29">
        <v>1.79</v>
      </c>
      <c r="H2587" s="71" t="s">
        <v>203</v>
      </c>
      <c r="I2587" s="37" t="str">
        <f>"https://www.eletrotrafo.com.br/terminal-de-compressao-duas-compressao-10mm-tf-10-l-02010082/p?skuId=2621"</f>
        <v>https://www.eletrotrafo.com.br/terminal-de-compressao-duas-compressao-10mm-tf-10-l-02010082/p?skuId=2621</v>
      </c>
    </row>
    <row r="2588" spans="1:9" x14ac:dyDescent="0.25">
      <c r="A2588" s="29" t="s">
        <v>131</v>
      </c>
      <c r="B2588" s="29" t="s">
        <v>67</v>
      </c>
      <c r="C2588" s="29" t="s">
        <v>34</v>
      </c>
      <c r="D2588" s="37" t="s">
        <v>1418</v>
      </c>
      <c r="E2588" s="29" t="s">
        <v>214</v>
      </c>
      <c r="F2588" s="29" t="s">
        <v>36</v>
      </c>
      <c r="G2588" s="29">
        <v>2.85</v>
      </c>
      <c r="H2588" s="71" t="s">
        <v>203</v>
      </c>
      <c r="I2588" s="37" t="str">
        <f>"https://www.eletrotrafo.com.br/terminal-de-compressao-duas-compressao-10mm-tf-10-l-02010082/p?skuId=2621"</f>
        <v>https://www.eletrotrafo.com.br/terminal-de-compressao-duas-compressao-10mm-tf-10-l-02010082/p?skuId=2621</v>
      </c>
    </row>
    <row r="2589" spans="1:9" x14ac:dyDescent="0.25">
      <c r="A2589" s="29" t="s">
        <v>131</v>
      </c>
      <c r="B2589" s="29" t="s">
        <v>67</v>
      </c>
      <c r="C2589" s="29" t="s">
        <v>34</v>
      </c>
      <c r="D2589" s="37" t="s">
        <v>1419</v>
      </c>
      <c r="E2589" s="29" t="s">
        <v>217</v>
      </c>
      <c r="F2589" s="29" t="s">
        <v>36</v>
      </c>
      <c r="I2589" s="37" t="s">
        <v>37</v>
      </c>
    </row>
    <row r="2590" spans="1:9" x14ac:dyDescent="0.25">
      <c r="A2590" s="29" t="s">
        <v>131</v>
      </c>
      <c r="B2590" s="29" t="s">
        <v>67</v>
      </c>
      <c r="C2590" s="29" t="s">
        <v>34</v>
      </c>
      <c r="D2590" s="37" t="s">
        <v>1420</v>
      </c>
      <c r="E2590" s="29" t="s">
        <v>213</v>
      </c>
      <c r="F2590" s="29" t="s">
        <v>36</v>
      </c>
      <c r="G2590" s="29">
        <v>1.94</v>
      </c>
      <c r="H2590" s="71" t="s">
        <v>800</v>
      </c>
      <c r="I2590" s="37" t="str">
        <f>"https://www.axxesmat.com.br/terminal-de-cobre-para-condutores-flexiveis-tf-16-l-8-furo-8-5mm-intelli"</f>
        <v>https://www.axxesmat.com.br/terminal-de-cobre-para-condutores-flexiveis-tf-16-l-8-furo-8-5mm-intelli</v>
      </c>
    </row>
    <row r="2591" spans="1:9" x14ac:dyDescent="0.25">
      <c r="A2591" s="29" t="s">
        <v>131</v>
      </c>
      <c r="B2591" s="29" t="s">
        <v>67</v>
      </c>
      <c r="C2591" s="29" t="s">
        <v>34</v>
      </c>
      <c r="D2591" s="37" t="s">
        <v>1421</v>
      </c>
      <c r="E2591" s="29" t="s">
        <v>215</v>
      </c>
      <c r="F2591" s="29" t="s">
        <v>36</v>
      </c>
      <c r="G2591" s="29">
        <v>3.75</v>
      </c>
      <c r="H2591" s="71" t="s">
        <v>203</v>
      </c>
      <c r="I2591" s="37" t="str">
        <f>"https://www.eletrotrafo.com.br/terminal-de-compressao-duas-compressao-10mm-tf-10-l-02010082/p?skuId=2621"</f>
        <v>https://www.eletrotrafo.com.br/terminal-de-compressao-duas-compressao-10mm-tf-10-l-02010082/p?skuId=2621</v>
      </c>
    </row>
    <row r="2592" spans="1:9" x14ac:dyDescent="0.25">
      <c r="A2592" s="29" t="s">
        <v>131</v>
      </c>
      <c r="B2592" s="29" t="s">
        <v>67</v>
      </c>
      <c r="C2592" s="29" t="s">
        <v>34</v>
      </c>
      <c r="D2592" s="37" t="s">
        <v>1422</v>
      </c>
      <c r="E2592" s="29" t="s">
        <v>218</v>
      </c>
      <c r="F2592" s="29" t="s">
        <v>36</v>
      </c>
      <c r="G2592" s="29">
        <v>6.74</v>
      </c>
      <c r="H2592" s="71" t="s">
        <v>203</v>
      </c>
      <c r="I2592" s="37" t="str">
        <f>"https://www.dimensional.com.br/terminal-compressao-50-00-mm2-2-compressoes-1-furo-cobre-tm50l-intelli/p; https://www.eletrotrafo.com.br/terminal-de-compressao-duas-compressao-10mm-tf-10-l-02010082/p?skuId=2621"</f>
        <v>https://www.dimensional.com.br/terminal-compressao-50-00-mm2-2-compressoes-1-furo-cobre-tm50l-intelli/p; https://www.eletrotrafo.com.br/terminal-de-compressao-duas-compressao-10mm-tf-10-l-02010082/p?skuId=2621</v>
      </c>
    </row>
    <row r="2593" spans="1:9" x14ac:dyDescent="0.25">
      <c r="A2593" s="29" t="s">
        <v>131</v>
      </c>
      <c r="B2593" s="29" t="s">
        <v>67</v>
      </c>
      <c r="C2593" s="29" t="s">
        <v>34</v>
      </c>
      <c r="D2593" s="37" t="s">
        <v>1423</v>
      </c>
      <c r="E2593" s="29" t="s">
        <v>229</v>
      </c>
      <c r="F2593" s="29" t="s">
        <v>36</v>
      </c>
      <c r="G2593" s="29">
        <v>9.91</v>
      </c>
      <c r="H2593" s="71" t="s">
        <v>800</v>
      </c>
      <c r="I2593" s="37" t="str">
        <f>"https://www.axxesmat.com.br/terminal-de-cobre-para-condutores-flexiveis-tf-70-l-8-furo-8-5mm-intelli"</f>
        <v>https://www.axxesmat.com.br/terminal-de-cobre-para-condutores-flexiveis-tf-70-l-8-furo-8-5mm-intelli</v>
      </c>
    </row>
    <row r="2594" spans="1:9" x14ac:dyDescent="0.25">
      <c r="A2594" s="29" t="s">
        <v>131</v>
      </c>
      <c r="B2594" s="29" t="s">
        <v>67</v>
      </c>
      <c r="C2594" s="29">
        <v>1542</v>
      </c>
      <c r="D2594" s="37" t="s">
        <v>2335</v>
      </c>
      <c r="E2594" s="29" t="s">
        <v>37</v>
      </c>
      <c r="F2594" s="29" t="s">
        <v>36</v>
      </c>
      <c r="G2594" s="29">
        <v>22.67</v>
      </c>
      <c r="H2594" s="71" t="s">
        <v>38</v>
      </c>
      <c r="I2594" s="37" t="s">
        <v>207</v>
      </c>
    </row>
    <row r="2595" spans="1:9" x14ac:dyDescent="0.25">
      <c r="A2595" s="29" t="s">
        <v>131</v>
      </c>
      <c r="B2595" s="29" t="s">
        <v>67</v>
      </c>
      <c r="C2595" s="29">
        <v>1591</v>
      </c>
      <c r="D2595" s="37" t="s">
        <v>2336</v>
      </c>
      <c r="E2595" s="29" t="s">
        <v>37</v>
      </c>
      <c r="F2595" s="29" t="s">
        <v>36</v>
      </c>
      <c r="G2595" s="29">
        <v>25.37</v>
      </c>
      <c r="H2595" s="71" t="s">
        <v>38</v>
      </c>
      <c r="I2595" s="37" t="s">
        <v>207</v>
      </c>
    </row>
    <row r="2596" spans="1:9" x14ac:dyDescent="0.25">
      <c r="A2596" s="29" t="s">
        <v>131</v>
      </c>
      <c r="B2596" s="29" t="s">
        <v>67</v>
      </c>
      <c r="C2596" s="29">
        <v>1547</v>
      </c>
      <c r="D2596" s="37" t="s">
        <v>2337</v>
      </c>
      <c r="E2596" s="29" t="s">
        <v>37</v>
      </c>
      <c r="F2596" s="29" t="s">
        <v>36</v>
      </c>
      <c r="G2596" s="29">
        <v>132.97</v>
      </c>
      <c r="H2596" s="71" t="s">
        <v>38</v>
      </c>
      <c r="I2596" s="37" t="s">
        <v>207</v>
      </c>
    </row>
    <row r="2597" spans="1:9" x14ac:dyDescent="0.25">
      <c r="A2597" s="29" t="s">
        <v>131</v>
      </c>
      <c r="B2597" s="29" t="s">
        <v>67</v>
      </c>
      <c r="C2597" s="29">
        <v>38196</v>
      </c>
      <c r="D2597" s="37" t="s">
        <v>2338</v>
      </c>
      <c r="E2597" s="29" t="s">
        <v>37</v>
      </c>
      <c r="F2597" s="29" t="s">
        <v>36</v>
      </c>
      <c r="G2597" s="29">
        <v>25.9</v>
      </c>
      <c r="H2597" s="71" t="s">
        <v>38</v>
      </c>
      <c r="I2597" s="37" t="s">
        <v>207</v>
      </c>
    </row>
    <row r="2598" spans="1:9" x14ac:dyDescent="0.25">
      <c r="A2598" s="29" t="s">
        <v>131</v>
      </c>
      <c r="B2598" s="29" t="s">
        <v>67</v>
      </c>
      <c r="C2598" s="29">
        <v>1543</v>
      </c>
      <c r="D2598" s="37" t="s">
        <v>2339</v>
      </c>
      <c r="E2598" s="29" t="s">
        <v>37</v>
      </c>
      <c r="F2598" s="29" t="s">
        <v>36</v>
      </c>
      <c r="G2598" s="29">
        <v>27.52</v>
      </c>
      <c r="H2598" s="71" t="s">
        <v>38</v>
      </c>
      <c r="I2598" s="37" t="s">
        <v>207</v>
      </c>
    </row>
    <row r="2599" spans="1:9" x14ac:dyDescent="0.25">
      <c r="A2599" s="29" t="s">
        <v>131</v>
      </c>
      <c r="B2599" s="29" t="s">
        <v>67</v>
      </c>
      <c r="C2599" s="29">
        <v>1585</v>
      </c>
      <c r="D2599" s="37" t="s">
        <v>2340</v>
      </c>
      <c r="E2599" s="29" t="s">
        <v>37</v>
      </c>
      <c r="F2599" s="29" t="s">
        <v>36</v>
      </c>
      <c r="G2599" s="29">
        <v>5.33</v>
      </c>
      <c r="H2599" s="71" t="s">
        <v>38</v>
      </c>
      <c r="I2599" s="37" t="s">
        <v>207</v>
      </c>
    </row>
    <row r="2600" spans="1:9" x14ac:dyDescent="0.25">
      <c r="A2600" s="29" t="s">
        <v>131</v>
      </c>
      <c r="B2600" s="29" t="s">
        <v>67</v>
      </c>
      <c r="C2600" s="29">
        <v>1593</v>
      </c>
      <c r="D2600" s="37" t="s">
        <v>2341</v>
      </c>
      <c r="E2600" s="29" t="s">
        <v>37</v>
      </c>
      <c r="F2600" s="29" t="s">
        <v>36</v>
      </c>
      <c r="G2600" s="29">
        <v>28.3</v>
      </c>
      <c r="H2600" s="71" t="s">
        <v>38</v>
      </c>
      <c r="I2600" s="37" t="s">
        <v>207</v>
      </c>
    </row>
    <row r="2601" spans="1:9" x14ac:dyDescent="0.25">
      <c r="A2601" s="29" t="s">
        <v>131</v>
      </c>
      <c r="B2601" s="29" t="s">
        <v>67</v>
      </c>
      <c r="C2601" s="29">
        <v>11838</v>
      </c>
      <c r="D2601" s="37" t="s">
        <v>2342</v>
      </c>
      <c r="E2601" s="29" t="s">
        <v>37</v>
      </c>
      <c r="F2601" s="29" t="s">
        <v>36</v>
      </c>
      <c r="G2601" s="29">
        <v>37.35</v>
      </c>
      <c r="H2601" s="71" t="s">
        <v>38</v>
      </c>
      <c r="I2601" s="37" t="s">
        <v>207</v>
      </c>
    </row>
    <row r="2602" spans="1:9" x14ac:dyDescent="0.25">
      <c r="A2602" s="29" t="s">
        <v>131</v>
      </c>
      <c r="B2602" s="29" t="s">
        <v>67</v>
      </c>
      <c r="C2602" s="29">
        <v>1594</v>
      </c>
      <c r="D2602" s="37" t="s">
        <v>2343</v>
      </c>
      <c r="E2602" s="29" t="s">
        <v>37</v>
      </c>
      <c r="F2602" s="29" t="s">
        <v>36</v>
      </c>
      <c r="G2602" s="29">
        <v>37.75</v>
      </c>
      <c r="H2602" s="71" t="s">
        <v>38</v>
      </c>
      <c r="I2602" s="37" t="s">
        <v>207</v>
      </c>
    </row>
    <row r="2603" spans="1:9" x14ac:dyDescent="0.25">
      <c r="A2603" s="29" t="s">
        <v>131</v>
      </c>
      <c r="B2603" s="29" t="s">
        <v>67</v>
      </c>
      <c r="C2603" s="29">
        <v>1586</v>
      </c>
      <c r="D2603" s="37" t="s">
        <v>2344</v>
      </c>
      <c r="E2603" s="29" t="s">
        <v>37</v>
      </c>
      <c r="F2603" s="29" t="s">
        <v>36</v>
      </c>
      <c r="G2603" s="29">
        <v>6.74</v>
      </c>
      <c r="H2603" s="71" t="s">
        <v>38</v>
      </c>
      <c r="I2603" s="37" t="s">
        <v>207</v>
      </c>
    </row>
    <row r="2604" spans="1:9" x14ac:dyDescent="0.25">
      <c r="A2604" s="29" t="s">
        <v>131</v>
      </c>
      <c r="B2604" s="29" t="s">
        <v>67</v>
      </c>
      <c r="C2604" s="29">
        <v>11839</v>
      </c>
      <c r="D2604" s="37" t="s">
        <v>2345</v>
      </c>
      <c r="E2604" s="29" t="s">
        <v>37</v>
      </c>
      <c r="F2604" s="29" t="s">
        <v>36</v>
      </c>
      <c r="G2604" s="29">
        <v>54.34</v>
      </c>
      <c r="H2604" s="71" t="s">
        <v>38</v>
      </c>
      <c r="I2604" s="37" t="s">
        <v>207</v>
      </c>
    </row>
    <row r="2605" spans="1:9" x14ac:dyDescent="0.25">
      <c r="A2605" s="29" t="s">
        <v>131</v>
      </c>
      <c r="B2605" s="29" t="s">
        <v>67</v>
      </c>
      <c r="C2605" s="29">
        <v>1587</v>
      </c>
      <c r="D2605" s="37" t="s">
        <v>2346</v>
      </c>
      <c r="E2605" s="29" t="s">
        <v>37</v>
      </c>
      <c r="F2605" s="29" t="s">
        <v>36</v>
      </c>
      <c r="G2605" s="29">
        <v>6.87</v>
      </c>
      <c r="H2605" s="71" t="s">
        <v>38</v>
      </c>
      <c r="I2605" s="37" t="s">
        <v>207</v>
      </c>
    </row>
    <row r="2606" spans="1:9" x14ac:dyDescent="0.25">
      <c r="A2606" s="29" t="s">
        <v>131</v>
      </c>
      <c r="B2606" s="29" t="s">
        <v>67</v>
      </c>
      <c r="C2606" s="29">
        <v>1545</v>
      </c>
      <c r="D2606" s="37" t="s">
        <v>2347</v>
      </c>
      <c r="E2606" s="29" t="s">
        <v>37</v>
      </c>
      <c r="F2606" s="29" t="s">
        <v>36</v>
      </c>
      <c r="G2606" s="29">
        <v>65.209999999999994</v>
      </c>
      <c r="H2606" s="71" t="s">
        <v>38</v>
      </c>
      <c r="I2606" s="37" t="s">
        <v>207</v>
      </c>
    </row>
    <row r="2607" spans="1:9" x14ac:dyDescent="0.25">
      <c r="A2607" s="29" t="s">
        <v>131</v>
      </c>
      <c r="B2607" s="29" t="s">
        <v>67</v>
      </c>
      <c r="C2607" s="29">
        <v>1588</v>
      </c>
      <c r="D2607" s="37" t="s">
        <v>2348</v>
      </c>
      <c r="E2607" s="29" t="s">
        <v>37</v>
      </c>
      <c r="F2607" s="29" t="s">
        <v>36</v>
      </c>
      <c r="G2607" s="29">
        <v>9.42</v>
      </c>
      <c r="H2607" s="71" t="s">
        <v>38</v>
      </c>
      <c r="I2607" s="37" t="s">
        <v>207</v>
      </c>
    </row>
    <row r="2608" spans="1:9" x14ac:dyDescent="0.25">
      <c r="A2608" s="29" t="s">
        <v>131</v>
      </c>
      <c r="B2608" s="29" t="s">
        <v>67</v>
      </c>
      <c r="C2608" s="29">
        <v>1535</v>
      </c>
      <c r="D2608" s="37" t="s">
        <v>2349</v>
      </c>
      <c r="E2608" s="29" t="s">
        <v>37</v>
      </c>
      <c r="F2608" s="29" t="s">
        <v>36</v>
      </c>
      <c r="G2608" s="29">
        <v>5.43</v>
      </c>
      <c r="H2608" s="71" t="s">
        <v>38</v>
      </c>
      <c r="I2608" s="37" t="s">
        <v>207</v>
      </c>
    </row>
    <row r="2609" spans="1:9" x14ac:dyDescent="0.25">
      <c r="A2609" s="29" t="s">
        <v>131</v>
      </c>
      <c r="B2609" s="29" t="s">
        <v>67</v>
      </c>
      <c r="C2609" s="29">
        <v>1589</v>
      </c>
      <c r="D2609" s="37" t="s">
        <v>2350</v>
      </c>
      <c r="E2609" s="29" t="s">
        <v>37</v>
      </c>
      <c r="F2609" s="29" t="s">
        <v>36</v>
      </c>
      <c r="G2609" s="29">
        <v>9.7200000000000006</v>
      </c>
      <c r="H2609" s="71" t="s">
        <v>38</v>
      </c>
      <c r="I2609" s="37" t="s">
        <v>207</v>
      </c>
    </row>
    <row r="2610" spans="1:9" x14ac:dyDescent="0.25">
      <c r="A2610" s="29" t="s">
        <v>131</v>
      </c>
      <c r="B2610" s="29" t="s">
        <v>67</v>
      </c>
      <c r="C2610" s="29">
        <v>1546</v>
      </c>
      <c r="D2610" s="37" t="s">
        <v>2351</v>
      </c>
      <c r="E2610" s="29" t="s">
        <v>37</v>
      </c>
      <c r="F2610" s="29" t="s">
        <v>36</v>
      </c>
      <c r="G2610" s="29">
        <v>110.04</v>
      </c>
      <c r="H2610" s="71" t="s">
        <v>38</v>
      </c>
      <c r="I2610" s="37" t="s">
        <v>207</v>
      </c>
    </row>
    <row r="2611" spans="1:9" x14ac:dyDescent="0.25">
      <c r="A2611" s="29" t="s">
        <v>131</v>
      </c>
      <c r="B2611" s="29" t="s">
        <v>67</v>
      </c>
      <c r="C2611" s="29">
        <v>1590</v>
      </c>
      <c r="D2611" s="37" t="s">
        <v>2352</v>
      </c>
      <c r="E2611" s="29" t="s">
        <v>37</v>
      </c>
      <c r="F2611" s="29" t="s">
        <v>36</v>
      </c>
      <c r="G2611" s="29">
        <v>17.11</v>
      </c>
      <c r="H2611" s="71" t="s">
        <v>38</v>
      </c>
      <c r="I2611" s="37" t="s">
        <v>207</v>
      </c>
    </row>
    <row r="2612" spans="1:9" x14ac:dyDescent="0.25">
      <c r="A2612" s="29" t="s">
        <v>131</v>
      </c>
      <c r="B2612" s="29" t="s">
        <v>67</v>
      </c>
      <c r="C2612" s="29" t="s">
        <v>34</v>
      </c>
      <c r="D2612" s="37" t="s">
        <v>2727</v>
      </c>
      <c r="E2612" s="29" t="s">
        <v>447</v>
      </c>
      <c r="F2612" s="29" t="s">
        <v>36</v>
      </c>
      <c r="I2612" s="37" t="s">
        <v>37</v>
      </c>
    </row>
    <row r="2613" spans="1:9" x14ac:dyDescent="0.25">
      <c r="A2613" s="29" t="s">
        <v>131</v>
      </c>
      <c r="B2613" s="29" t="s">
        <v>67</v>
      </c>
      <c r="C2613" s="29" t="s">
        <v>34</v>
      </c>
      <c r="D2613" s="37" t="s">
        <v>2728</v>
      </c>
      <c r="E2613" s="29" t="s">
        <v>747</v>
      </c>
      <c r="F2613" s="29" t="s">
        <v>36</v>
      </c>
      <c r="I2613" s="37" t="s">
        <v>37</v>
      </c>
    </row>
    <row r="2614" spans="1:9" x14ac:dyDescent="0.25">
      <c r="A2614" s="29" t="s">
        <v>131</v>
      </c>
      <c r="B2614" s="29" t="s">
        <v>67</v>
      </c>
      <c r="C2614" s="29" t="s">
        <v>34</v>
      </c>
      <c r="D2614" s="37" t="s">
        <v>2729</v>
      </c>
      <c r="E2614" s="29" t="s">
        <v>741</v>
      </c>
      <c r="F2614" s="29" t="s">
        <v>36</v>
      </c>
      <c r="I2614" s="37" t="s">
        <v>37</v>
      </c>
    </row>
    <row r="2615" spans="1:9" x14ac:dyDescent="0.25">
      <c r="A2615" s="29" t="s">
        <v>131</v>
      </c>
      <c r="B2615" s="29" t="s">
        <v>67</v>
      </c>
      <c r="C2615" s="29" t="s">
        <v>34</v>
      </c>
      <c r="D2615" s="37" t="s">
        <v>2730</v>
      </c>
      <c r="E2615" s="29" t="s">
        <v>742</v>
      </c>
      <c r="F2615" s="29" t="s">
        <v>36</v>
      </c>
      <c r="I2615" s="37" t="s">
        <v>37</v>
      </c>
    </row>
    <row r="2616" spans="1:9" x14ac:dyDescent="0.25">
      <c r="A2616" s="29" t="s">
        <v>131</v>
      </c>
      <c r="B2616" s="29" t="s">
        <v>67</v>
      </c>
      <c r="C2616" s="29" t="s">
        <v>34</v>
      </c>
      <c r="D2616" s="37" t="s">
        <v>2731</v>
      </c>
      <c r="E2616" s="29" t="s">
        <v>743</v>
      </c>
      <c r="F2616" s="29" t="s">
        <v>36</v>
      </c>
      <c r="I2616" s="37" t="s">
        <v>37</v>
      </c>
    </row>
    <row r="2617" spans="1:9" x14ac:dyDescent="0.25">
      <c r="A2617" s="29" t="s">
        <v>131</v>
      </c>
      <c r="B2617" s="29" t="s">
        <v>67</v>
      </c>
      <c r="C2617" s="29" t="s">
        <v>34</v>
      </c>
      <c r="D2617" s="37" t="s">
        <v>2732</v>
      </c>
      <c r="E2617" s="29" t="s">
        <v>744</v>
      </c>
      <c r="F2617" s="29" t="s">
        <v>36</v>
      </c>
      <c r="I2617" s="37" t="s">
        <v>37</v>
      </c>
    </row>
    <row r="2618" spans="1:9" x14ac:dyDescent="0.25">
      <c r="A2618" s="29" t="s">
        <v>131</v>
      </c>
      <c r="B2618" s="29" t="s">
        <v>67</v>
      </c>
      <c r="C2618" s="29" t="s">
        <v>34</v>
      </c>
      <c r="D2618" s="37" t="s">
        <v>2733</v>
      </c>
      <c r="E2618" s="29" t="s">
        <v>745</v>
      </c>
      <c r="F2618" s="29" t="s">
        <v>36</v>
      </c>
      <c r="I2618" s="37" t="s">
        <v>37</v>
      </c>
    </row>
    <row r="2619" spans="1:9" x14ac:dyDescent="0.25">
      <c r="A2619" s="29" t="s">
        <v>131</v>
      </c>
      <c r="B2619" s="29" t="s">
        <v>67</v>
      </c>
      <c r="C2619" s="29" t="s">
        <v>34</v>
      </c>
      <c r="D2619" s="37" t="s">
        <v>2734</v>
      </c>
      <c r="E2619" s="29" t="s">
        <v>746</v>
      </c>
      <c r="F2619" s="29" t="s">
        <v>36</v>
      </c>
      <c r="I2619" s="37" t="s">
        <v>37</v>
      </c>
    </row>
    <row r="2620" spans="1:9" x14ac:dyDescent="0.25">
      <c r="A2620" s="29" t="s">
        <v>131</v>
      </c>
      <c r="B2620" s="29" t="s">
        <v>67</v>
      </c>
      <c r="C2620" s="29" t="s">
        <v>34</v>
      </c>
      <c r="D2620" s="37" t="s">
        <v>2735</v>
      </c>
      <c r="E2620" s="29" t="s">
        <v>581</v>
      </c>
      <c r="F2620" s="29" t="s">
        <v>36</v>
      </c>
      <c r="G2620" s="29">
        <v>0.37</v>
      </c>
      <c r="H2620" s="71" t="s">
        <v>738</v>
      </c>
      <c r="I2620" s="37" t="str">
        <f>"https://www.dimensional.com.br/terminal-eletrico-femea-pre-isolado-15-mm2-vermelho/p"</f>
        <v>https://www.dimensional.com.br/terminal-eletrico-femea-pre-isolado-15-mm2-vermelho/p</v>
      </c>
    </row>
    <row r="2621" spans="1:9" x14ac:dyDescent="0.25">
      <c r="A2621" s="29" t="s">
        <v>131</v>
      </c>
      <c r="B2621" s="29" t="s">
        <v>67</v>
      </c>
      <c r="C2621" s="29" t="s">
        <v>34</v>
      </c>
      <c r="D2621" s="37" t="s">
        <v>2736</v>
      </c>
      <c r="E2621" s="29" t="s">
        <v>583</v>
      </c>
      <c r="F2621" s="29" t="s">
        <v>36</v>
      </c>
      <c r="G2621" s="29">
        <v>0.45</v>
      </c>
      <c r="H2621" s="71" t="s">
        <v>738</v>
      </c>
      <c r="I2621" s="37" t="str">
        <f>"https://www.dimensional.com.br/terminal-eletrico-femea-pre-isolado-25-mm2-azul/p"</f>
        <v>https://www.dimensional.com.br/terminal-eletrico-femea-pre-isolado-25-mm2-azul/p</v>
      </c>
    </row>
    <row r="2622" spans="1:9" x14ac:dyDescent="0.25">
      <c r="A2622" s="29" t="s">
        <v>131</v>
      </c>
      <c r="B2622" s="29" t="s">
        <v>67</v>
      </c>
      <c r="C2622" s="29" t="s">
        <v>34</v>
      </c>
      <c r="D2622" s="37" t="s">
        <v>2737</v>
      </c>
      <c r="E2622" s="29" t="s">
        <v>585</v>
      </c>
      <c r="F2622" s="29" t="s">
        <v>36</v>
      </c>
      <c r="G2622" s="29">
        <v>0.54</v>
      </c>
      <c r="H2622" s="71" t="s">
        <v>738</v>
      </c>
      <c r="I2622" s="37" t="str">
        <f>"https://www.dimensional.com.br/terminal-eletrico-femea-pre-isolado-4-6mm2-amarelo-intelli/p"</f>
        <v>https://www.dimensional.com.br/terminal-eletrico-femea-pre-isolado-4-6mm2-amarelo-intelli/p</v>
      </c>
    </row>
    <row r="2623" spans="1:9" x14ac:dyDescent="0.25">
      <c r="A2623" s="29" t="s">
        <v>131</v>
      </c>
      <c r="B2623" s="29" t="s">
        <v>67</v>
      </c>
      <c r="C2623" s="29" t="s">
        <v>34</v>
      </c>
      <c r="D2623" s="37" t="s">
        <v>2738</v>
      </c>
      <c r="E2623" s="29" t="s">
        <v>736</v>
      </c>
      <c r="F2623" s="29" t="s">
        <v>36</v>
      </c>
      <c r="G2623" s="29">
        <v>0.39</v>
      </c>
      <c r="H2623" s="71" t="s">
        <v>734</v>
      </c>
      <c r="I2623" s="37" t="str">
        <f>"https://www.dimensional.com.br/terminal-forq-c-iso-f-4mm-25mm2-az-tpf254/p"</f>
        <v>https://www.dimensional.com.br/terminal-forq-c-iso-f-4mm-25mm2-az-tpf254/p</v>
      </c>
    </row>
    <row r="2624" spans="1:9" x14ac:dyDescent="0.25">
      <c r="A2624" s="29" t="s">
        <v>131</v>
      </c>
      <c r="B2624" s="29" t="s">
        <v>67</v>
      </c>
      <c r="C2624" s="29" t="s">
        <v>34</v>
      </c>
      <c r="D2624" s="37" t="s">
        <v>2739</v>
      </c>
      <c r="E2624" s="29" t="s">
        <v>578</v>
      </c>
      <c r="F2624" s="29" t="s">
        <v>36</v>
      </c>
      <c r="G2624" s="29">
        <v>0.38</v>
      </c>
      <c r="H2624" s="71" t="s">
        <v>738</v>
      </c>
      <c r="I2624" s="37" t="str">
        <f>"https://www.dimensional.com.br/terminal-forq-c-iso-f-5mm-15mm2-vm-tpf155/p"</f>
        <v>https://www.dimensional.com.br/terminal-forq-c-iso-f-5mm-15mm2-vm-tpf155/p</v>
      </c>
    </row>
    <row r="2625" spans="1:9" x14ac:dyDescent="0.25">
      <c r="A2625" s="29" t="s">
        <v>131</v>
      </c>
      <c r="B2625" s="29" t="s">
        <v>67</v>
      </c>
      <c r="C2625" s="29" t="s">
        <v>34</v>
      </c>
      <c r="D2625" s="37" t="s">
        <v>2740</v>
      </c>
      <c r="E2625" s="29" t="s">
        <v>579</v>
      </c>
      <c r="F2625" s="29" t="s">
        <v>36</v>
      </c>
      <c r="G2625" s="29">
        <v>0.46</v>
      </c>
      <c r="H2625" s="71" t="s">
        <v>738</v>
      </c>
      <c r="I2625" s="37" t="str">
        <f>"https://www.dimensional.com.br/terminal-eletrico-forquilha-pre-isolado-5mm-25-mm2-azul/p"</f>
        <v>https://www.dimensional.com.br/terminal-eletrico-forquilha-pre-isolado-5mm-25-mm2-azul/p</v>
      </c>
    </row>
    <row r="2626" spans="1:9" x14ac:dyDescent="0.25">
      <c r="A2626" s="29" t="s">
        <v>131</v>
      </c>
      <c r="B2626" s="29" t="s">
        <v>67</v>
      </c>
      <c r="C2626" s="29" t="s">
        <v>34</v>
      </c>
      <c r="D2626" s="37" t="s">
        <v>2741</v>
      </c>
      <c r="E2626" s="29" t="s">
        <v>580</v>
      </c>
      <c r="F2626" s="29" t="s">
        <v>36</v>
      </c>
      <c r="I2626" s="37" t="s">
        <v>37</v>
      </c>
    </row>
    <row r="2627" spans="1:9" x14ac:dyDescent="0.25">
      <c r="A2627" s="29" t="s">
        <v>131</v>
      </c>
      <c r="B2627" s="29" t="s">
        <v>67</v>
      </c>
      <c r="C2627" s="29" t="s">
        <v>34</v>
      </c>
      <c r="D2627" s="37" t="s">
        <v>2742</v>
      </c>
      <c r="E2627" s="29" t="s">
        <v>591</v>
      </c>
      <c r="F2627" s="29" t="s">
        <v>36</v>
      </c>
      <c r="G2627" s="29">
        <v>0.1</v>
      </c>
      <c r="H2627" s="71" t="s">
        <v>738</v>
      </c>
      <c r="I2627" s="37" t="str">
        <f>"https://www.dimensional.com.br/terminal-ilhos-c-iso-0-5mm2-br-ti0-58-intelli/p"</f>
        <v>https://www.dimensional.com.br/terminal-ilhos-c-iso-0-5mm2-br-ti0-58-intelli/p</v>
      </c>
    </row>
    <row r="2628" spans="1:9" x14ac:dyDescent="0.25">
      <c r="A2628" s="29" t="s">
        <v>131</v>
      </c>
      <c r="B2628" s="29" t="s">
        <v>67</v>
      </c>
      <c r="C2628" s="29" t="s">
        <v>34</v>
      </c>
      <c r="D2628" s="37" t="s">
        <v>2743</v>
      </c>
      <c r="E2628" s="29" t="s">
        <v>592</v>
      </c>
      <c r="F2628" s="29" t="s">
        <v>36</v>
      </c>
      <c r="G2628" s="29">
        <v>0.1</v>
      </c>
      <c r="H2628" s="71" t="s">
        <v>734</v>
      </c>
      <c r="I2628" s="37" t="str">
        <f>"https://www.dimensional.com.br/terminal-eletrico-tubular-simples-ilhos-pre-isolado-0-75mm2-cinza-ti0-758-pacote-com-100-pecas-intelli/p"</f>
        <v>https://www.dimensional.com.br/terminal-eletrico-tubular-simples-ilhos-pre-isolado-0-75mm2-cinza-ti0-758-pacote-com-100-pecas-intelli/p</v>
      </c>
    </row>
    <row r="2629" spans="1:9" x14ac:dyDescent="0.25">
      <c r="A2629" s="29" t="s">
        <v>131</v>
      </c>
      <c r="B2629" s="29" t="s">
        <v>67</v>
      </c>
      <c r="C2629" s="29" t="s">
        <v>34</v>
      </c>
      <c r="D2629" s="37" t="s">
        <v>2744</v>
      </c>
      <c r="E2629" s="29" t="s">
        <v>593</v>
      </c>
      <c r="F2629" s="29" t="s">
        <v>36</v>
      </c>
      <c r="G2629" s="29">
        <v>0.11</v>
      </c>
      <c r="H2629" s="71" t="s">
        <v>734</v>
      </c>
      <c r="I2629" s="37" t="str">
        <f>"https://www.dimensional.com.br/terminal-eletrico-tubular-simples-ilhos-pre-isolado-1mm2-vermelho-ti18-pacote-com-100-pecas-intelli/p"</f>
        <v>https://www.dimensional.com.br/terminal-eletrico-tubular-simples-ilhos-pre-isolado-1mm2-vermelho-ti18-pacote-com-100-pecas-intelli/p</v>
      </c>
    </row>
    <row r="2630" spans="1:9" x14ac:dyDescent="0.25">
      <c r="A2630" s="29" t="s">
        <v>131</v>
      </c>
      <c r="B2630" s="29" t="s">
        <v>67</v>
      </c>
      <c r="C2630" s="29" t="s">
        <v>34</v>
      </c>
      <c r="D2630" s="37" t="s">
        <v>2745</v>
      </c>
      <c r="E2630" s="29" t="s">
        <v>594</v>
      </c>
      <c r="F2630" s="29" t="s">
        <v>36</v>
      </c>
      <c r="G2630" s="29">
        <v>0.14000000000000001</v>
      </c>
      <c r="H2630" s="71" t="s">
        <v>738</v>
      </c>
      <c r="I2630" s="37" t="str">
        <f>"https://www.dimensional.com.br/terminal-eletrico-tubular-simples-ilhos-pre-isolado-1-5mm2-preto-ti1-58-pacote-com-100-pecas-intelli/p"</f>
        <v>https://www.dimensional.com.br/terminal-eletrico-tubular-simples-ilhos-pre-isolado-1-5mm2-preto-ti1-58-pacote-com-100-pecas-intelli/p</v>
      </c>
    </row>
    <row r="2631" spans="1:9" x14ac:dyDescent="0.25">
      <c r="A2631" s="29" t="s">
        <v>131</v>
      </c>
      <c r="B2631" s="29" t="s">
        <v>67</v>
      </c>
      <c r="C2631" s="29" t="s">
        <v>34</v>
      </c>
      <c r="D2631" s="37" t="s">
        <v>2746</v>
      </c>
      <c r="E2631" s="29" t="s">
        <v>600</v>
      </c>
      <c r="F2631" s="29" t="s">
        <v>36</v>
      </c>
      <c r="G2631" s="29">
        <v>0.17</v>
      </c>
      <c r="H2631" s="71" t="s">
        <v>800</v>
      </c>
      <c r="I2631" s="37" t="str">
        <f>"https://www.axxesmat.com.br/terminal-ilhos-pre-isolado-10-0mm2-condutor-12-0mm-100-pecas-penzel-vermelho"</f>
        <v>https://www.axxesmat.com.br/terminal-ilhos-pre-isolado-10-0mm2-condutor-12-0mm-100-pecas-penzel-vermelho</v>
      </c>
    </row>
    <row r="2632" spans="1:9" x14ac:dyDescent="0.25">
      <c r="A2632" s="29" t="s">
        <v>131</v>
      </c>
      <c r="B2632" s="29" t="s">
        <v>67</v>
      </c>
      <c r="C2632" s="29" t="s">
        <v>34</v>
      </c>
      <c r="D2632" s="37" t="s">
        <v>2747</v>
      </c>
      <c r="E2632" s="29" t="s">
        <v>601</v>
      </c>
      <c r="F2632" s="29" t="s">
        <v>36</v>
      </c>
      <c r="G2632" s="29">
        <v>0.53</v>
      </c>
      <c r="H2632" s="71" t="s">
        <v>738</v>
      </c>
      <c r="I2632" s="37" t="str">
        <f>"https://www.dimensional.com.br/terminal-ilhos-c-iso-10mm2-vm-ti1018-intelli/p"</f>
        <v>https://www.dimensional.com.br/terminal-ilhos-c-iso-10mm2-vm-ti1018-intelli/p</v>
      </c>
    </row>
    <row r="2633" spans="1:9" x14ac:dyDescent="0.25">
      <c r="A2633" s="29" t="s">
        <v>131</v>
      </c>
      <c r="B2633" s="29" t="s">
        <v>67</v>
      </c>
      <c r="C2633" s="29" t="s">
        <v>34</v>
      </c>
      <c r="D2633" s="37" t="s">
        <v>2748</v>
      </c>
      <c r="E2633" s="29" t="s">
        <v>602</v>
      </c>
      <c r="F2633" s="29" t="s">
        <v>36</v>
      </c>
      <c r="G2633" s="29">
        <v>0.77</v>
      </c>
      <c r="H2633" s="71" t="s">
        <v>738</v>
      </c>
      <c r="I2633" s="37" t="str">
        <f>"https://www.dimensional.com.br/terminal-ilhos-c-iso-10mm2-vm-ti1022-intelli/p"</f>
        <v>https://www.dimensional.com.br/terminal-ilhos-c-iso-10mm2-vm-ti1022-intelli/p</v>
      </c>
    </row>
    <row r="2634" spans="1:9" x14ac:dyDescent="0.25">
      <c r="A2634" s="29" t="s">
        <v>131</v>
      </c>
      <c r="B2634" s="29" t="s">
        <v>67</v>
      </c>
      <c r="C2634" s="29" t="s">
        <v>34</v>
      </c>
      <c r="D2634" s="37" t="s">
        <v>2749</v>
      </c>
      <c r="E2634" s="29" t="s">
        <v>615</v>
      </c>
      <c r="F2634" s="29" t="s">
        <v>36</v>
      </c>
      <c r="G2634" s="29">
        <v>9.09</v>
      </c>
      <c r="H2634" s="71" t="s">
        <v>738</v>
      </c>
      <c r="I2634" s="37" t="str">
        <f>"https://www.dimensional.com.br/terminal-ilhos-c-iso-120mm2-az-ti12027-intelli/p"</f>
        <v>https://www.dimensional.com.br/terminal-ilhos-c-iso-120mm2-az-ti12027-intelli/p</v>
      </c>
    </row>
    <row r="2635" spans="1:9" x14ac:dyDescent="0.25">
      <c r="A2635" s="29" t="s">
        <v>131</v>
      </c>
      <c r="B2635" s="29" t="s">
        <v>67</v>
      </c>
      <c r="C2635" s="29" t="s">
        <v>34</v>
      </c>
      <c r="D2635" s="37" t="s">
        <v>2750</v>
      </c>
      <c r="E2635" s="29" t="s">
        <v>616</v>
      </c>
      <c r="F2635" s="29" t="s">
        <v>36</v>
      </c>
      <c r="G2635" s="29">
        <v>11.99</v>
      </c>
      <c r="H2635" s="71" t="s">
        <v>738</v>
      </c>
      <c r="I2635" s="37" t="str">
        <f>"https://www.dimensional.com.br/terminal-ilhos-c-iso-150mm2-am-ti15032-intelli/p"</f>
        <v>https://www.dimensional.com.br/terminal-ilhos-c-iso-150mm2-am-ti15032-intelli/p</v>
      </c>
    </row>
    <row r="2636" spans="1:9" x14ac:dyDescent="0.25">
      <c r="A2636" s="29" t="s">
        <v>131</v>
      </c>
      <c r="B2636" s="29" t="s">
        <v>67</v>
      </c>
      <c r="C2636" s="29" t="s">
        <v>34</v>
      </c>
      <c r="D2636" s="37" t="s">
        <v>2751</v>
      </c>
      <c r="E2636" s="29" t="s">
        <v>603</v>
      </c>
      <c r="F2636" s="29" t="s">
        <v>36</v>
      </c>
      <c r="I2636" s="37" t="s">
        <v>37</v>
      </c>
    </row>
    <row r="2637" spans="1:9" x14ac:dyDescent="0.25">
      <c r="A2637" s="29" t="s">
        <v>131</v>
      </c>
      <c r="B2637" s="29" t="s">
        <v>67</v>
      </c>
      <c r="C2637" s="29" t="s">
        <v>34</v>
      </c>
      <c r="D2637" s="37" t="s">
        <v>2752</v>
      </c>
      <c r="E2637" s="29" t="s">
        <v>604</v>
      </c>
      <c r="F2637" s="29" t="s">
        <v>36</v>
      </c>
      <c r="G2637" s="29">
        <v>0.8</v>
      </c>
      <c r="H2637" s="71" t="s">
        <v>738</v>
      </c>
      <c r="I2637" s="37" t="str">
        <f>"https://www.dimensional.com.br/terminal-ilhos-c-iso-16mm2-az-ti1618-intelli/p"</f>
        <v>https://www.dimensional.com.br/terminal-ilhos-c-iso-16mm2-az-ti1618-intelli/p</v>
      </c>
    </row>
    <row r="2638" spans="1:9" x14ac:dyDescent="0.25">
      <c r="A2638" s="29" t="s">
        <v>131</v>
      </c>
      <c r="B2638" s="29" t="s">
        <v>67</v>
      </c>
      <c r="C2638" s="29" t="s">
        <v>34</v>
      </c>
      <c r="D2638" s="37" t="s">
        <v>2753</v>
      </c>
      <c r="E2638" s="29" t="s">
        <v>605</v>
      </c>
      <c r="F2638" s="29" t="s">
        <v>36</v>
      </c>
      <c r="G2638" s="29">
        <v>0.78</v>
      </c>
      <c r="H2638" s="71" t="s">
        <v>738</v>
      </c>
      <c r="I2638" s="37" t="str">
        <f>"https://www.dimensional.com.br/terminal-ilhos-c-iso-16mm2-az-ti1622-intelli/p"</f>
        <v>https://www.dimensional.com.br/terminal-ilhos-c-iso-16mm2-az-ti1622-intelli/p</v>
      </c>
    </row>
    <row r="2639" spans="1:9" x14ac:dyDescent="0.25">
      <c r="A2639" s="29" t="s">
        <v>131</v>
      </c>
      <c r="B2639" s="29" t="s">
        <v>67</v>
      </c>
      <c r="C2639" s="29" t="s">
        <v>34</v>
      </c>
      <c r="D2639" s="37" t="s">
        <v>2754</v>
      </c>
      <c r="E2639" s="29" t="s">
        <v>596</v>
      </c>
      <c r="F2639" s="29" t="s">
        <v>36</v>
      </c>
      <c r="G2639" s="29">
        <v>0.15</v>
      </c>
      <c r="H2639" s="71" t="s">
        <v>734</v>
      </c>
      <c r="I2639" s="37" t="str">
        <f>"https://www.dimensional.com.br/terminal-ilhos-c-iso-2-5mm2-az-ti2-510-intelli/p"</f>
        <v>https://www.dimensional.com.br/terminal-ilhos-c-iso-2-5mm2-az-ti2-510-intelli/p</v>
      </c>
    </row>
    <row r="2640" spans="1:9" x14ac:dyDescent="0.25">
      <c r="A2640" s="29" t="s">
        <v>131</v>
      </c>
      <c r="B2640" s="29" t="s">
        <v>67</v>
      </c>
      <c r="C2640" s="29" t="s">
        <v>34</v>
      </c>
      <c r="D2640" s="37" t="s">
        <v>2755</v>
      </c>
      <c r="E2640" s="29" t="s">
        <v>595</v>
      </c>
      <c r="F2640" s="29" t="s">
        <v>36</v>
      </c>
      <c r="G2640" s="29">
        <v>0.14000000000000001</v>
      </c>
      <c r="H2640" s="71" t="s">
        <v>738</v>
      </c>
      <c r="I2640" s="37" t="str">
        <f>"https://www.dimensional.com.br/terminal-eletrico-tubular-simples-ilhos-pre-isolado-2-5mm2-azul-ti2-58-pacote-com-100-pecas-intelli/p"</f>
        <v>https://www.dimensional.com.br/terminal-eletrico-tubular-simples-ilhos-pre-isolado-2-5mm2-azul-ti2-58-pacote-com-100-pecas-intelli/p</v>
      </c>
    </row>
    <row r="2641" spans="1:9" x14ac:dyDescent="0.25">
      <c r="A2641" s="29" t="s">
        <v>131</v>
      </c>
      <c r="B2641" s="29" t="s">
        <v>67</v>
      </c>
      <c r="C2641" s="29" t="s">
        <v>34</v>
      </c>
      <c r="D2641" s="37" t="s">
        <v>2756</v>
      </c>
      <c r="E2641" s="29" t="s">
        <v>606</v>
      </c>
      <c r="F2641" s="29" t="s">
        <v>36</v>
      </c>
      <c r="G2641" s="29">
        <v>0.76</v>
      </c>
      <c r="H2641" s="71" t="s">
        <v>734</v>
      </c>
      <c r="I2641" s="37" t="str">
        <f>"https://www.dimensional.com.br/terminal-eletrico-tubular-simples-ilhos-pre-isolado-25mm2-amarelo-ti2516-pacote-com-100-pecas-intelli/p"</f>
        <v>https://www.dimensional.com.br/terminal-eletrico-tubular-simples-ilhos-pre-isolado-25mm2-amarelo-ti2516-pacote-com-100-pecas-intelli/p</v>
      </c>
    </row>
    <row r="2642" spans="1:9" x14ac:dyDescent="0.25">
      <c r="A2642" s="29" t="s">
        <v>131</v>
      </c>
      <c r="B2642" s="29" t="s">
        <v>67</v>
      </c>
      <c r="C2642" s="29" t="s">
        <v>34</v>
      </c>
      <c r="D2642" s="37" t="s">
        <v>2757</v>
      </c>
      <c r="E2642" s="29" t="s">
        <v>607</v>
      </c>
      <c r="F2642" s="29" t="s">
        <v>36</v>
      </c>
      <c r="G2642" s="29">
        <v>1.0900000000000001</v>
      </c>
      <c r="H2642" s="71" t="s">
        <v>738</v>
      </c>
      <c r="I2642" s="37" t="str">
        <f>"https://www.dimensional.com.br/terminal-ilhos-c-iso-25mm2-am-ti2522-intelli/p"</f>
        <v>https://www.dimensional.com.br/terminal-ilhos-c-iso-25mm2-am-ti2522-intelli/p</v>
      </c>
    </row>
    <row r="2643" spans="1:9" x14ac:dyDescent="0.25">
      <c r="A2643" s="29" t="s">
        <v>131</v>
      </c>
      <c r="B2643" s="29" t="s">
        <v>67</v>
      </c>
      <c r="C2643" s="29" t="s">
        <v>34</v>
      </c>
      <c r="D2643" s="37" t="s">
        <v>2758</v>
      </c>
      <c r="E2643" s="29" t="s">
        <v>608</v>
      </c>
      <c r="F2643" s="29" t="s">
        <v>36</v>
      </c>
      <c r="G2643" s="29">
        <v>0.98</v>
      </c>
      <c r="H2643" s="71" t="s">
        <v>734</v>
      </c>
      <c r="I2643" s="37" t="str">
        <f>"https://www.dimensional.com.br/terminal-eletrico-tubular-simples-ilhos-pre-isolado-35mm2-vermelho-ti3516-pacote-com-100-pecas-intelli/p"</f>
        <v>https://www.dimensional.com.br/terminal-eletrico-tubular-simples-ilhos-pre-isolado-35mm2-vermelho-ti3516-pacote-com-100-pecas-intelli/p</v>
      </c>
    </row>
    <row r="2644" spans="1:9" x14ac:dyDescent="0.25">
      <c r="A2644" s="29" t="s">
        <v>131</v>
      </c>
      <c r="B2644" s="29" t="s">
        <v>67</v>
      </c>
      <c r="C2644" s="29" t="s">
        <v>34</v>
      </c>
      <c r="D2644" s="37" t="s">
        <v>2759</v>
      </c>
      <c r="E2644" s="29" t="s">
        <v>609</v>
      </c>
      <c r="F2644" s="29" t="s">
        <v>36</v>
      </c>
      <c r="I2644" s="37" t="s">
        <v>37</v>
      </c>
    </row>
    <row r="2645" spans="1:9" x14ac:dyDescent="0.25">
      <c r="A2645" s="29" t="s">
        <v>131</v>
      </c>
      <c r="B2645" s="29" t="s">
        <v>67</v>
      </c>
      <c r="C2645" s="29" t="s">
        <v>34</v>
      </c>
      <c r="D2645" s="37" t="s">
        <v>2760</v>
      </c>
      <c r="E2645" s="29" t="s">
        <v>597</v>
      </c>
      <c r="F2645" s="29" t="s">
        <v>36</v>
      </c>
      <c r="G2645" s="29">
        <v>0.24</v>
      </c>
      <c r="H2645" s="71" t="s">
        <v>734</v>
      </c>
      <c r="I2645" s="37" t="str">
        <f>"https://www.dimensional.com.br/terminal-ilhos-c-iso-4mm2-cz-ti412-intelli/p"</f>
        <v>https://www.dimensional.com.br/terminal-ilhos-c-iso-4mm2-cz-ti412-intelli/p</v>
      </c>
    </row>
    <row r="2646" spans="1:9" x14ac:dyDescent="0.25">
      <c r="A2646" s="29" t="s">
        <v>131</v>
      </c>
      <c r="B2646" s="29" t="s">
        <v>67</v>
      </c>
      <c r="C2646" s="29" t="s">
        <v>34</v>
      </c>
      <c r="D2646" s="37" t="s">
        <v>2761</v>
      </c>
      <c r="E2646" s="29" t="s">
        <v>610</v>
      </c>
      <c r="F2646" s="29" t="s">
        <v>36</v>
      </c>
      <c r="G2646" s="29">
        <v>2.09</v>
      </c>
      <c r="H2646" s="71" t="s">
        <v>738</v>
      </c>
      <c r="I2646" s="37" t="str">
        <f>"https://www.dimensional.com.br/terminal-ilhos-c-iso-50mm2-az-ti5020-intelli/p"</f>
        <v>https://www.dimensional.com.br/terminal-ilhos-c-iso-50mm2-az-ti5020-intelli/p</v>
      </c>
    </row>
    <row r="2647" spans="1:9" x14ac:dyDescent="0.25">
      <c r="A2647" s="29" t="s">
        <v>131</v>
      </c>
      <c r="B2647" s="29" t="s">
        <v>67</v>
      </c>
      <c r="C2647" s="29" t="s">
        <v>34</v>
      </c>
      <c r="D2647" s="37" t="s">
        <v>2762</v>
      </c>
      <c r="E2647" s="29" t="s">
        <v>611</v>
      </c>
      <c r="F2647" s="29" t="s">
        <v>36</v>
      </c>
      <c r="G2647" s="29">
        <v>2.69</v>
      </c>
      <c r="H2647" s="71" t="s">
        <v>738</v>
      </c>
      <c r="I2647" s="37" t="str">
        <f>"https://www.dimensional.com.br/terminal-ilhos-c-iso-50mm2-az-ti5025-intelli/p"</f>
        <v>https://www.dimensional.com.br/terminal-ilhos-c-iso-50mm2-az-ti5025-intelli/p</v>
      </c>
    </row>
    <row r="2648" spans="1:9" x14ac:dyDescent="0.25">
      <c r="A2648" s="29" t="s">
        <v>131</v>
      </c>
      <c r="B2648" s="29" t="s">
        <v>67</v>
      </c>
      <c r="C2648" s="29" t="s">
        <v>34</v>
      </c>
      <c r="D2648" s="37" t="s">
        <v>2763</v>
      </c>
      <c r="E2648" s="29" t="s">
        <v>598</v>
      </c>
      <c r="F2648" s="29" t="s">
        <v>36</v>
      </c>
      <c r="G2648" s="29">
        <v>0.28999999999999998</v>
      </c>
      <c r="H2648" s="71" t="s">
        <v>738</v>
      </c>
      <c r="I2648" s="37" t="str">
        <f>"https://www.dimensional.com.br/terminal-ilhos-c-iso-6mm2-am-ti612/p"</f>
        <v>https://www.dimensional.com.br/terminal-ilhos-c-iso-6mm2-am-ti612/p</v>
      </c>
    </row>
    <row r="2649" spans="1:9" x14ac:dyDescent="0.25">
      <c r="A2649" s="29" t="s">
        <v>131</v>
      </c>
      <c r="B2649" s="29" t="s">
        <v>67</v>
      </c>
      <c r="C2649" s="29" t="s">
        <v>34</v>
      </c>
      <c r="D2649" s="37" t="s">
        <v>2764</v>
      </c>
      <c r="E2649" s="29" t="s">
        <v>599</v>
      </c>
      <c r="F2649" s="29" t="s">
        <v>36</v>
      </c>
      <c r="G2649" s="29">
        <v>0.5</v>
      </c>
      <c r="H2649" s="71" t="s">
        <v>738</v>
      </c>
      <c r="I2649" s="37" t="str">
        <f>"https://www.dimensional.com.br/terminal-ilhos-c-iso-6mm2-am-ti622-intelli/p"</f>
        <v>https://www.dimensional.com.br/terminal-ilhos-c-iso-6mm2-am-ti622-intelli/p</v>
      </c>
    </row>
    <row r="2650" spans="1:9" x14ac:dyDescent="0.25">
      <c r="A2650" s="29" t="s">
        <v>131</v>
      </c>
      <c r="B2650" s="29" t="s">
        <v>67</v>
      </c>
      <c r="C2650" s="29" t="s">
        <v>34</v>
      </c>
      <c r="D2650" s="37" t="s">
        <v>2765</v>
      </c>
      <c r="E2650" s="29" t="s">
        <v>612</v>
      </c>
      <c r="F2650" s="29" t="s">
        <v>36</v>
      </c>
      <c r="G2650" s="29">
        <v>3.5</v>
      </c>
      <c r="H2650" s="71" t="s">
        <v>738</v>
      </c>
      <c r="I2650" s="37" t="str">
        <f>"https://www.dimensional.com.br/terminal-ilhos-c-iso-70mm2-am-ti7020-intelli/p"</f>
        <v>https://www.dimensional.com.br/terminal-ilhos-c-iso-70mm2-am-ti7020-intelli/p</v>
      </c>
    </row>
    <row r="2651" spans="1:9" x14ac:dyDescent="0.25">
      <c r="A2651" s="29" t="s">
        <v>131</v>
      </c>
      <c r="B2651" s="29" t="s">
        <v>67</v>
      </c>
      <c r="C2651" s="29" t="s">
        <v>34</v>
      </c>
      <c r="D2651" s="37" t="s">
        <v>2766</v>
      </c>
      <c r="E2651" s="29" t="s">
        <v>613</v>
      </c>
      <c r="F2651" s="29" t="s">
        <v>36</v>
      </c>
      <c r="G2651" s="29">
        <v>4.1900000000000004</v>
      </c>
      <c r="H2651" s="71" t="s">
        <v>738</v>
      </c>
      <c r="I2651" s="37" t="str">
        <f>"https://www.dimensional.com.br/terminal-ilhos-c-iso-70mm2-am-ti7025-intelli/p"</f>
        <v>https://www.dimensional.com.br/terminal-ilhos-c-iso-70mm2-am-ti7025-intelli/p</v>
      </c>
    </row>
    <row r="2652" spans="1:9" x14ac:dyDescent="0.25">
      <c r="A2652" s="29" t="s">
        <v>131</v>
      </c>
      <c r="B2652" s="29" t="s">
        <v>67</v>
      </c>
      <c r="C2652" s="29" t="s">
        <v>34</v>
      </c>
      <c r="D2652" s="37" t="s">
        <v>2767</v>
      </c>
      <c r="E2652" s="29" t="s">
        <v>614</v>
      </c>
      <c r="F2652" s="29" t="s">
        <v>36</v>
      </c>
      <c r="G2652" s="29">
        <v>4.8499999999999996</v>
      </c>
      <c r="H2652" s="71" t="s">
        <v>738</v>
      </c>
      <c r="I2652" s="37" t="str">
        <f>"https://www.dimensional.com.br/terminal-ilhos-c-iso-95mm2-vm-ti9525-intelli/p"</f>
        <v>https://www.dimensional.com.br/terminal-ilhos-c-iso-95mm2-vm-ti9525-intelli/p</v>
      </c>
    </row>
    <row r="2653" spans="1:9" x14ac:dyDescent="0.25">
      <c r="A2653" s="29" t="s">
        <v>131</v>
      </c>
      <c r="B2653" s="29" t="s">
        <v>67</v>
      </c>
      <c r="C2653" s="29" t="s">
        <v>34</v>
      </c>
      <c r="D2653" s="37" t="s">
        <v>2768</v>
      </c>
      <c r="E2653" s="29" t="s">
        <v>617</v>
      </c>
      <c r="F2653" s="29" t="s">
        <v>36</v>
      </c>
      <c r="G2653" s="29">
        <v>0.15</v>
      </c>
      <c r="H2653" s="71" t="s">
        <v>734</v>
      </c>
      <c r="I2653" s="37" t="str">
        <f>"https://www.dimensional.com.br/terminal-ilhos-dup-c-iso-0-5mm2-br-tid0-58-intelli/p"</f>
        <v>https://www.dimensional.com.br/terminal-ilhos-dup-c-iso-0-5mm2-br-tid0-58-intelli/p</v>
      </c>
    </row>
    <row r="2654" spans="1:9" x14ac:dyDescent="0.25">
      <c r="A2654" s="29" t="s">
        <v>131</v>
      </c>
      <c r="B2654" s="29" t="s">
        <v>67</v>
      </c>
      <c r="C2654" s="29" t="s">
        <v>34</v>
      </c>
      <c r="D2654" s="37" t="s">
        <v>2769</v>
      </c>
      <c r="E2654" s="29" t="s">
        <v>618</v>
      </c>
      <c r="F2654" s="29" t="s">
        <v>36</v>
      </c>
      <c r="G2654" s="29">
        <v>0.15</v>
      </c>
      <c r="H2654" s="71" t="s">
        <v>738</v>
      </c>
      <c r="I2654" s="37" t="str">
        <f>"https://www.dimensional.com.br/terminal-ilhos-dup-c-iso-0-75mm2-cz-tid0-758-intelli/p"</f>
        <v>https://www.dimensional.com.br/terminal-ilhos-dup-c-iso-0-75mm2-cz-tid0-758-intelli/p</v>
      </c>
    </row>
    <row r="2655" spans="1:9" x14ac:dyDescent="0.25">
      <c r="A2655" s="29" t="s">
        <v>131</v>
      </c>
      <c r="B2655" s="29" t="s">
        <v>67</v>
      </c>
      <c r="C2655" s="29" t="s">
        <v>34</v>
      </c>
      <c r="D2655" s="37" t="s">
        <v>2770</v>
      </c>
      <c r="E2655" s="29" t="s">
        <v>619</v>
      </c>
      <c r="F2655" s="29" t="s">
        <v>36</v>
      </c>
      <c r="G2655" s="29">
        <v>0.13</v>
      </c>
      <c r="H2655" s="71" t="s">
        <v>800</v>
      </c>
      <c r="I2655" s="37" t="str">
        <f>"https://www.axxesmat.com.br/terminal-ilhos-duplos-pre-isolado-1-0mm2-condutor-8-mm-100-pecas-penzel-vermelho"</f>
        <v>https://www.axxesmat.com.br/terminal-ilhos-duplos-pre-isolado-1-0mm2-condutor-8-mm-100-pecas-penzel-vermelho</v>
      </c>
    </row>
    <row r="2656" spans="1:9" x14ac:dyDescent="0.25">
      <c r="A2656" s="29" t="s">
        <v>131</v>
      </c>
      <c r="B2656" s="29" t="s">
        <v>67</v>
      </c>
      <c r="C2656" s="29" t="s">
        <v>34</v>
      </c>
      <c r="D2656" s="37" t="s">
        <v>2771</v>
      </c>
      <c r="E2656" s="29" t="s">
        <v>620</v>
      </c>
      <c r="F2656" s="29" t="s">
        <v>36</v>
      </c>
      <c r="G2656" s="29">
        <v>0.21</v>
      </c>
      <c r="H2656" s="71" t="s">
        <v>738</v>
      </c>
      <c r="I2656" s="37" t="str">
        <f>"https://www.dimensional.com.br/terminal-ilhos-dup-c-iso-1-5mm2-pt-tid1-58-intelli/p"</f>
        <v>https://www.dimensional.com.br/terminal-ilhos-dup-c-iso-1-5mm2-pt-tid1-58-intelli/p</v>
      </c>
    </row>
    <row r="2657" spans="1:9" x14ac:dyDescent="0.25">
      <c r="A2657" s="29" t="s">
        <v>131</v>
      </c>
      <c r="B2657" s="29" t="s">
        <v>67</v>
      </c>
      <c r="C2657" s="29" t="s">
        <v>34</v>
      </c>
      <c r="D2657" s="37" t="s">
        <v>2772</v>
      </c>
      <c r="E2657" s="29" t="s">
        <v>624</v>
      </c>
      <c r="F2657" s="29" t="s">
        <v>36</v>
      </c>
      <c r="G2657" s="29">
        <v>0.88</v>
      </c>
      <c r="H2657" s="71" t="s">
        <v>734</v>
      </c>
      <c r="I2657" s="37" t="str">
        <f>"https://www.dimensional.com.br/terminal-ilhos-dup-c-iso-10mm2-vm-tid1014-intelli/p"</f>
        <v>https://www.dimensional.com.br/terminal-ilhos-dup-c-iso-10mm2-vm-tid1014-intelli/p</v>
      </c>
    </row>
    <row r="2658" spans="1:9" x14ac:dyDescent="0.25">
      <c r="A2658" s="29" t="s">
        <v>131</v>
      </c>
      <c r="B2658" s="29" t="s">
        <v>67</v>
      </c>
      <c r="C2658" s="29" t="s">
        <v>34</v>
      </c>
      <c r="D2658" s="37" t="s">
        <v>2773</v>
      </c>
      <c r="E2658" s="29" t="s">
        <v>625</v>
      </c>
      <c r="F2658" s="29" t="s">
        <v>36</v>
      </c>
      <c r="G2658" s="29">
        <v>1.29</v>
      </c>
      <c r="H2658" s="71" t="s">
        <v>738</v>
      </c>
      <c r="I2658" s="37" t="str">
        <f>"https://www.dimensional.com.br/terminal-ilhos-dup-c-iso-16mm2-az-tid1614-intelli/p"</f>
        <v>https://www.dimensional.com.br/terminal-ilhos-dup-c-iso-16mm2-az-tid1614-intelli/p</v>
      </c>
    </row>
    <row r="2659" spans="1:9" x14ac:dyDescent="0.25">
      <c r="A2659" s="29" t="s">
        <v>131</v>
      </c>
      <c r="B2659" s="29" t="s">
        <v>67</v>
      </c>
      <c r="C2659" s="29" t="s">
        <v>34</v>
      </c>
      <c r="D2659" s="37" t="s">
        <v>2774</v>
      </c>
      <c r="E2659" s="29" t="s">
        <v>621</v>
      </c>
      <c r="F2659" s="29" t="s">
        <v>36</v>
      </c>
      <c r="G2659" s="29">
        <v>0.31</v>
      </c>
      <c r="H2659" s="71" t="s">
        <v>734</v>
      </c>
      <c r="I2659" s="37" t="str">
        <f>"https://www.dimensional.com.br/terminal-ilhos-dup-c-iso-2-5mm2-az-tid2-510-intelli/p"</f>
        <v>https://www.dimensional.com.br/terminal-ilhos-dup-c-iso-2-5mm2-az-tid2-510-intelli/p</v>
      </c>
    </row>
    <row r="2660" spans="1:9" x14ac:dyDescent="0.25">
      <c r="A2660" s="29" t="s">
        <v>131</v>
      </c>
      <c r="B2660" s="29" t="s">
        <v>67</v>
      </c>
      <c r="C2660" s="29" t="s">
        <v>34</v>
      </c>
      <c r="D2660" s="37" t="s">
        <v>2775</v>
      </c>
      <c r="E2660" s="29" t="s">
        <v>622</v>
      </c>
      <c r="F2660" s="29" t="s">
        <v>36</v>
      </c>
      <c r="G2660" s="29">
        <v>0.09</v>
      </c>
      <c r="H2660" s="71" t="s">
        <v>800</v>
      </c>
      <c r="I2660" s="37" t="str">
        <f>"https://www.axxesmat.com.br/terminal-ilhos-pre-isolado-4-0mm2-condutor-12-0mm-100-pecas-penzel-cinza"</f>
        <v>https://www.axxesmat.com.br/terminal-ilhos-pre-isolado-4-0mm2-condutor-12-0mm-100-pecas-penzel-cinza</v>
      </c>
    </row>
    <row r="2661" spans="1:9" x14ac:dyDescent="0.25">
      <c r="A2661" s="29" t="s">
        <v>131</v>
      </c>
      <c r="B2661" s="29" t="s">
        <v>67</v>
      </c>
      <c r="C2661" s="29" t="s">
        <v>34</v>
      </c>
      <c r="D2661" s="37" t="s">
        <v>2776</v>
      </c>
      <c r="E2661" s="29" t="s">
        <v>623</v>
      </c>
      <c r="F2661" s="29" t="s">
        <v>36</v>
      </c>
      <c r="G2661" s="29">
        <v>0.32</v>
      </c>
      <c r="H2661" s="71" t="s">
        <v>800</v>
      </c>
      <c r="I2661" s="37" t="str">
        <f>"https://www.axxesmat.com.br/terminal-ilhos-duplos-pre-isolado-6-0mm2-condutor-14-0mm-100-pecas-penzel-amarelo"</f>
        <v>https://www.axxesmat.com.br/terminal-ilhos-duplos-pre-isolado-6-0mm2-condutor-14-0mm-100-pecas-penzel-amarelo</v>
      </c>
    </row>
    <row r="2662" spans="1:9" x14ac:dyDescent="0.25">
      <c r="A2662" s="29" t="s">
        <v>131</v>
      </c>
      <c r="B2662" s="29" t="s">
        <v>67</v>
      </c>
      <c r="C2662" s="29" t="s">
        <v>34</v>
      </c>
      <c r="D2662" s="37" t="s">
        <v>2777</v>
      </c>
      <c r="E2662" s="29" t="s">
        <v>582</v>
      </c>
      <c r="F2662" s="29" t="s">
        <v>36</v>
      </c>
      <c r="G2662" s="29">
        <v>0.4</v>
      </c>
      <c r="H2662" s="71" t="s">
        <v>738</v>
      </c>
      <c r="I2662" s="37" t="str">
        <f>"https://www.dimensional.com.br/terminal-macho-cob-c-iso-f-6-4mm-1mm2-vm-ma1-56-intelli/p"</f>
        <v>https://www.dimensional.com.br/terminal-macho-cob-c-iso-f-6-4mm-1mm2-vm-ma1-56-intelli/p</v>
      </c>
    </row>
    <row r="2663" spans="1:9" x14ac:dyDescent="0.25">
      <c r="A2663" s="29" t="s">
        <v>131</v>
      </c>
      <c r="B2663" s="29" t="s">
        <v>67</v>
      </c>
      <c r="C2663" s="29" t="s">
        <v>34</v>
      </c>
      <c r="D2663" s="37" t="s">
        <v>2778</v>
      </c>
      <c r="E2663" s="29" t="s">
        <v>584</v>
      </c>
      <c r="F2663" s="29" t="s">
        <v>36</v>
      </c>
      <c r="G2663" s="29">
        <v>0.37</v>
      </c>
      <c r="H2663" s="71" t="s">
        <v>738</v>
      </c>
      <c r="I2663" s="37" t="str">
        <f>"https://www.dimensional.com.br/terminal-eletrico-macho-pre-isolado-1-5-2-5mm2-azul-ma2-56-intelli/p"</f>
        <v>https://www.dimensional.com.br/terminal-eletrico-macho-pre-isolado-1-5-2-5mm2-azul-ma2-56-intelli/p</v>
      </c>
    </row>
    <row r="2664" spans="1:9" x14ac:dyDescent="0.25">
      <c r="A2664" s="29" t="s">
        <v>131</v>
      </c>
      <c r="B2664" s="29" t="s">
        <v>67</v>
      </c>
      <c r="C2664" s="29" t="s">
        <v>34</v>
      </c>
      <c r="D2664" s="37" t="s">
        <v>2779</v>
      </c>
      <c r="E2664" s="29" t="s">
        <v>586</v>
      </c>
      <c r="F2664" s="29" t="s">
        <v>36</v>
      </c>
      <c r="G2664" s="29">
        <v>0.55000000000000004</v>
      </c>
      <c r="H2664" s="71" t="s">
        <v>800</v>
      </c>
      <c r="I2664" s="37" t="str">
        <f>"https://www.anhangueraferramentas.com.br/produto/terminal-pre-isolado-tipo-macho-4-0-6-0mm-6mm-amarelo-20-pecas-ma-6-6-intelli-142775"</f>
        <v>https://www.anhangueraferramentas.com.br/produto/terminal-pre-isolado-tipo-macho-4-0-6-0mm-6mm-amarelo-20-pecas-ma-6-6-intelli-142775</v>
      </c>
    </row>
    <row r="2665" spans="1:9" x14ac:dyDescent="0.25">
      <c r="A2665" s="29" t="s">
        <v>131</v>
      </c>
      <c r="B2665" s="29" t="s">
        <v>67</v>
      </c>
      <c r="C2665" s="29" t="s">
        <v>34</v>
      </c>
      <c r="D2665" s="37" t="s">
        <v>2780</v>
      </c>
      <c r="E2665" s="29" t="s">
        <v>558</v>
      </c>
      <c r="F2665" s="29" t="s">
        <v>36</v>
      </c>
      <c r="G2665" s="29">
        <v>1.19</v>
      </c>
      <c r="H2665" s="71" t="s">
        <v>734</v>
      </c>
      <c r="I2665" s="37" t="str">
        <f>"https://www.dimensional.com.br/terminal-olhal-c-iso-f-10mm-6mm2-am-tp610/p"</f>
        <v>https://www.dimensional.com.br/terminal-olhal-c-iso-f-10mm-6mm2-am-tp610/p</v>
      </c>
    </row>
    <row r="2666" spans="1:9" x14ac:dyDescent="0.25">
      <c r="A2666" s="29" t="s">
        <v>131</v>
      </c>
      <c r="B2666" s="29" t="s">
        <v>67</v>
      </c>
      <c r="C2666" s="29" t="s">
        <v>34</v>
      </c>
      <c r="D2666" s="37" t="s">
        <v>2781</v>
      </c>
      <c r="E2666" s="29" t="s">
        <v>735</v>
      </c>
      <c r="F2666" s="29" t="s">
        <v>36</v>
      </c>
      <c r="G2666" s="29">
        <v>0.45</v>
      </c>
      <c r="H2666" s="71" t="s">
        <v>734</v>
      </c>
      <c r="I2666" s="37" t="str">
        <f>"https://www.dimensional.com.br/terminal-olhal-c-iso-f-5mm-25mm2-az-tp255/p"</f>
        <v>https://www.dimensional.com.br/terminal-olhal-c-iso-f-5mm-25mm2-az-tp255/p</v>
      </c>
    </row>
    <row r="2667" spans="1:9" x14ac:dyDescent="0.25">
      <c r="A2667" s="29" t="s">
        <v>131</v>
      </c>
      <c r="B2667" s="29" t="s">
        <v>67</v>
      </c>
      <c r="C2667" s="29" t="s">
        <v>34</v>
      </c>
      <c r="D2667" s="37" t="s">
        <v>2782</v>
      </c>
      <c r="E2667" s="29" t="s">
        <v>737</v>
      </c>
      <c r="F2667" s="29" t="s">
        <v>36</v>
      </c>
      <c r="G2667" s="29">
        <v>0.92</v>
      </c>
      <c r="H2667" s="71" t="s">
        <v>734</v>
      </c>
      <c r="I2667" s="37" t="str">
        <f>"https://www.dimensional.com.br/terminal-olhal-c-iso-f-5mm-6mm2-am-tp65/p"</f>
        <v>https://www.dimensional.com.br/terminal-olhal-c-iso-f-5mm-6mm2-am-tp65/p</v>
      </c>
    </row>
    <row r="2668" spans="1:9" x14ac:dyDescent="0.25">
      <c r="A2668" s="29" t="s">
        <v>131</v>
      </c>
      <c r="B2668" s="29" t="s">
        <v>67</v>
      </c>
      <c r="C2668" s="29" t="s">
        <v>34</v>
      </c>
      <c r="D2668" s="37" t="s">
        <v>2783</v>
      </c>
      <c r="E2668" s="29" t="s">
        <v>552</v>
      </c>
      <c r="F2668" s="29" t="s">
        <v>36</v>
      </c>
      <c r="G2668" s="29">
        <v>0.17</v>
      </c>
      <c r="H2668" s="71" t="s">
        <v>800</v>
      </c>
      <c r="I2668" s="37" t="str">
        <f>"https://www.axxesmat.com.br/terminal-anel-pre-isolado-0-5mm2-a-1-5mm2-furo-6-4mm-100-pecas-penzel-vermelho"</f>
        <v>https://www.axxesmat.com.br/terminal-anel-pre-isolado-0-5mm2-a-1-5mm2-furo-6-4mm-100-pecas-penzel-vermelho</v>
      </c>
    </row>
    <row r="2669" spans="1:9" x14ac:dyDescent="0.25">
      <c r="A2669" s="29" t="s">
        <v>131</v>
      </c>
      <c r="B2669" s="29" t="s">
        <v>67</v>
      </c>
      <c r="C2669" s="29" t="s">
        <v>34</v>
      </c>
      <c r="D2669" s="37" t="s">
        <v>2784</v>
      </c>
      <c r="E2669" s="29" t="s">
        <v>554</v>
      </c>
      <c r="F2669" s="29" t="s">
        <v>36</v>
      </c>
      <c r="G2669" s="29">
        <v>0.62</v>
      </c>
      <c r="H2669" s="71" t="s">
        <v>738</v>
      </c>
      <c r="I2669" s="37" t="str">
        <f>"https://www.dimensional.com.br/terminal-eletrico-olhal-pre-isolado-6mm-25-mm2-azul/p"</f>
        <v>https://www.dimensional.com.br/terminal-eletrico-olhal-pre-isolado-6mm-25-mm2-azul/p</v>
      </c>
    </row>
    <row r="2670" spans="1:9" x14ac:dyDescent="0.25">
      <c r="A2670" s="29" t="s">
        <v>131</v>
      </c>
      <c r="B2670" s="29" t="s">
        <v>67</v>
      </c>
      <c r="C2670" s="29" t="s">
        <v>34</v>
      </c>
      <c r="D2670" s="37" t="s">
        <v>2785</v>
      </c>
      <c r="E2670" s="29" t="s">
        <v>556</v>
      </c>
      <c r="F2670" s="29" t="s">
        <v>36</v>
      </c>
      <c r="G2670" s="29">
        <v>0.97</v>
      </c>
      <c r="H2670" s="71" t="s">
        <v>734</v>
      </c>
      <c r="I2670" s="37" t="str">
        <f>"https://www.dimensional.com.br/terminal-eletrico-olhal-pre-isolado-6mm-6mm2-amarelo-tp66-pacote-com-100-pecas-intelli/p"</f>
        <v>https://www.dimensional.com.br/terminal-eletrico-olhal-pre-isolado-6mm-6mm2-amarelo-tp66-pacote-com-100-pecas-intelli/p</v>
      </c>
    </row>
    <row r="2671" spans="1:9" x14ac:dyDescent="0.25">
      <c r="A2671" s="29" t="s">
        <v>131</v>
      </c>
      <c r="B2671" s="29" t="s">
        <v>67</v>
      </c>
      <c r="C2671" s="29" t="s">
        <v>34</v>
      </c>
      <c r="D2671" s="37" t="s">
        <v>2786</v>
      </c>
      <c r="E2671" s="29" t="s">
        <v>553</v>
      </c>
      <c r="F2671" s="29" t="s">
        <v>36</v>
      </c>
      <c r="G2671" s="29">
        <v>0.56999999999999995</v>
      </c>
      <c r="H2671" s="71" t="s">
        <v>734</v>
      </c>
      <c r="I2671" s="37" t="str">
        <f>"https://www.dimensional.com.br/intelli?_q=intelli&amp;map=ft&amp;page=4"</f>
        <v>https://www.dimensional.com.br/intelli?_q=intelli&amp;map=ft&amp;page=4</v>
      </c>
    </row>
    <row r="2672" spans="1:9" x14ac:dyDescent="0.25">
      <c r="A2672" s="29" t="s">
        <v>131</v>
      </c>
      <c r="B2672" s="29" t="s">
        <v>67</v>
      </c>
      <c r="C2672" s="29" t="s">
        <v>34</v>
      </c>
      <c r="D2672" s="37" t="s">
        <v>2787</v>
      </c>
      <c r="E2672" s="29" t="s">
        <v>555</v>
      </c>
      <c r="F2672" s="29" t="s">
        <v>36</v>
      </c>
      <c r="G2672" s="29">
        <v>0.62</v>
      </c>
      <c r="H2672" s="71" t="s">
        <v>738</v>
      </c>
      <c r="I2672" s="37" t="str">
        <f>"https://www.dimensional.com.br/terminal-olhal-c-iso-f-8mm-25mm2-az-tp258/p"</f>
        <v>https://www.dimensional.com.br/terminal-olhal-c-iso-f-8mm-25mm2-az-tp258/p</v>
      </c>
    </row>
    <row r="2673" spans="1:9" x14ac:dyDescent="0.25">
      <c r="A2673" s="29" t="s">
        <v>131</v>
      </c>
      <c r="B2673" s="29" t="s">
        <v>67</v>
      </c>
      <c r="C2673" s="29" t="s">
        <v>34</v>
      </c>
      <c r="D2673" s="37" t="s">
        <v>2788</v>
      </c>
      <c r="E2673" s="29" t="s">
        <v>557</v>
      </c>
      <c r="F2673" s="29" t="s">
        <v>36</v>
      </c>
      <c r="G2673" s="29">
        <v>1.29</v>
      </c>
      <c r="H2673" s="71" t="s">
        <v>734</v>
      </c>
      <c r="I2673" s="37" t="str">
        <f>"https://www.dimensional.com.br/terminal-eletrico-olhal-pre-isolado-8mm-6mm2-amarelo-tp68-pacote-com-100-pecas-intelli/p"</f>
        <v>https://www.dimensional.com.br/terminal-eletrico-olhal-pre-isolado-8mm-6mm2-amarelo-tp68-pacote-com-100-pecas-intelli/p</v>
      </c>
    </row>
    <row r="2674" spans="1:9" x14ac:dyDescent="0.25">
      <c r="A2674" s="29" t="s">
        <v>131</v>
      </c>
      <c r="B2674" s="29" t="s">
        <v>67</v>
      </c>
      <c r="C2674" s="29" t="s">
        <v>34</v>
      </c>
      <c r="D2674" s="37" t="s">
        <v>1424</v>
      </c>
      <c r="E2674" s="29" t="s">
        <v>547</v>
      </c>
      <c r="F2674" s="29" t="s">
        <v>36</v>
      </c>
      <c r="I2674" s="37" t="s">
        <v>37</v>
      </c>
    </row>
    <row r="2675" spans="1:9" x14ac:dyDescent="0.25">
      <c r="A2675" s="29" t="s">
        <v>131</v>
      </c>
      <c r="B2675" s="29" t="s">
        <v>67</v>
      </c>
      <c r="C2675" s="29" t="s">
        <v>34</v>
      </c>
      <c r="D2675" s="37" t="s">
        <v>1425</v>
      </c>
      <c r="E2675" s="29" t="s">
        <v>538</v>
      </c>
      <c r="F2675" s="29" t="s">
        <v>36</v>
      </c>
      <c r="I2675" s="37" t="s">
        <v>37</v>
      </c>
    </row>
    <row r="2676" spans="1:9" x14ac:dyDescent="0.25">
      <c r="A2676" s="29" t="s">
        <v>131</v>
      </c>
      <c r="B2676" s="29" t="s">
        <v>67</v>
      </c>
      <c r="C2676" s="29" t="s">
        <v>34</v>
      </c>
      <c r="D2676" s="37" t="s">
        <v>1426</v>
      </c>
      <c r="E2676" s="29" t="s">
        <v>541</v>
      </c>
      <c r="F2676" s="29" t="s">
        <v>36</v>
      </c>
      <c r="G2676" s="29">
        <v>2.69</v>
      </c>
      <c r="H2676" s="71" t="s">
        <v>734</v>
      </c>
      <c r="I2676" s="37" t="str">
        <f>"https://www.dimensional.com.br/terminal-olhal-c-iso-f-10-5mm-35mm2-vm-tpt3510-intelli/p"</f>
        <v>https://www.dimensional.com.br/terminal-olhal-c-iso-f-10-5mm-35mm2-vm-tpt3510-intelli/p</v>
      </c>
    </row>
    <row r="2677" spans="1:9" x14ac:dyDescent="0.25">
      <c r="A2677" s="29" t="s">
        <v>131</v>
      </c>
      <c r="B2677" s="29" t="s">
        <v>67</v>
      </c>
      <c r="C2677" s="29" t="s">
        <v>34</v>
      </c>
      <c r="D2677" s="37" t="s">
        <v>1427</v>
      </c>
      <c r="E2677" s="29" t="s">
        <v>544</v>
      </c>
      <c r="F2677" s="29" t="s">
        <v>36</v>
      </c>
      <c r="I2677" s="37" t="s">
        <v>37</v>
      </c>
    </row>
    <row r="2678" spans="1:9" x14ac:dyDescent="0.25">
      <c r="A2678" s="29" t="s">
        <v>131</v>
      </c>
      <c r="B2678" s="29" t="s">
        <v>67</v>
      </c>
      <c r="C2678" s="29" t="s">
        <v>34</v>
      </c>
      <c r="D2678" s="37" t="s">
        <v>1428</v>
      </c>
      <c r="E2678" s="29" t="s">
        <v>548</v>
      </c>
      <c r="F2678" s="29" t="s">
        <v>36</v>
      </c>
      <c r="G2678" s="29">
        <v>7.59</v>
      </c>
      <c r="H2678" s="71" t="s">
        <v>738</v>
      </c>
      <c r="I2678" s="37" t="str">
        <f>"https://www.dimensional.com.br/terminal-olhal-c-iso-f-13-8mm-70mm2-am-tpt7013-intelli/p"</f>
        <v>https://www.dimensional.com.br/terminal-olhal-c-iso-f-13-8mm-70mm2-am-tpt7013-intelli/p</v>
      </c>
    </row>
    <row r="2679" spans="1:9" x14ac:dyDescent="0.25">
      <c r="A2679" s="29" t="s">
        <v>131</v>
      </c>
      <c r="B2679" s="29" t="s">
        <v>67</v>
      </c>
      <c r="C2679" s="29" t="s">
        <v>34</v>
      </c>
      <c r="D2679" s="37" t="s">
        <v>1429</v>
      </c>
      <c r="E2679" s="29" t="s">
        <v>545</v>
      </c>
      <c r="F2679" s="29" t="s">
        <v>36</v>
      </c>
      <c r="I2679" s="37" t="s">
        <v>37</v>
      </c>
    </row>
    <row r="2680" spans="1:9" x14ac:dyDescent="0.25">
      <c r="A2680" s="29" t="s">
        <v>131</v>
      </c>
      <c r="B2680" s="29" t="s">
        <v>67</v>
      </c>
      <c r="C2680" s="29" t="s">
        <v>34</v>
      </c>
      <c r="D2680" s="37" t="s">
        <v>1430</v>
      </c>
      <c r="E2680" s="29" t="s">
        <v>532</v>
      </c>
      <c r="F2680" s="29" t="s">
        <v>36</v>
      </c>
      <c r="G2680" s="29">
        <v>0.98</v>
      </c>
      <c r="H2680" s="71" t="s">
        <v>738</v>
      </c>
      <c r="I2680" s="37" t="str">
        <f>"https://www.dimensional.com.br/terminal-eletrico-olhal-preisolado-65mm-10mm2-vermelho-5886-intelli/p"</f>
        <v>https://www.dimensional.com.br/terminal-eletrico-olhal-preisolado-65mm-10mm2-vermelho-5886-intelli/p</v>
      </c>
    </row>
    <row r="2681" spans="1:9" x14ac:dyDescent="0.25">
      <c r="A2681" s="29" t="s">
        <v>131</v>
      </c>
      <c r="B2681" s="29" t="s">
        <v>67</v>
      </c>
      <c r="C2681" s="29" t="s">
        <v>34</v>
      </c>
      <c r="D2681" s="37" t="s">
        <v>1431</v>
      </c>
      <c r="E2681" s="29" t="s">
        <v>534</v>
      </c>
      <c r="F2681" s="29" t="s">
        <v>36</v>
      </c>
      <c r="G2681" s="29">
        <v>1.34</v>
      </c>
      <c r="H2681" s="71" t="s">
        <v>738</v>
      </c>
      <c r="I2681" s="37" t="str">
        <f>"https://www.dimensional.com.br/terminal-eletrico-olhal-pre-isolado-6-5mm-16mm2-azul-tpt166-pacote-com-100-pecas-intelli/p"</f>
        <v>https://www.dimensional.com.br/terminal-eletrico-olhal-pre-isolado-6-5mm-16mm2-azul-tpt166-pacote-com-100-pecas-intelli/p</v>
      </c>
    </row>
    <row r="2682" spans="1:9" x14ac:dyDescent="0.25">
      <c r="A2682" s="29" t="s">
        <v>131</v>
      </c>
      <c r="B2682" s="29" t="s">
        <v>67</v>
      </c>
      <c r="C2682" s="29" t="s">
        <v>34</v>
      </c>
      <c r="D2682" s="37" t="s">
        <v>1432</v>
      </c>
      <c r="E2682" s="29" t="s">
        <v>536</v>
      </c>
      <c r="F2682" s="29" t="s">
        <v>36</v>
      </c>
      <c r="I2682" s="37" t="s">
        <v>37</v>
      </c>
    </row>
    <row r="2683" spans="1:9" x14ac:dyDescent="0.25">
      <c r="A2683" s="29" t="s">
        <v>131</v>
      </c>
      <c r="B2683" s="29" t="s">
        <v>67</v>
      </c>
      <c r="C2683" s="29" t="s">
        <v>34</v>
      </c>
      <c r="D2683" s="37" t="s">
        <v>1433</v>
      </c>
      <c r="E2683" s="29" t="s">
        <v>539</v>
      </c>
      <c r="F2683" s="29" t="s">
        <v>36</v>
      </c>
      <c r="I2683" s="37" t="s">
        <v>37</v>
      </c>
    </row>
    <row r="2684" spans="1:9" x14ac:dyDescent="0.25">
      <c r="A2684" s="29" t="s">
        <v>131</v>
      </c>
      <c r="B2684" s="29" t="s">
        <v>67</v>
      </c>
      <c r="C2684" s="29" t="s">
        <v>34</v>
      </c>
      <c r="D2684" s="37" t="s">
        <v>1434</v>
      </c>
      <c r="E2684" s="29" t="s">
        <v>542</v>
      </c>
      <c r="F2684" s="29" t="s">
        <v>36</v>
      </c>
      <c r="G2684" s="29">
        <v>5.69</v>
      </c>
      <c r="H2684" s="71" t="s">
        <v>738</v>
      </c>
      <c r="I2684" s="37" t="str">
        <f>"https://www.dimensional.com.br/terminal-olhal-c-iso-f-6-5mm-50mm2-az-tpt506-intelli/p"</f>
        <v>https://www.dimensional.com.br/terminal-olhal-c-iso-f-6-5mm-50mm2-az-tpt506-intelli/p</v>
      </c>
    </row>
    <row r="2685" spans="1:9" x14ac:dyDescent="0.25">
      <c r="A2685" s="29" t="s">
        <v>131</v>
      </c>
      <c r="B2685" s="29" t="s">
        <v>67</v>
      </c>
      <c r="C2685" s="29" t="s">
        <v>34</v>
      </c>
      <c r="D2685" s="37" t="s">
        <v>1435</v>
      </c>
      <c r="E2685" s="29" t="s">
        <v>533</v>
      </c>
      <c r="F2685" s="29" t="s">
        <v>36</v>
      </c>
      <c r="G2685" s="29">
        <v>1.0900000000000001</v>
      </c>
      <c r="H2685" s="71" t="s">
        <v>734</v>
      </c>
      <c r="I2685" s="37" t="str">
        <f>"https://www.dimensional.com.br/terminal-eletrico-olhal-pre-isolado-10mm2-vermelho-tpt108-intelli/p"</f>
        <v>https://www.dimensional.com.br/terminal-eletrico-olhal-pre-isolado-10mm2-vermelho-tpt108-intelli/p</v>
      </c>
    </row>
    <row r="2686" spans="1:9" x14ac:dyDescent="0.25">
      <c r="A2686" s="29" t="s">
        <v>131</v>
      </c>
      <c r="B2686" s="29" t="s">
        <v>67</v>
      </c>
      <c r="C2686" s="29" t="s">
        <v>34</v>
      </c>
      <c r="D2686" s="37" t="s">
        <v>1436</v>
      </c>
      <c r="E2686" s="29" t="s">
        <v>535</v>
      </c>
      <c r="F2686" s="29" t="s">
        <v>36</v>
      </c>
      <c r="G2686" s="29">
        <v>1.34</v>
      </c>
      <c r="H2686" s="71" t="s">
        <v>738</v>
      </c>
      <c r="I2686" s="37" t="str">
        <f>"https://www.dimensional.com.br/terminal-eletrico-olhal-pre-isolado-8mm-16-mm2-azul/p"</f>
        <v>https://www.dimensional.com.br/terminal-eletrico-olhal-pre-isolado-8mm-16-mm2-azul/p</v>
      </c>
    </row>
    <row r="2687" spans="1:9" x14ac:dyDescent="0.25">
      <c r="A2687" s="29" t="s">
        <v>131</v>
      </c>
      <c r="B2687" s="29" t="s">
        <v>67</v>
      </c>
      <c r="C2687" s="29" t="s">
        <v>34</v>
      </c>
      <c r="D2687" s="37" t="s">
        <v>1437</v>
      </c>
      <c r="E2687" s="29" t="s">
        <v>537</v>
      </c>
      <c r="F2687" s="29" t="s">
        <v>36</v>
      </c>
      <c r="I2687" s="37" t="s">
        <v>37</v>
      </c>
    </row>
    <row r="2688" spans="1:9" x14ac:dyDescent="0.25">
      <c r="A2688" s="29" t="s">
        <v>131</v>
      </c>
      <c r="B2688" s="29" t="s">
        <v>67</v>
      </c>
      <c r="C2688" s="29" t="s">
        <v>34</v>
      </c>
      <c r="D2688" s="37" t="s">
        <v>1438</v>
      </c>
      <c r="E2688" s="29" t="s">
        <v>540</v>
      </c>
      <c r="F2688" s="29" t="s">
        <v>36</v>
      </c>
      <c r="G2688" s="29">
        <v>3.09</v>
      </c>
      <c r="H2688" s="71" t="s">
        <v>738</v>
      </c>
      <c r="I2688" s="37" t="str">
        <f>"https://www.dimensional.com.br/terminal-eletrico-olhal-pre-isolado-8-5mm-35mm2-vermelho-intelli/p"</f>
        <v>https://www.dimensional.com.br/terminal-eletrico-olhal-pre-isolado-8-5mm-35mm2-vermelho-intelli/p</v>
      </c>
    </row>
    <row r="2689" spans="1:9" x14ac:dyDescent="0.25">
      <c r="A2689" s="29" t="s">
        <v>131</v>
      </c>
      <c r="B2689" s="29" t="s">
        <v>67</v>
      </c>
      <c r="C2689" s="29" t="s">
        <v>34</v>
      </c>
      <c r="D2689" s="37" t="s">
        <v>1439</v>
      </c>
      <c r="E2689" s="29" t="s">
        <v>543</v>
      </c>
      <c r="F2689" s="29" t="s">
        <v>36</v>
      </c>
      <c r="G2689" s="29">
        <v>5.03</v>
      </c>
      <c r="H2689" s="71" t="s">
        <v>738</v>
      </c>
      <c r="I2689" s="37" t="str">
        <f>"https://www.dimensional.com.br/terminal-olhal-c-iso-f-8-5mm-50mm2-az-tpt508-intelli/p"</f>
        <v>https://www.dimensional.com.br/terminal-olhal-c-iso-f-8-5mm-50mm2-az-tpt508-intelli/p</v>
      </c>
    </row>
    <row r="2690" spans="1:9" x14ac:dyDescent="0.25">
      <c r="A2690" s="29" t="s">
        <v>131</v>
      </c>
      <c r="B2690" s="29" t="s">
        <v>67</v>
      </c>
      <c r="C2690" s="29" t="s">
        <v>34</v>
      </c>
      <c r="D2690" s="37" t="s">
        <v>1440</v>
      </c>
      <c r="E2690" s="29" t="s">
        <v>546</v>
      </c>
      <c r="F2690" s="29" t="s">
        <v>36</v>
      </c>
      <c r="G2690" s="29">
        <v>7.28</v>
      </c>
      <c r="H2690" s="71" t="s">
        <v>738</v>
      </c>
      <c r="I2690" s="37" t="str">
        <f>"https://www.dimensional.com.br/terminal-olhal-c-iso-f-8-5mm-70mm2-am-tpt708-intelli/p"</f>
        <v>https://www.dimensional.com.br/terminal-olhal-c-iso-f-8-5mm-70mm2-am-tpt708-intelli/p</v>
      </c>
    </row>
    <row r="2691" spans="1:9" x14ac:dyDescent="0.25">
      <c r="A2691" s="29" t="s">
        <v>131</v>
      </c>
      <c r="B2691" s="29" t="s">
        <v>67</v>
      </c>
      <c r="C2691" s="29" t="s">
        <v>34</v>
      </c>
      <c r="D2691" s="37" t="s">
        <v>571</v>
      </c>
      <c r="E2691" s="29" t="s">
        <v>560</v>
      </c>
      <c r="F2691" s="29" t="s">
        <v>36</v>
      </c>
      <c r="I2691" s="37" t="s">
        <v>37</v>
      </c>
    </row>
    <row r="2692" spans="1:9" x14ac:dyDescent="0.25">
      <c r="A2692" s="29" t="s">
        <v>131</v>
      </c>
      <c r="B2692" s="29" t="s">
        <v>67</v>
      </c>
      <c r="C2692" s="29" t="s">
        <v>34</v>
      </c>
      <c r="D2692" s="37" t="s">
        <v>570</v>
      </c>
      <c r="E2692" s="29" t="s">
        <v>559</v>
      </c>
      <c r="F2692" s="29" t="s">
        <v>36</v>
      </c>
      <c r="G2692" s="29">
        <v>0.21</v>
      </c>
      <c r="H2692" s="71" t="s">
        <v>740</v>
      </c>
      <c r="I2692" s="37" t="str">
        <f>"https://www.eletrotrafo.com.br/terminal-pre-isol-pino-vm--050-a-15mm--pi2686-tpp-15-8-curto-intelli-03570007/p?skuId=7906"</f>
        <v>https://www.eletrotrafo.com.br/terminal-pre-isol-pino-vm--050-a-15mm--pi2686-tpp-15-8-curto-intelli-03570007/p?skuId=7906</v>
      </c>
    </row>
    <row r="2693" spans="1:9" x14ac:dyDescent="0.25">
      <c r="A2693" s="29" t="s">
        <v>131</v>
      </c>
      <c r="B2693" s="29" t="s">
        <v>67</v>
      </c>
      <c r="C2693" s="29" t="s">
        <v>34</v>
      </c>
      <c r="D2693" s="37" t="s">
        <v>573</v>
      </c>
      <c r="E2693" s="29" t="s">
        <v>562</v>
      </c>
      <c r="F2693" s="29" t="s">
        <v>36</v>
      </c>
      <c r="G2693" s="29">
        <v>0.47</v>
      </c>
      <c r="H2693" s="71" t="s">
        <v>734</v>
      </c>
      <c r="I2693" s="37" t="str">
        <f>"https://www.dimensional.com.br/terminal-pino-c-iso-25mm2-az-tpp2512/p"</f>
        <v>https://www.dimensional.com.br/terminal-pino-c-iso-25mm2-az-tpp2512/p</v>
      </c>
    </row>
    <row r="2694" spans="1:9" x14ac:dyDescent="0.25">
      <c r="A2694" s="29" t="s">
        <v>131</v>
      </c>
      <c r="B2694" s="29" t="s">
        <v>67</v>
      </c>
      <c r="C2694" s="29" t="s">
        <v>34</v>
      </c>
      <c r="D2694" s="37" t="s">
        <v>572</v>
      </c>
      <c r="E2694" s="29" t="s">
        <v>561</v>
      </c>
      <c r="F2694" s="29" t="s">
        <v>36</v>
      </c>
      <c r="I2694" s="37" t="s">
        <v>37</v>
      </c>
    </row>
    <row r="2695" spans="1:9" x14ac:dyDescent="0.25">
      <c r="A2695" s="29" t="s">
        <v>131</v>
      </c>
      <c r="B2695" s="29" t="s">
        <v>67</v>
      </c>
      <c r="C2695" s="29" t="s">
        <v>34</v>
      </c>
      <c r="D2695" s="37" t="s">
        <v>574</v>
      </c>
      <c r="E2695" s="29" t="s">
        <v>563</v>
      </c>
      <c r="F2695" s="29" t="s">
        <v>36</v>
      </c>
      <c r="G2695" s="29">
        <v>0.85</v>
      </c>
      <c r="H2695" s="71" t="s">
        <v>738</v>
      </c>
      <c r="I2695" s="37" t="str">
        <f>"https://www.dimensional.com.br/terminal-pino-c-iso-6mm2-am-tpp612/p"</f>
        <v>https://www.dimensional.com.br/terminal-pino-c-iso-6mm2-am-tpp612/p</v>
      </c>
    </row>
    <row r="2696" spans="1:9" x14ac:dyDescent="0.25">
      <c r="A2696" s="29" t="s">
        <v>131</v>
      </c>
      <c r="B2696" s="29" t="s">
        <v>67</v>
      </c>
      <c r="C2696" s="29" t="s">
        <v>34</v>
      </c>
      <c r="D2696" s="37" t="s">
        <v>1441</v>
      </c>
      <c r="E2696" s="29" t="s">
        <v>564</v>
      </c>
      <c r="F2696" s="29" t="s">
        <v>36</v>
      </c>
      <c r="G2696" s="29">
        <v>0.98</v>
      </c>
      <c r="H2696" s="71" t="s">
        <v>738</v>
      </c>
      <c r="I2696" s="37" t="str">
        <f>"https://www.dimensional.com.br/terminaleletricopinopreisolado10mm2vermelhocom100unidadestpp1015intelli/p"</f>
        <v>https://www.dimensional.com.br/terminaleletricopinopreisolado10mm2vermelhocom100unidadestpp1015intelli/p</v>
      </c>
    </row>
    <row r="2697" spans="1:9" x14ac:dyDescent="0.25">
      <c r="A2697" s="29" t="s">
        <v>131</v>
      </c>
      <c r="B2697" s="29" t="s">
        <v>67</v>
      </c>
      <c r="C2697" s="29" t="s">
        <v>34</v>
      </c>
      <c r="D2697" s="37" t="s">
        <v>1442</v>
      </c>
      <c r="E2697" s="29" t="s">
        <v>565</v>
      </c>
      <c r="F2697" s="29" t="s">
        <v>36</v>
      </c>
      <c r="G2697" s="29">
        <v>1.39</v>
      </c>
      <c r="H2697" s="71" t="s">
        <v>738</v>
      </c>
      <c r="I2697" s="37" t="str">
        <f>"https://www.dimensional.com.br/terminaleletricopinopreisolado16mm2azultpp1616intelli/p"</f>
        <v>https://www.dimensional.com.br/terminaleletricopinopreisolado16mm2azultpp1616intelli/p</v>
      </c>
    </row>
    <row r="2698" spans="1:9" x14ac:dyDescent="0.25">
      <c r="A2698" s="29" t="s">
        <v>131</v>
      </c>
      <c r="B2698" s="29" t="s">
        <v>67</v>
      </c>
      <c r="C2698" s="29" t="s">
        <v>34</v>
      </c>
      <c r="D2698" s="37" t="s">
        <v>1443</v>
      </c>
      <c r="E2698" s="29" t="s">
        <v>566</v>
      </c>
      <c r="F2698" s="29" t="s">
        <v>36</v>
      </c>
      <c r="G2698" s="29">
        <v>1.7</v>
      </c>
      <c r="H2698" s="71" t="s">
        <v>738</v>
      </c>
      <c r="I2698" s="37" t="str">
        <f>"https://www.dimensional.com.br/terminal-eletrico-pino-pre-isolado-25-mm2-amarelo/p"</f>
        <v>https://www.dimensional.com.br/terminal-eletrico-pino-pre-isolado-25-mm2-amarelo/p</v>
      </c>
    </row>
    <row r="2699" spans="1:9" x14ac:dyDescent="0.25">
      <c r="A2699" s="29" t="s">
        <v>131</v>
      </c>
      <c r="B2699" s="29" t="s">
        <v>67</v>
      </c>
      <c r="C2699" s="29" t="s">
        <v>34</v>
      </c>
      <c r="D2699" s="37" t="s">
        <v>1444</v>
      </c>
      <c r="E2699" s="29" t="s">
        <v>567</v>
      </c>
      <c r="F2699" s="29" t="s">
        <v>36</v>
      </c>
      <c r="G2699" s="29">
        <v>2.06</v>
      </c>
      <c r="H2699" s="71" t="s">
        <v>738</v>
      </c>
      <c r="I2699" s="37" t="str">
        <f>"https://www.dimensional.com.br/terminal-eletrico-pino-pre-isolado-35mm2-vermelho-tpp3517-pacote-com-100-pecas-intelli/p"</f>
        <v>https://www.dimensional.com.br/terminal-eletrico-pino-pre-isolado-35mm2-vermelho-tpp3517-pacote-com-100-pecas-intelli/p</v>
      </c>
    </row>
    <row r="2700" spans="1:9" x14ac:dyDescent="0.25">
      <c r="A2700" s="29" t="s">
        <v>131</v>
      </c>
      <c r="B2700" s="29" t="s">
        <v>67</v>
      </c>
      <c r="C2700" s="29" t="s">
        <v>34</v>
      </c>
      <c r="D2700" s="37" t="s">
        <v>1445</v>
      </c>
      <c r="E2700" s="29" t="s">
        <v>568</v>
      </c>
      <c r="F2700" s="29" t="s">
        <v>36</v>
      </c>
      <c r="I2700" s="37" t="s">
        <v>37</v>
      </c>
    </row>
    <row r="2701" spans="1:9" x14ac:dyDescent="0.25">
      <c r="A2701" s="29" t="s">
        <v>131</v>
      </c>
      <c r="B2701" s="29" t="s">
        <v>67</v>
      </c>
      <c r="C2701" s="29" t="s">
        <v>34</v>
      </c>
      <c r="D2701" s="37" t="s">
        <v>1446</v>
      </c>
      <c r="E2701" s="29" t="s">
        <v>569</v>
      </c>
      <c r="F2701" s="29" t="s">
        <v>36</v>
      </c>
      <c r="G2701" s="29">
        <v>5.29</v>
      </c>
      <c r="H2701" s="71" t="s">
        <v>738</v>
      </c>
      <c r="I2701" s="37" t="str">
        <f>"https://www.dimensional.com.br/terminal-pino-70mm2-am-tpp7024-intelli/p"</f>
        <v>https://www.dimensional.com.br/terminal-pino-70mm2-am-tpp7024-intelli/p</v>
      </c>
    </row>
    <row r="2702" spans="1:9" x14ac:dyDescent="0.25">
      <c r="A2702" s="29" t="s">
        <v>131</v>
      </c>
      <c r="B2702" s="29" t="s">
        <v>67</v>
      </c>
      <c r="C2702" s="29" t="s">
        <v>34</v>
      </c>
      <c r="D2702" s="37" t="s">
        <v>2789</v>
      </c>
      <c r="E2702" s="29" t="s">
        <v>587</v>
      </c>
      <c r="F2702" s="29" t="s">
        <v>36</v>
      </c>
      <c r="G2702" s="29">
        <v>1.2</v>
      </c>
      <c r="H2702" s="71" t="s">
        <v>800</v>
      </c>
      <c r="I2702" s="37" t="str">
        <f>"https://www.jclcasaeconstrucao.com.br/ciss/terminal-tipo-femea-fet-1-5-6-vm-intelli-fl"</f>
        <v>https://www.jclcasaeconstrucao.com.br/ciss/terminal-tipo-femea-fet-1-5-6-vm-intelli-fl</v>
      </c>
    </row>
    <row r="2703" spans="1:9" x14ac:dyDescent="0.25">
      <c r="A2703" s="29" t="s">
        <v>131</v>
      </c>
      <c r="B2703" s="29" t="s">
        <v>67</v>
      </c>
      <c r="C2703" s="29" t="s">
        <v>34</v>
      </c>
      <c r="D2703" s="37" t="s">
        <v>2790</v>
      </c>
      <c r="E2703" s="29" t="s">
        <v>589</v>
      </c>
      <c r="F2703" s="29" t="s">
        <v>36</v>
      </c>
      <c r="G2703" s="29">
        <v>0.73</v>
      </c>
      <c r="H2703" s="71" t="s">
        <v>800</v>
      </c>
      <c r="I2703" s="37" t="str">
        <f>"https://www.anhangueraferramentas.com.br/produto/terminal-pre-isolado-femea-2-5mm-100-pecas-fet-2-5-6-intelli-107317"</f>
        <v>https://www.anhangueraferramentas.com.br/produto/terminal-pre-isolado-femea-2-5mm-100-pecas-fet-2-5-6-intelli-107317</v>
      </c>
    </row>
    <row r="2704" spans="1:9" x14ac:dyDescent="0.25">
      <c r="A2704" s="29" t="s">
        <v>131</v>
      </c>
      <c r="B2704" s="29" t="s">
        <v>67</v>
      </c>
      <c r="C2704" s="29" t="s">
        <v>34</v>
      </c>
      <c r="D2704" s="37" t="s">
        <v>2791</v>
      </c>
      <c r="E2704" s="29" t="s">
        <v>588</v>
      </c>
      <c r="F2704" s="29" t="s">
        <v>36</v>
      </c>
      <c r="G2704" s="29">
        <v>0.67</v>
      </c>
      <c r="H2704" s="71" t="s">
        <v>738</v>
      </c>
      <c r="I2704" s="37" t="str">
        <f>"https://www.dimensional.com.br/terminal-macho-isol-t-1mm2-vm-mat1-56-intelli/p"</f>
        <v>https://www.dimensional.com.br/terminal-macho-isol-t-1mm2-vm-mat1-56-intelli/p</v>
      </c>
    </row>
    <row r="2705" spans="1:9" x14ac:dyDescent="0.25">
      <c r="A2705" s="29" t="s">
        <v>131</v>
      </c>
      <c r="B2705" s="29" t="s">
        <v>67</v>
      </c>
      <c r="C2705" s="29" t="s">
        <v>34</v>
      </c>
      <c r="D2705" s="37" t="s">
        <v>2792</v>
      </c>
      <c r="E2705" s="29" t="s">
        <v>590</v>
      </c>
      <c r="F2705" s="29" t="s">
        <v>36</v>
      </c>
      <c r="G2705" s="29">
        <v>0.78</v>
      </c>
      <c r="H2705" s="71" t="s">
        <v>738</v>
      </c>
      <c r="I2705" s="37" t="str">
        <f>"https://www.dimensional.com.br/terminal-eletrico-macho-azul-isolamento-total-2-5mm2-mat2-56-intelli/p"</f>
        <v>https://www.dimensional.com.br/terminal-eletrico-macho-azul-isolamento-total-2-5mm2-mat2-56-intelli/p</v>
      </c>
    </row>
    <row r="2706" spans="1:9" x14ac:dyDescent="0.25">
      <c r="A2706" s="29" t="s">
        <v>131</v>
      </c>
      <c r="B2706" s="29" t="s">
        <v>67</v>
      </c>
      <c r="C2706" s="29" t="s">
        <v>34</v>
      </c>
      <c r="D2706" s="37" t="s">
        <v>2936</v>
      </c>
      <c r="E2706" s="29" t="s">
        <v>448</v>
      </c>
      <c r="F2706" s="29" t="s">
        <v>36</v>
      </c>
      <c r="I2706" s="37" t="s">
        <v>37</v>
      </c>
    </row>
    <row r="2707" spans="1:9" x14ac:dyDescent="0.25">
      <c r="A2707" s="29" t="s">
        <v>131</v>
      </c>
      <c r="B2707" s="29" t="s">
        <v>67</v>
      </c>
      <c r="C2707" s="29" t="s">
        <v>34</v>
      </c>
      <c r="D2707" s="37" t="s">
        <v>2937</v>
      </c>
      <c r="E2707" s="29" t="s">
        <v>449</v>
      </c>
      <c r="F2707" s="29" t="s">
        <v>36</v>
      </c>
      <c r="I2707" s="37" t="s">
        <v>37</v>
      </c>
    </row>
    <row r="2708" spans="1:9" x14ac:dyDescent="0.25">
      <c r="A2708" s="29" t="s">
        <v>131</v>
      </c>
      <c r="B2708" s="29" t="s">
        <v>67</v>
      </c>
      <c r="C2708" s="29" t="s">
        <v>34</v>
      </c>
      <c r="D2708" s="37" t="s">
        <v>2938</v>
      </c>
      <c r="E2708" s="29" t="s">
        <v>450</v>
      </c>
      <c r="F2708" s="29" t="s">
        <v>36</v>
      </c>
      <c r="I2708" s="37" t="s">
        <v>37</v>
      </c>
    </row>
    <row r="2709" spans="1:9" x14ac:dyDescent="0.25">
      <c r="A2709" s="29" t="s">
        <v>131</v>
      </c>
      <c r="B2709" s="29" t="s">
        <v>67</v>
      </c>
      <c r="C2709" s="29" t="s">
        <v>34</v>
      </c>
      <c r="D2709" s="37" t="s">
        <v>2939</v>
      </c>
      <c r="E2709" s="29" t="s">
        <v>451</v>
      </c>
      <c r="F2709" s="29" t="s">
        <v>36</v>
      </c>
      <c r="I2709" s="37" t="s">
        <v>37</v>
      </c>
    </row>
    <row r="2710" spans="1:9" x14ac:dyDescent="0.25">
      <c r="A2710" s="29" t="s">
        <v>131</v>
      </c>
      <c r="B2710" s="29" t="s">
        <v>67</v>
      </c>
      <c r="C2710" s="29" t="s">
        <v>34</v>
      </c>
      <c r="D2710" s="37" t="s">
        <v>2940</v>
      </c>
      <c r="E2710" s="29" t="s">
        <v>452</v>
      </c>
      <c r="F2710" s="29" t="s">
        <v>36</v>
      </c>
      <c r="I2710" s="37" t="s">
        <v>37</v>
      </c>
    </row>
    <row r="2711" spans="1:9" x14ac:dyDescent="0.25">
      <c r="A2711" s="29" t="s">
        <v>131</v>
      </c>
      <c r="B2711" s="29" t="s">
        <v>67</v>
      </c>
      <c r="C2711" s="29" t="s">
        <v>34</v>
      </c>
      <c r="D2711" s="37" t="s">
        <v>2941</v>
      </c>
      <c r="E2711" s="29" t="s">
        <v>453</v>
      </c>
      <c r="F2711" s="29" t="s">
        <v>36</v>
      </c>
      <c r="I2711" s="37" t="s">
        <v>37</v>
      </c>
    </row>
    <row r="2712" spans="1:9" x14ac:dyDescent="0.25">
      <c r="A2712" s="29" t="s">
        <v>131</v>
      </c>
      <c r="B2712" s="29" t="s">
        <v>67</v>
      </c>
      <c r="C2712" s="29" t="s">
        <v>34</v>
      </c>
      <c r="D2712" s="37" t="s">
        <v>2942</v>
      </c>
      <c r="E2712" s="29" t="s">
        <v>461</v>
      </c>
      <c r="F2712" s="29" t="s">
        <v>36</v>
      </c>
      <c r="G2712" s="29">
        <v>40.49</v>
      </c>
      <c r="H2712" s="71" t="s">
        <v>738</v>
      </c>
      <c r="I2712" s="37" t="str">
        <f>"https://www.dimensional.com.br/terminal-compressao-120mm2-1-comp-1f-bim-tbta120-intelli/p"</f>
        <v>https://www.dimensional.com.br/terminal-compressao-120mm2-1-comp-1f-bim-tbta120-intelli/p</v>
      </c>
    </row>
    <row r="2713" spans="1:9" x14ac:dyDescent="0.25">
      <c r="A2713" s="29" t="s">
        <v>131</v>
      </c>
      <c r="B2713" s="29" t="s">
        <v>67</v>
      </c>
      <c r="C2713" s="29" t="s">
        <v>34</v>
      </c>
      <c r="D2713" s="37" t="s">
        <v>2943</v>
      </c>
      <c r="E2713" s="29" t="s">
        <v>463</v>
      </c>
      <c r="F2713" s="29" t="s">
        <v>36</v>
      </c>
      <c r="I2713" s="37" t="s">
        <v>37</v>
      </c>
    </row>
    <row r="2714" spans="1:9" x14ac:dyDescent="0.25">
      <c r="A2714" s="29" t="s">
        <v>131</v>
      </c>
      <c r="B2714" s="29" t="s">
        <v>67</v>
      </c>
      <c r="C2714" s="29" t="s">
        <v>34</v>
      </c>
      <c r="D2714" s="37" t="s">
        <v>2944</v>
      </c>
      <c r="E2714" s="29" t="s">
        <v>465</v>
      </c>
      <c r="F2714" s="29" t="s">
        <v>36</v>
      </c>
      <c r="I2714" s="37" t="s">
        <v>37</v>
      </c>
    </row>
    <row r="2715" spans="1:9" x14ac:dyDescent="0.25">
      <c r="A2715" s="29" t="s">
        <v>131</v>
      </c>
      <c r="B2715" s="29" t="s">
        <v>67</v>
      </c>
      <c r="C2715" s="29" t="s">
        <v>34</v>
      </c>
      <c r="D2715" s="37" t="s">
        <v>2945</v>
      </c>
      <c r="E2715" s="29" t="s">
        <v>467</v>
      </c>
      <c r="F2715" s="29" t="s">
        <v>36</v>
      </c>
      <c r="I2715" s="37" t="s">
        <v>37</v>
      </c>
    </row>
    <row r="2716" spans="1:9" x14ac:dyDescent="0.25">
      <c r="A2716" s="29" t="s">
        <v>131</v>
      </c>
      <c r="B2716" s="29" t="s">
        <v>67</v>
      </c>
      <c r="C2716" s="29" t="s">
        <v>34</v>
      </c>
      <c r="D2716" s="37" t="s">
        <v>2946</v>
      </c>
      <c r="E2716" s="29" t="s">
        <v>454</v>
      </c>
      <c r="F2716" s="29" t="s">
        <v>36</v>
      </c>
      <c r="I2716" s="37" t="s">
        <v>37</v>
      </c>
    </row>
    <row r="2717" spans="1:9" x14ac:dyDescent="0.25">
      <c r="A2717" s="29" t="s">
        <v>131</v>
      </c>
      <c r="B2717" s="29" t="s">
        <v>67</v>
      </c>
      <c r="C2717" s="29" t="s">
        <v>34</v>
      </c>
      <c r="D2717" s="37" t="s">
        <v>2947</v>
      </c>
      <c r="E2717" s="29" t="s">
        <v>469</v>
      </c>
      <c r="F2717" s="29" t="s">
        <v>36</v>
      </c>
      <c r="I2717" s="37" t="s">
        <v>37</v>
      </c>
    </row>
    <row r="2718" spans="1:9" x14ac:dyDescent="0.25">
      <c r="A2718" s="29" t="s">
        <v>131</v>
      </c>
      <c r="B2718" s="29" t="s">
        <v>67</v>
      </c>
      <c r="C2718" s="29" t="s">
        <v>34</v>
      </c>
      <c r="D2718" s="37" t="s">
        <v>2948</v>
      </c>
      <c r="E2718" s="29" t="s">
        <v>474</v>
      </c>
      <c r="F2718" s="29" t="s">
        <v>36</v>
      </c>
      <c r="I2718" s="37" t="s">
        <v>37</v>
      </c>
    </row>
    <row r="2719" spans="1:9" x14ac:dyDescent="0.25">
      <c r="A2719" s="29" t="s">
        <v>131</v>
      </c>
      <c r="B2719" s="29" t="s">
        <v>67</v>
      </c>
      <c r="C2719" s="29" t="s">
        <v>34</v>
      </c>
      <c r="D2719" s="37" t="s">
        <v>2949</v>
      </c>
      <c r="E2719" s="29" t="s">
        <v>471</v>
      </c>
      <c r="F2719" s="29" t="s">
        <v>36</v>
      </c>
      <c r="I2719" s="37" t="s">
        <v>37</v>
      </c>
    </row>
    <row r="2720" spans="1:9" x14ac:dyDescent="0.25">
      <c r="A2720" s="29" t="s">
        <v>131</v>
      </c>
      <c r="B2720" s="29" t="s">
        <v>67</v>
      </c>
      <c r="C2720" s="29" t="s">
        <v>34</v>
      </c>
      <c r="D2720" s="37" t="s">
        <v>2950</v>
      </c>
      <c r="E2720" s="29" t="s">
        <v>458</v>
      </c>
      <c r="F2720" s="29" t="s">
        <v>36</v>
      </c>
      <c r="G2720" s="29">
        <v>18.89</v>
      </c>
      <c r="H2720" s="71" t="s">
        <v>738</v>
      </c>
      <c r="I2720" s="37" t="str">
        <f>"https://www.dimensional.com.br/terminal-compressao-70mm2-1-comp-1f-bim-tbta70-intelli/p"</f>
        <v>https://www.dimensional.com.br/terminal-compressao-70mm2-1-comp-1f-bim-tbta70-intelli/p</v>
      </c>
    </row>
    <row r="2721" spans="1:9" x14ac:dyDescent="0.25">
      <c r="A2721" s="29" t="s">
        <v>131</v>
      </c>
      <c r="B2721" s="29" t="s">
        <v>67</v>
      </c>
      <c r="C2721" s="29" t="s">
        <v>34</v>
      </c>
      <c r="D2721" s="37" t="s">
        <v>2951</v>
      </c>
      <c r="E2721" s="29" t="s">
        <v>462</v>
      </c>
      <c r="F2721" s="29" t="s">
        <v>36</v>
      </c>
      <c r="I2721" s="37" t="s">
        <v>37</v>
      </c>
    </row>
    <row r="2722" spans="1:9" x14ac:dyDescent="0.25">
      <c r="A2722" s="29" t="s">
        <v>131</v>
      </c>
      <c r="B2722" s="29" t="s">
        <v>67</v>
      </c>
      <c r="C2722" s="29" t="s">
        <v>34</v>
      </c>
      <c r="D2722" s="37" t="s">
        <v>2952</v>
      </c>
      <c r="E2722" s="29" t="s">
        <v>464</v>
      </c>
      <c r="F2722" s="29" t="s">
        <v>36</v>
      </c>
      <c r="I2722" s="37" t="s">
        <v>37</v>
      </c>
    </row>
    <row r="2723" spans="1:9" x14ac:dyDescent="0.25">
      <c r="A2723" s="29" t="s">
        <v>131</v>
      </c>
      <c r="B2723" s="29" t="s">
        <v>67</v>
      </c>
      <c r="C2723" s="29" t="s">
        <v>34</v>
      </c>
      <c r="D2723" s="37" t="s">
        <v>2953</v>
      </c>
      <c r="E2723" s="29" t="s">
        <v>466</v>
      </c>
      <c r="F2723" s="29" t="s">
        <v>36</v>
      </c>
      <c r="I2723" s="37" t="s">
        <v>37</v>
      </c>
    </row>
    <row r="2724" spans="1:9" x14ac:dyDescent="0.25">
      <c r="A2724" s="29" t="s">
        <v>131</v>
      </c>
      <c r="B2724" s="29" t="s">
        <v>67</v>
      </c>
      <c r="C2724" s="29" t="s">
        <v>34</v>
      </c>
      <c r="D2724" s="37" t="s">
        <v>2954</v>
      </c>
      <c r="E2724" s="29" t="s">
        <v>468</v>
      </c>
      <c r="F2724" s="29" t="s">
        <v>36</v>
      </c>
      <c r="I2724" s="37" t="s">
        <v>37</v>
      </c>
    </row>
    <row r="2725" spans="1:9" x14ac:dyDescent="0.25">
      <c r="A2725" s="29" t="s">
        <v>131</v>
      </c>
      <c r="B2725" s="29" t="s">
        <v>67</v>
      </c>
      <c r="C2725" s="29" t="s">
        <v>34</v>
      </c>
      <c r="D2725" s="37" t="s">
        <v>2955</v>
      </c>
      <c r="E2725" s="29" t="s">
        <v>470</v>
      </c>
      <c r="F2725" s="29" t="s">
        <v>36</v>
      </c>
      <c r="I2725" s="37" t="s">
        <v>37</v>
      </c>
    </row>
    <row r="2726" spans="1:9" x14ac:dyDescent="0.25">
      <c r="A2726" s="29" t="s">
        <v>131</v>
      </c>
      <c r="B2726" s="29" t="s">
        <v>67</v>
      </c>
      <c r="C2726" s="29" t="s">
        <v>34</v>
      </c>
      <c r="D2726" s="37" t="s">
        <v>2956</v>
      </c>
      <c r="E2726" s="29" t="s">
        <v>456</v>
      </c>
      <c r="F2726" s="29" t="s">
        <v>36</v>
      </c>
      <c r="I2726" s="37" t="s">
        <v>37</v>
      </c>
    </row>
    <row r="2727" spans="1:9" x14ac:dyDescent="0.25">
      <c r="A2727" s="29" t="s">
        <v>131</v>
      </c>
      <c r="B2727" s="29" t="s">
        <v>67</v>
      </c>
      <c r="C2727" s="29" t="s">
        <v>34</v>
      </c>
      <c r="D2727" s="37" t="s">
        <v>2957</v>
      </c>
      <c r="E2727" s="29" t="s">
        <v>472</v>
      </c>
      <c r="F2727" s="29" t="s">
        <v>36</v>
      </c>
      <c r="I2727" s="37" t="s">
        <v>37</v>
      </c>
    </row>
    <row r="2728" spans="1:9" x14ac:dyDescent="0.25">
      <c r="A2728" s="29" t="s">
        <v>131</v>
      </c>
      <c r="B2728" s="29" t="s">
        <v>67</v>
      </c>
      <c r="C2728" s="29" t="s">
        <v>34</v>
      </c>
      <c r="D2728" s="37" t="s">
        <v>2958</v>
      </c>
      <c r="E2728" s="29" t="s">
        <v>473</v>
      </c>
      <c r="F2728" s="29" t="s">
        <v>36</v>
      </c>
      <c r="I2728" s="37" t="s">
        <v>37</v>
      </c>
    </row>
    <row r="2729" spans="1:9" x14ac:dyDescent="0.25">
      <c r="A2729" s="29" t="s">
        <v>131</v>
      </c>
      <c r="B2729" s="29" t="s">
        <v>67</v>
      </c>
      <c r="C2729" s="29" t="s">
        <v>34</v>
      </c>
      <c r="D2729" s="37" t="s">
        <v>2959</v>
      </c>
      <c r="E2729" s="29" t="s">
        <v>457</v>
      </c>
      <c r="F2729" s="29" t="s">
        <v>36</v>
      </c>
      <c r="G2729" s="29">
        <v>18.89</v>
      </c>
      <c r="H2729" s="71" t="s">
        <v>738</v>
      </c>
      <c r="I2729" s="37" t="str">
        <f>"https://www.dimensional.com.br/terminal-compressao-50mm2-1-comp-1f-bim-tbta50-intelli/p"</f>
        <v>https://www.dimensional.com.br/terminal-compressao-50mm2-1-comp-1f-bim-tbta50-intelli/p</v>
      </c>
    </row>
    <row r="2730" spans="1:9" x14ac:dyDescent="0.25">
      <c r="A2730" s="29" t="s">
        <v>131</v>
      </c>
      <c r="B2730" s="29" t="s">
        <v>67</v>
      </c>
      <c r="C2730" s="29" t="s">
        <v>34</v>
      </c>
      <c r="D2730" s="37" t="s">
        <v>2960</v>
      </c>
      <c r="E2730" s="29" t="s">
        <v>459</v>
      </c>
      <c r="F2730" s="29" t="s">
        <v>36</v>
      </c>
      <c r="I2730" s="37" t="s">
        <v>37</v>
      </c>
    </row>
    <row r="2731" spans="1:9" x14ac:dyDescent="0.25">
      <c r="A2731" s="29" t="s">
        <v>131</v>
      </c>
      <c r="B2731" s="29" t="s">
        <v>67</v>
      </c>
      <c r="C2731" s="29" t="s">
        <v>34</v>
      </c>
      <c r="D2731" s="37" t="s">
        <v>2961</v>
      </c>
      <c r="E2731" s="29" t="s">
        <v>460</v>
      </c>
      <c r="F2731" s="29" t="s">
        <v>36</v>
      </c>
      <c r="G2731" s="29">
        <v>19.79</v>
      </c>
      <c r="H2731" s="71" t="s">
        <v>738</v>
      </c>
      <c r="I2731" s="37" t="str">
        <f>"https://www.dimensional.com.br/terminal-compressao-95mm2-1-comp-1f-bim-tbta95-intelli/p"</f>
        <v>https://www.dimensional.com.br/terminal-compressao-95mm2-1-comp-1f-bim-tbta95-intelli/p</v>
      </c>
    </row>
    <row r="2732" spans="1:9" x14ac:dyDescent="0.25">
      <c r="A2732" s="29" t="s">
        <v>131</v>
      </c>
      <c r="B2732" s="29" t="s">
        <v>67</v>
      </c>
      <c r="C2732" s="29" t="s">
        <v>34</v>
      </c>
      <c r="D2732" s="37" t="s">
        <v>2962</v>
      </c>
      <c r="E2732" s="29" t="s">
        <v>455</v>
      </c>
      <c r="F2732" s="29" t="s">
        <v>36</v>
      </c>
      <c r="I2732" s="37" t="s">
        <v>37</v>
      </c>
    </row>
    <row r="2733" spans="1:9" x14ac:dyDescent="0.25">
      <c r="A2733" s="29" t="s">
        <v>131</v>
      </c>
      <c r="B2733" s="29" t="s">
        <v>67</v>
      </c>
      <c r="C2733" s="29" t="s">
        <v>34</v>
      </c>
      <c r="D2733" s="37" t="s">
        <v>2353</v>
      </c>
      <c r="E2733" s="29" t="s">
        <v>777</v>
      </c>
      <c r="F2733" s="29" t="s">
        <v>36</v>
      </c>
      <c r="G2733" s="29">
        <v>39.92</v>
      </c>
      <c r="H2733" s="71" t="s">
        <v>203</v>
      </c>
      <c r="I2733" s="37" t="str">
        <f>"https://www.eletrotrafo.com.br/terminal-tubular-bimetalico-a-compressao-p-disjuntor-120mm-tbd-120-10-intelli-02010148/p?skuId=19228"</f>
        <v>https://www.eletrotrafo.com.br/terminal-tubular-bimetalico-a-compressao-p-disjuntor-120mm-tbd-120-10-intelli-02010148/p?skuId=19228</v>
      </c>
    </row>
    <row r="2734" spans="1:9" x14ac:dyDescent="0.25">
      <c r="A2734" s="29" t="s">
        <v>131</v>
      </c>
      <c r="B2734" s="29" t="s">
        <v>67</v>
      </c>
      <c r="C2734" s="29" t="s">
        <v>34</v>
      </c>
      <c r="D2734" s="37" t="s">
        <v>2354</v>
      </c>
      <c r="E2734" s="29" t="s">
        <v>778</v>
      </c>
      <c r="F2734" s="29" t="s">
        <v>36</v>
      </c>
      <c r="G2734" s="29">
        <v>43.23</v>
      </c>
      <c r="H2734" s="71" t="s">
        <v>203</v>
      </c>
      <c r="I2734" s="37" t="str">
        <f>"https://www.eletrotrafo.com.br/terminal-tubular-bimetalico-a-compressao-p-disjuntor-150mm-tbd-150-10-intelli-02010149/p?skuId=19229"</f>
        <v>https://www.eletrotrafo.com.br/terminal-tubular-bimetalico-a-compressao-p-disjuntor-150mm-tbd-150-10-intelli-02010149/p?skuId=19229</v>
      </c>
    </row>
    <row r="2735" spans="1:9" x14ac:dyDescent="0.25">
      <c r="A2735" s="29" t="s">
        <v>131</v>
      </c>
      <c r="B2735" s="29" t="s">
        <v>67</v>
      </c>
      <c r="C2735" s="29" t="s">
        <v>34</v>
      </c>
      <c r="D2735" s="37" t="s">
        <v>2355</v>
      </c>
      <c r="E2735" s="29" t="s">
        <v>779</v>
      </c>
      <c r="F2735" s="29" t="s">
        <v>36</v>
      </c>
      <c r="G2735" s="29">
        <v>73.13</v>
      </c>
      <c r="H2735" s="71" t="s">
        <v>203</v>
      </c>
      <c r="I2735" s="37" t="str">
        <f>"https://www.eletrotrafo.com.br/terminal-tubular-bimetalico-a-compressao-p-disjuntor-185mm-tbd-185-10-intelli-02010150/p?skuId=19230"</f>
        <v>https://www.eletrotrafo.com.br/terminal-tubular-bimetalico-a-compressao-p-disjuntor-185mm-tbd-185-10-intelli-02010150/p?skuId=19230</v>
      </c>
    </row>
    <row r="2736" spans="1:9" x14ac:dyDescent="0.25">
      <c r="A2736" s="29" t="s">
        <v>131</v>
      </c>
      <c r="B2736" s="29" t="s">
        <v>67</v>
      </c>
      <c r="C2736" s="29" t="s">
        <v>34</v>
      </c>
      <c r="D2736" s="37" t="s">
        <v>2356</v>
      </c>
      <c r="E2736" s="29" t="s">
        <v>780</v>
      </c>
      <c r="F2736" s="29" t="s">
        <v>36</v>
      </c>
      <c r="I2736" s="37" t="s">
        <v>37</v>
      </c>
    </row>
    <row r="2737" spans="1:9" x14ac:dyDescent="0.25">
      <c r="A2737" s="29" t="s">
        <v>131</v>
      </c>
      <c r="B2737" s="29" t="s">
        <v>67</v>
      </c>
      <c r="C2737" s="29" t="s">
        <v>34</v>
      </c>
      <c r="D2737" s="37" t="s">
        <v>2357</v>
      </c>
      <c r="E2737" s="29" t="s">
        <v>781</v>
      </c>
      <c r="F2737" s="29" t="s">
        <v>36</v>
      </c>
      <c r="I2737" s="37" t="s">
        <v>37</v>
      </c>
    </row>
    <row r="2738" spans="1:9" x14ac:dyDescent="0.25">
      <c r="A2738" s="29" t="s">
        <v>131</v>
      </c>
      <c r="B2738" s="29" t="s">
        <v>67</v>
      </c>
      <c r="C2738" s="29" t="s">
        <v>34</v>
      </c>
      <c r="D2738" s="37" t="s">
        <v>2358</v>
      </c>
      <c r="E2738" s="29" t="s">
        <v>782</v>
      </c>
      <c r="F2738" s="29" t="s">
        <v>36</v>
      </c>
      <c r="G2738" s="29">
        <v>15.72</v>
      </c>
      <c r="H2738" s="71" t="s">
        <v>203</v>
      </c>
      <c r="I2738" s="37" t="str">
        <f>"https://www.eletrotrafo.com.br/terminal-tubular-bimetalico-a-compressao-p-disjuntor-16mm-tbd-16-8-intelli-02010142/p?skuId=19241"</f>
        <v>https://www.eletrotrafo.com.br/terminal-tubular-bimetalico-a-compressao-p-disjuntor-16mm-tbd-16-8-intelli-02010142/p?skuId=19241</v>
      </c>
    </row>
    <row r="2739" spans="1:9" x14ac:dyDescent="0.25">
      <c r="A2739" s="29" t="s">
        <v>131</v>
      </c>
      <c r="B2739" s="29" t="s">
        <v>67</v>
      </c>
      <c r="C2739" s="29" t="s">
        <v>34</v>
      </c>
      <c r="D2739" s="37" t="s">
        <v>2359</v>
      </c>
      <c r="E2739" s="29" t="s">
        <v>783</v>
      </c>
      <c r="F2739" s="29" t="s">
        <v>36</v>
      </c>
      <c r="G2739" s="29">
        <v>18.48</v>
      </c>
      <c r="H2739" s="71" t="s">
        <v>203</v>
      </c>
      <c r="I2739" s="37" t="str">
        <f>"https://www.eletrotrafo.com.br/terminal-tubular-bimetalico-a-compressao-p-disjuntor-25mm-tbd-25-8-intelli-02010143/p?skuId=19242"</f>
        <v>https://www.eletrotrafo.com.br/terminal-tubular-bimetalico-a-compressao-p-disjuntor-25mm-tbd-25-8-intelli-02010143/p?skuId=19242</v>
      </c>
    </row>
    <row r="2740" spans="1:9" x14ac:dyDescent="0.25">
      <c r="A2740" s="29" t="s">
        <v>131</v>
      </c>
      <c r="B2740" s="29" t="s">
        <v>67</v>
      </c>
      <c r="C2740" s="29" t="s">
        <v>34</v>
      </c>
      <c r="D2740" s="37" t="s">
        <v>2360</v>
      </c>
      <c r="E2740" s="29" t="s">
        <v>784</v>
      </c>
      <c r="F2740" s="29" t="s">
        <v>36</v>
      </c>
      <c r="G2740" s="29">
        <v>18.57</v>
      </c>
      <c r="H2740" s="71" t="s">
        <v>203</v>
      </c>
      <c r="I2740" s="37" t="str">
        <f>"https://www.eletrotrafo.com.br/terminal-tubular-bimetalico-a-compressao-p-disjuntor-35mm-tbd-35-8-intelli-02010144/p?skuId=19244"</f>
        <v>https://www.eletrotrafo.com.br/terminal-tubular-bimetalico-a-compressao-p-disjuntor-35mm-tbd-35-8-intelli-02010144/p?skuId=19244</v>
      </c>
    </row>
    <row r="2741" spans="1:9" x14ac:dyDescent="0.25">
      <c r="A2741" s="29" t="s">
        <v>131</v>
      </c>
      <c r="B2741" s="29" t="s">
        <v>67</v>
      </c>
      <c r="C2741" s="29" t="s">
        <v>34</v>
      </c>
      <c r="D2741" s="37" t="s">
        <v>2361</v>
      </c>
      <c r="E2741" s="29" t="s">
        <v>785</v>
      </c>
      <c r="F2741" s="29" t="s">
        <v>36</v>
      </c>
      <c r="G2741" s="29">
        <v>23.54</v>
      </c>
      <c r="H2741" s="71" t="s">
        <v>203</v>
      </c>
      <c r="I2741" s="37" t="str">
        <f>"https://www.eletrotrafo.com.br/terminal-tubular-bimetalico-a-compressao-p-disjuntor-50mm-tbd-50-8-intelli-02010145/p?skuId=19239"</f>
        <v>https://www.eletrotrafo.com.br/terminal-tubular-bimetalico-a-compressao-p-disjuntor-50mm-tbd-50-8-intelli-02010145/p?skuId=19239</v>
      </c>
    </row>
    <row r="2742" spans="1:9" x14ac:dyDescent="0.25">
      <c r="A2742" s="29" t="s">
        <v>131</v>
      </c>
      <c r="B2742" s="29" t="s">
        <v>67</v>
      </c>
      <c r="C2742" s="29" t="s">
        <v>34</v>
      </c>
      <c r="D2742" s="37" t="s">
        <v>2362</v>
      </c>
      <c r="E2742" s="29" t="s">
        <v>786</v>
      </c>
      <c r="F2742" s="29" t="s">
        <v>36</v>
      </c>
      <c r="G2742" s="29">
        <v>23.82</v>
      </c>
      <c r="H2742" s="71" t="s">
        <v>203</v>
      </c>
      <c r="I2742" s="37" t="str">
        <f>"https://www.eletrotrafo.com.br/terminal-tubular-bimetalico-a-compressao-p-disjuntor-70mm-tbd-70-8-intelli-02010146/p?skuId=19240"</f>
        <v>https://www.eletrotrafo.com.br/terminal-tubular-bimetalico-a-compressao-p-disjuntor-70mm-tbd-70-8-intelli-02010146/p?skuId=19240</v>
      </c>
    </row>
    <row r="2743" spans="1:9" x14ac:dyDescent="0.25">
      <c r="A2743" s="29" t="s">
        <v>131</v>
      </c>
      <c r="B2743" s="29" t="s">
        <v>67</v>
      </c>
      <c r="C2743" s="29" t="s">
        <v>34</v>
      </c>
      <c r="D2743" s="37" t="s">
        <v>2363</v>
      </c>
      <c r="E2743" s="29" t="s">
        <v>787</v>
      </c>
      <c r="F2743" s="29" t="s">
        <v>36</v>
      </c>
      <c r="G2743" s="29">
        <v>26.03</v>
      </c>
      <c r="H2743" s="71" t="s">
        <v>203</v>
      </c>
      <c r="I2743" s="37" t="str">
        <f>"https://www.eletrotrafo.com.br/terminal-tubular-bimetalico-a-compressao-p-disjuntor-95mm-tbd-95-8-intelli-02010147/p?skuId=19243"</f>
        <v>https://www.eletrotrafo.com.br/terminal-tubular-bimetalico-a-compressao-p-disjuntor-95mm-tbd-95-8-intelli-02010147/p?skuId=19243</v>
      </c>
    </row>
    <row r="2744" spans="1:9" x14ac:dyDescent="0.25">
      <c r="A2744" s="29" t="s">
        <v>131</v>
      </c>
      <c r="B2744" s="29" t="s">
        <v>806</v>
      </c>
      <c r="C2744" s="29" t="s">
        <v>34</v>
      </c>
      <c r="D2744" s="37" t="s">
        <v>1161</v>
      </c>
      <c r="E2744" s="29" t="s">
        <v>798</v>
      </c>
      <c r="F2744" s="29" t="s">
        <v>36</v>
      </c>
      <c r="G2744" s="29">
        <v>15</v>
      </c>
      <c r="H2744" s="71" t="s">
        <v>800</v>
      </c>
      <c r="I2744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745" spans="1:9" x14ac:dyDescent="0.25">
      <c r="A2745" s="29" t="s">
        <v>131</v>
      </c>
      <c r="B2745" s="29" t="s">
        <v>806</v>
      </c>
      <c r="C2745" s="29" t="s">
        <v>34</v>
      </c>
      <c r="D2745" s="37" t="s">
        <v>1162</v>
      </c>
      <c r="E2745" s="29" t="s">
        <v>798</v>
      </c>
      <c r="F2745" s="29" t="s">
        <v>36</v>
      </c>
      <c r="G2745" s="29">
        <v>29.95</v>
      </c>
      <c r="H2745" s="71" t="s">
        <v>800</v>
      </c>
      <c r="I2745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746" spans="1:9" x14ac:dyDescent="0.25">
      <c r="A2746" s="29" t="s">
        <v>131</v>
      </c>
      <c r="B2746" s="29" t="s">
        <v>806</v>
      </c>
      <c r="C2746" s="29" t="s">
        <v>34</v>
      </c>
      <c r="D2746" s="37" t="s">
        <v>1163</v>
      </c>
      <c r="E2746" s="29" t="s">
        <v>798</v>
      </c>
      <c r="F2746" s="29" t="s">
        <v>36</v>
      </c>
      <c r="G2746" s="29">
        <v>22.5</v>
      </c>
      <c r="H2746" s="71" t="s">
        <v>800</v>
      </c>
      <c r="I2746" s="37" t="str">
        <f>"https://www.infraeletrocalhas.com.br/fixacao.asp?produto=abracadeira-tirante-chumbador-arrruela-porca-parafuso"</f>
        <v>https://www.infraeletrocalhas.com.br/fixacao.asp?produto=abracadeira-tirante-chumbador-arrruela-porca-parafuso</v>
      </c>
    </row>
    <row r="2747" spans="1:9" x14ac:dyDescent="0.25">
      <c r="A2747" s="29" t="s">
        <v>23</v>
      </c>
      <c r="B2747" s="29" t="s">
        <v>127</v>
      </c>
      <c r="C2747" s="29" t="s">
        <v>34</v>
      </c>
      <c r="D2747" s="37" t="s">
        <v>3318</v>
      </c>
      <c r="E2747" s="29" t="s">
        <v>37</v>
      </c>
      <c r="F2747" s="29" t="s">
        <v>36</v>
      </c>
      <c r="G2747" s="29">
        <v>564.29999999999995</v>
      </c>
      <c r="H2747" s="71" t="s">
        <v>734</v>
      </c>
      <c r="I2747" s="37" t="str">
        <f>"https://www.aerotexextintores.com.br/abrigos-e-capas-de-extintores/"</f>
        <v>https://www.aerotexextintores.com.br/abrigos-e-capas-de-extintores/</v>
      </c>
    </row>
    <row r="2748" spans="1:9" x14ac:dyDescent="0.25">
      <c r="A2748" s="29" t="s">
        <v>23</v>
      </c>
      <c r="B2748" s="29" t="s">
        <v>127</v>
      </c>
      <c r="C2748" s="29" t="s">
        <v>34</v>
      </c>
      <c r="D2748" s="37" t="s">
        <v>3319</v>
      </c>
      <c r="E2748" s="29" t="s">
        <v>37</v>
      </c>
      <c r="F2748" s="29" t="s">
        <v>36</v>
      </c>
      <c r="G2748" s="29">
        <v>415.8</v>
      </c>
      <c r="H2748" s="71" t="s">
        <v>734</v>
      </c>
      <c r="I2748" s="37" t="str">
        <f>"https://www.aerotexextintores.com.br/abrigos-e-capas-de-extintores/"</f>
        <v>https://www.aerotexextintores.com.br/abrigos-e-capas-de-extintores/</v>
      </c>
    </row>
    <row r="2749" spans="1:9" x14ac:dyDescent="0.25">
      <c r="A2749" s="29" t="s">
        <v>23</v>
      </c>
      <c r="B2749" s="29" t="s">
        <v>127</v>
      </c>
      <c r="C2749" s="29">
        <v>10521</v>
      </c>
      <c r="D2749" s="37" t="s">
        <v>2364</v>
      </c>
      <c r="E2749" s="29" t="s">
        <v>37</v>
      </c>
      <c r="F2749" s="29" t="s">
        <v>36</v>
      </c>
      <c r="G2749" s="29">
        <v>285.20999999999998</v>
      </c>
      <c r="H2749" s="71" t="s">
        <v>38</v>
      </c>
      <c r="I2749" s="37" t="s">
        <v>207</v>
      </c>
    </row>
    <row r="2750" spans="1:9" x14ac:dyDescent="0.25">
      <c r="A2750" s="29" t="s">
        <v>23</v>
      </c>
      <c r="B2750" s="29" t="s">
        <v>127</v>
      </c>
      <c r="C2750" s="29">
        <v>10885</v>
      </c>
      <c r="D2750" s="37" t="s">
        <v>2365</v>
      </c>
      <c r="E2750" s="29" t="s">
        <v>37</v>
      </c>
      <c r="F2750" s="29" t="s">
        <v>36</v>
      </c>
      <c r="G2750" s="29">
        <v>360.76</v>
      </c>
      <c r="H2750" s="71" t="s">
        <v>38</v>
      </c>
      <c r="I2750" s="37" t="s">
        <v>207</v>
      </c>
    </row>
    <row r="2751" spans="1:9" x14ac:dyDescent="0.25">
      <c r="A2751" s="29" t="s">
        <v>23</v>
      </c>
      <c r="B2751" s="29" t="s">
        <v>127</v>
      </c>
      <c r="C2751" s="29">
        <v>20962</v>
      </c>
      <c r="D2751" s="37" t="s">
        <v>2366</v>
      </c>
      <c r="E2751" s="29" t="s">
        <v>37</v>
      </c>
      <c r="F2751" s="29" t="s">
        <v>36</v>
      </c>
      <c r="G2751" s="29">
        <v>298.8</v>
      </c>
      <c r="H2751" s="71" t="s">
        <v>38</v>
      </c>
      <c r="I2751" s="37" t="s">
        <v>207</v>
      </c>
    </row>
    <row r="2752" spans="1:9" x14ac:dyDescent="0.25">
      <c r="A2752" s="29" t="s">
        <v>23</v>
      </c>
      <c r="B2752" s="29" t="s">
        <v>127</v>
      </c>
      <c r="C2752" s="29">
        <v>20963</v>
      </c>
      <c r="D2752" s="37" t="s">
        <v>2367</v>
      </c>
      <c r="E2752" s="29" t="s">
        <v>37</v>
      </c>
      <c r="F2752" s="29" t="s">
        <v>36</v>
      </c>
      <c r="G2752" s="29">
        <v>365.01</v>
      </c>
      <c r="H2752" s="71" t="s">
        <v>38</v>
      </c>
      <c r="I2752" s="37" t="s">
        <v>207</v>
      </c>
    </row>
    <row r="2753" spans="1:9" x14ac:dyDescent="0.25">
      <c r="A2753" s="29" t="s">
        <v>23</v>
      </c>
      <c r="B2753" s="29" t="s">
        <v>129</v>
      </c>
      <c r="C2753" s="29" t="s">
        <v>34</v>
      </c>
      <c r="D2753" s="37" t="s">
        <v>1747</v>
      </c>
      <c r="E2753" s="29" t="s">
        <v>523</v>
      </c>
      <c r="F2753" s="29" t="s">
        <v>36</v>
      </c>
      <c r="G2753" s="29">
        <v>111.28</v>
      </c>
      <c r="H2753" s="71" t="s">
        <v>515</v>
      </c>
      <c r="I2753" s="37" t="str">
        <f>"https://www.prontax.com.br/product/acionador-manual-de-incendio-enderecavel-segurimax-compact"</f>
        <v>https://www.prontax.com.br/product/acionador-manual-de-incendio-enderecavel-segurimax-compact</v>
      </c>
    </row>
    <row r="2754" spans="1:9" x14ac:dyDescent="0.25">
      <c r="A2754" s="29" t="s">
        <v>23</v>
      </c>
      <c r="B2754" s="29" t="s">
        <v>129</v>
      </c>
      <c r="C2754" s="29" t="s">
        <v>34</v>
      </c>
      <c r="D2754" s="37" t="s">
        <v>1164</v>
      </c>
      <c r="E2754" s="29" t="s">
        <v>523</v>
      </c>
      <c r="F2754" s="29" t="s">
        <v>36</v>
      </c>
      <c r="G2754" s="29">
        <v>54.4</v>
      </c>
      <c r="H2754" s="71" t="s">
        <v>515</v>
      </c>
      <c r="I2754" s="37" t="str">
        <f>"https://www.prontax.com.br/product/acionador-sup-caixa-met-pint-epoxi-100-x-100-x-45"</f>
        <v>https://www.prontax.com.br/product/acionador-sup-caixa-met-pint-epoxi-100-x-100-x-45</v>
      </c>
    </row>
    <row r="2755" spans="1:9" x14ac:dyDescent="0.25">
      <c r="A2755" s="29" t="s">
        <v>23</v>
      </c>
      <c r="B2755" s="29" t="s">
        <v>129</v>
      </c>
      <c r="C2755" s="29">
        <v>12114</v>
      </c>
      <c r="D2755" s="37" t="s">
        <v>1447</v>
      </c>
      <c r="E2755" s="29" t="s">
        <v>37</v>
      </c>
      <c r="F2755" s="29" t="s">
        <v>36</v>
      </c>
      <c r="G2755" s="29">
        <v>140.68</v>
      </c>
      <c r="H2755" s="71" t="s">
        <v>38</v>
      </c>
      <c r="I2755" s="37" t="s">
        <v>207</v>
      </c>
    </row>
    <row r="2756" spans="1:9" x14ac:dyDescent="0.25">
      <c r="A2756" s="29" t="s">
        <v>23</v>
      </c>
      <c r="B2756" s="29" t="s">
        <v>129</v>
      </c>
      <c r="C2756" s="29">
        <v>38106</v>
      </c>
      <c r="D2756" s="37" t="s">
        <v>1165</v>
      </c>
      <c r="E2756" s="29" t="s">
        <v>37</v>
      </c>
      <c r="F2756" s="29" t="s">
        <v>36</v>
      </c>
      <c r="G2756" s="29">
        <v>19.12</v>
      </c>
      <c r="H2756" s="71" t="s">
        <v>38</v>
      </c>
      <c r="I2756" s="37" t="s">
        <v>207</v>
      </c>
    </row>
    <row r="2757" spans="1:9" x14ac:dyDescent="0.25">
      <c r="A2757" s="29" t="s">
        <v>23</v>
      </c>
      <c r="B2757" s="29" t="s">
        <v>129</v>
      </c>
      <c r="C2757" s="29">
        <v>38085</v>
      </c>
      <c r="D2757" s="37" t="s">
        <v>1166</v>
      </c>
      <c r="E2757" s="29" t="s">
        <v>37</v>
      </c>
      <c r="F2757" s="29" t="s">
        <v>36</v>
      </c>
      <c r="G2757" s="29">
        <v>22.58</v>
      </c>
      <c r="H2757" s="71" t="s">
        <v>38</v>
      </c>
      <c r="I2757" s="37" t="s">
        <v>207</v>
      </c>
    </row>
    <row r="2758" spans="1:9" x14ac:dyDescent="0.25">
      <c r="A2758" s="29" t="s">
        <v>23</v>
      </c>
      <c r="B2758" s="29" t="s">
        <v>82</v>
      </c>
      <c r="C2758" s="29">
        <v>10886</v>
      </c>
      <c r="D2758" s="37" t="s">
        <v>1748</v>
      </c>
      <c r="E2758" s="29" t="s">
        <v>37</v>
      </c>
      <c r="F2758" s="29" t="s">
        <v>36</v>
      </c>
      <c r="G2758" s="29">
        <v>209.56</v>
      </c>
      <c r="H2758" s="71" t="s">
        <v>38</v>
      </c>
      <c r="I2758" s="37" t="s">
        <v>207</v>
      </c>
    </row>
    <row r="2759" spans="1:9" x14ac:dyDescent="0.25">
      <c r="A2759" s="29" t="s">
        <v>23</v>
      </c>
      <c r="B2759" s="29" t="s">
        <v>82</v>
      </c>
      <c r="C2759" s="29">
        <v>10888</v>
      </c>
      <c r="D2759" s="37" t="s">
        <v>3320</v>
      </c>
      <c r="E2759" s="29" t="s">
        <v>37</v>
      </c>
      <c r="F2759" s="29" t="s">
        <v>36</v>
      </c>
      <c r="G2759" s="29">
        <v>663.23</v>
      </c>
      <c r="H2759" s="71" t="s">
        <v>38</v>
      </c>
      <c r="I2759" s="37" t="s">
        <v>207</v>
      </c>
    </row>
    <row r="2760" spans="1:9" x14ac:dyDescent="0.25">
      <c r="A2760" s="29" t="s">
        <v>23</v>
      </c>
      <c r="B2760" s="29" t="s">
        <v>82</v>
      </c>
      <c r="C2760" s="29">
        <v>10889</v>
      </c>
      <c r="D2760" s="37" t="s">
        <v>3321</v>
      </c>
      <c r="E2760" s="29" t="s">
        <v>37</v>
      </c>
      <c r="F2760" s="29" t="s">
        <v>36</v>
      </c>
      <c r="G2760" s="29">
        <v>718.5</v>
      </c>
      <c r="H2760" s="71" t="s">
        <v>38</v>
      </c>
      <c r="I2760" s="37" t="s">
        <v>207</v>
      </c>
    </row>
    <row r="2761" spans="1:9" x14ac:dyDescent="0.25">
      <c r="A2761" s="29" t="s">
        <v>23</v>
      </c>
      <c r="B2761" s="29" t="s">
        <v>82</v>
      </c>
      <c r="C2761" s="29">
        <v>10890</v>
      </c>
      <c r="D2761" s="37" t="s">
        <v>3322</v>
      </c>
      <c r="E2761" s="29" t="s">
        <v>37</v>
      </c>
      <c r="F2761" s="29" t="s">
        <v>36</v>
      </c>
      <c r="G2761" s="29">
        <v>331.61</v>
      </c>
      <c r="H2761" s="71" t="s">
        <v>38</v>
      </c>
      <c r="I2761" s="37" t="s">
        <v>207</v>
      </c>
    </row>
    <row r="2762" spans="1:9" x14ac:dyDescent="0.25">
      <c r="A2762" s="29" t="s">
        <v>23</v>
      </c>
      <c r="B2762" s="29" t="s">
        <v>82</v>
      </c>
      <c r="C2762" s="29">
        <v>10891</v>
      </c>
      <c r="D2762" s="37" t="s">
        <v>3323</v>
      </c>
      <c r="E2762" s="29" t="s">
        <v>37</v>
      </c>
      <c r="F2762" s="29" t="s">
        <v>36</v>
      </c>
      <c r="G2762" s="29">
        <v>202.65</v>
      </c>
      <c r="H2762" s="71" t="s">
        <v>38</v>
      </c>
      <c r="I2762" s="37" t="s">
        <v>207</v>
      </c>
    </row>
    <row r="2763" spans="1:9" x14ac:dyDescent="0.25">
      <c r="A2763" s="29" t="s">
        <v>23</v>
      </c>
      <c r="B2763" s="29" t="s">
        <v>82</v>
      </c>
      <c r="C2763" s="29">
        <v>10892</v>
      </c>
      <c r="D2763" s="37" t="s">
        <v>3324</v>
      </c>
      <c r="E2763" s="29" t="s">
        <v>37</v>
      </c>
      <c r="F2763" s="29" t="s">
        <v>36</v>
      </c>
      <c r="G2763" s="29">
        <v>239.5</v>
      </c>
      <c r="H2763" s="71" t="s">
        <v>38</v>
      </c>
      <c r="I2763" s="37" t="s">
        <v>207</v>
      </c>
    </row>
    <row r="2764" spans="1:9" x14ac:dyDescent="0.25">
      <c r="A2764" s="29" t="s">
        <v>23</v>
      </c>
      <c r="B2764" s="29" t="s">
        <v>82</v>
      </c>
      <c r="C2764" s="29">
        <v>20977</v>
      </c>
      <c r="D2764" s="37" t="s">
        <v>3325</v>
      </c>
      <c r="E2764" s="29" t="s">
        <v>37</v>
      </c>
      <c r="F2764" s="29" t="s">
        <v>36</v>
      </c>
      <c r="G2764" s="29">
        <v>285.55</v>
      </c>
      <c r="H2764" s="71" t="s">
        <v>38</v>
      </c>
      <c r="I2764" s="37" t="s">
        <v>207</v>
      </c>
    </row>
    <row r="2765" spans="1:9" x14ac:dyDescent="0.25">
      <c r="A2765" s="29" t="s">
        <v>23</v>
      </c>
      <c r="B2765" s="29" t="s">
        <v>85</v>
      </c>
      <c r="C2765" s="29">
        <v>12815</v>
      </c>
      <c r="D2765" s="37" t="s">
        <v>1749</v>
      </c>
      <c r="E2765" s="29" t="s">
        <v>37</v>
      </c>
      <c r="F2765" s="29" t="s">
        <v>36</v>
      </c>
      <c r="G2765" s="29">
        <v>10.210000000000001</v>
      </c>
      <c r="H2765" s="71" t="s">
        <v>38</v>
      </c>
      <c r="I2765" s="37" t="s">
        <v>207</v>
      </c>
    </row>
    <row r="2766" spans="1:9" x14ac:dyDescent="0.25">
      <c r="A2766" s="29" t="s">
        <v>23</v>
      </c>
      <c r="B2766" s="29" t="s">
        <v>98</v>
      </c>
      <c r="C2766" s="29">
        <v>37560</v>
      </c>
      <c r="D2766" s="37" t="s">
        <v>2623</v>
      </c>
      <c r="E2766" s="29" t="s">
        <v>37</v>
      </c>
      <c r="F2766" s="29" t="s">
        <v>36</v>
      </c>
      <c r="G2766" s="29">
        <v>39.369999999999997</v>
      </c>
      <c r="H2766" s="71" t="s">
        <v>38</v>
      </c>
      <c r="I2766" s="37" t="s">
        <v>207</v>
      </c>
    </row>
    <row r="2767" spans="1:9" x14ac:dyDescent="0.25">
      <c r="A2767" s="29" t="s">
        <v>23</v>
      </c>
      <c r="B2767" s="29" t="s">
        <v>98</v>
      </c>
      <c r="C2767" s="29">
        <v>37557</v>
      </c>
      <c r="D2767" s="37" t="s">
        <v>2624</v>
      </c>
      <c r="E2767" s="29" t="s">
        <v>37</v>
      </c>
      <c r="F2767" s="29" t="s">
        <v>36</v>
      </c>
      <c r="G2767" s="29">
        <v>11.95</v>
      </c>
      <c r="H2767" s="71" t="s">
        <v>38</v>
      </c>
      <c r="I2767" s="37" t="s">
        <v>207</v>
      </c>
    </row>
    <row r="2768" spans="1:9" x14ac:dyDescent="0.25">
      <c r="A2768" s="29" t="s">
        <v>23</v>
      </c>
      <c r="B2768" s="29" t="s">
        <v>98</v>
      </c>
      <c r="C2768" s="29">
        <v>37556</v>
      </c>
      <c r="D2768" s="37" t="s">
        <v>2625</v>
      </c>
      <c r="E2768" s="29" t="s">
        <v>37</v>
      </c>
      <c r="F2768" s="29" t="s">
        <v>36</v>
      </c>
      <c r="G2768" s="29">
        <v>23.13</v>
      </c>
      <c r="H2768" s="71" t="s">
        <v>38</v>
      </c>
      <c r="I2768" s="37" t="s">
        <v>207</v>
      </c>
    </row>
    <row r="2769" spans="1:9" x14ac:dyDescent="0.25">
      <c r="A2769" s="29" t="s">
        <v>23</v>
      </c>
      <c r="B2769" s="29" t="s">
        <v>98</v>
      </c>
      <c r="C2769" s="29">
        <v>37559</v>
      </c>
      <c r="D2769" s="37" t="s">
        <v>2626</v>
      </c>
      <c r="E2769" s="29" t="s">
        <v>37</v>
      </c>
      <c r="F2769" s="29" t="s">
        <v>36</v>
      </c>
      <c r="G2769" s="29">
        <v>28.37</v>
      </c>
      <c r="H2769" s="71" t="s">
        <v>38</v>
      </c>
      <c r="I2769" s="37" t="s">
        <v>207</v>
      </c>
    </row>
    <row r="2770" spans="1:9" x14ac:dyDescent="0.25">
      <c r="A2770" s="29" t="s">
        <v>23</v>
      </c>
      <c r="B2770" s="29" t="s">
        <v>98</v>
      </c>
      <c r="C2770" s="29">
        <v>37539</v>
      </c>
      <c r="D2770" s="37" t="s">
        <v>2627</v>
      </c>
      <c r="E2770" s="29" t="s">
        <v>37</v>
      </c>
      <c r="F2770" s="29" t="s">
        <v>36</v>
      </c>
      <c r="G2770" s="29">
        <v>20</v>
      </c>
      <c r="H2770" s="71" t="s">
        <v>38</v>
      </c>
      <c r="I2770" s="37" t="s">
        <v>207</v>
      </c>
    </row>
    <row r="2771" spans="1:9" x14ac:dyDescent="0.25">
      <c r="A2771" s="29" t="s">
        <v>23</v>
      </c>
      <c r="B2771" s="29" t="s">
        <v>98</v>
      </c>
      <c r="C2771" s="29">
        <v>37558</v>
      </c>
      <c r="D2771" s="37" t="s">
        <v>2628</v>
      </c>
      <c r="E2771" s="29" t="s">
        <v>37</v>
      </c>
      <c r="F2771" s="29" t="s">
        <v>36</v>
      </c>
      <c r="G2771" s="29">
        <v>37.29</v>
      </c>
      <c r="H2771" s="71" t="s">
        <v>38</v>
      </c>
      <c r="I2771" s="37" t="s">
        <v>207</v>
      </c>
    </row>
    <row r="2772" spans="1:9" x14ac:dyDescent="0.25">
      <c r="A2772" s="29" t="s">
        <v>23</v>
      </c>
      <c r="B2772" s="29" t="s">
        <v>98</v>
      </c>
      <c r="C2772" s="29" t="s">
        <v>34</v>
      </c>
      <c r="D2772" s="37" t="s">
        <v>1750</v>
      </c>
      <c r="E2772" s="29" t="s">
        <v>37</v>
      </c>
      <c r="F2772" s="29" t="s">
        <v>36</v>
      </c>
      <c r="G2772" s="29">
        <v>40.5</v>
      </c>
      <c r="H2772" s="71" t="s">
        <v>734</v>
      </c>
      <c r="I2772" s="37" t="str">
        <f>"https://www.totalplacas.com.br/placa-fotoluminescente-sinal-de-alerta-a5-cuidado-risco-choque-eletrico?variant_id=10943"</f>
        <v>https://www.totalplacas.com.br/placa-fotoluminescente-sinal-de-alerta-a5-cuidado-risco-choque-eletrico?variant_id=10943</v>
      </c>
    </row>
    <row r="2773" spans="1:9" x14ac:dyDescent="0.25">
      <c r="A2773" s="29" t="s">
        <v>23</v>
      </c>
      <c r="B2773" s="29" t="s">
        <v>98</v>
      </c>
      <c r="C2773" s="29" t="s">
        <v>34</v>
      </c>
      <c r="D2773" s="37" t="s">
        <v>1751</v>
      </c>
      <c r="E2773" s="29" t="s">
        <v>37</v>
      </c>
      <c r="F2773" s="29" t="s">
        <v>36</v>
      </c>
      <c r="G2773" s="29">
        <v>7.5</v>
      </c>
      <c r="H2773" s="71" t="s">
        <v>734</v>
      </c>
      <c r="I2773" s="37" t="str">
        <f>"https://www.totalplacas.com.br/placa-proibido-fumar-neste-local?variant_id=10523"</f>
        <v>https://www.totalplacas.com.br/placa-proibido-fumar-neste-local?variant_id=10523</v>
      </c>
    </row>
    <row r="2774" spans="1:9" x14ac:dyDescent="0.25">
      <c r="A2774" s="29" t="s">
        <v>23</v>
      </c>
      <c r="B2774" s="29" t="s">
        <v>98</v>
      </c>
      <c r="C2774" s="29" t="s">
        <v>34</v>
      </c>
      <c r="D2774" s="37" t="s">
        <v>2817</v>
      </c>
      <c r="E2774" s="29" t="s">
        <v>37</v>
      </c>
      <c r="F2774" s="29" t="s">
        <v>36</v>
      </c>
      <c r="G2774" s="29">
        <v>9</v>
      </c>
      <c r="H2774" s="71" t="s">
        <v>734</v>
      </c>
      <c r="I2774" s="37" t="str">
        <f>"https://www.totalplacas.com.br/placa-de-proibicao-p3-c-proibido-utilizar-agua?variant_id=11037"</f>
        <v>https://www.totalplacas.com.br/placa-de-proibicao-p3-c-proibido-utilizar-agua?variant_id=11037</v>
      </c>
    </row>
    <row r="2775" spans="1:9" x14ac:dyDescent="0.25">
      <c r="A2775" s="29" t="s">
        <v>23</v>
      </c>
      <c r="B2775" s="29" t="s">
        <v>98</v>
      </c>
      <c r="C2775" s="29" t="s">
        <v>34</v>
      </c>
      <c r="D2775" s="37" t="s">
        <v>1752</v>
      </c>
      <c r="E2775" s="29" t="s">
        <v>37</v>
      </c>
      <c r="F2775" s="29" t="s">
        <v>36</v>
      </c>
      <c r="G2775" s="29">
        <v>40.5</v>
      </c>
      <c r="H2775" s="71" t="s">
        <v>734</v>
      </c>
      <c r="I2775" s="37" t="str">
        <f>"https://www.totalplacas.com.br/placa-fotoluminescente-e5-extintor-de-incendio?variant_id=9629"</f>
        <v>https://www.totalplacas.com.br/placa-fotoluminescente-e5-extintor-de-incendio?variant_id=9629</v>
      </c>
    </row>
    <row r="2776" spans="1:9" x14ac:dyDescent="0.25">
      <c r="A2776" s="29" t="s">
        <v>23</v>
      </c>
      <c r="B2776" s="29" t="s">
        <v>98</v>
      </c>
      <c r="C2776" s="29" t="s">
        <v>34</v>
      </c>
      <c r="D2776" s="37" t="s">
        <v>1753</v>
      </c>
      <c r="E2776" s="29" t="s">
        <v>37</v>
      </c>
      <c r="F2776" s="29" t="s">
        <v>36</v>
      </c>
      <c r="G2776" s="29">
        <v>10.5</v>
      </c>
      <c r="H2776" s="71" t="s">
        <v>734</v>
      </c>
      <c r="I2776" s="37" t="str">
        <f>"https://www.totalplacas.com.br/indicacao-tipo-de-agente-extintor"</f>
        <v>https://www.totalplacas.com.br/indicacao-tipo-de-agente-extintor</v>
      </c>
    </row>
    <row r="2777" spans="1:9" x14ac:dyDescent="0.25">
      <c r="A2777" s="29" t="s">
        <v>23</v>
      </c>
      <c r="B2777" s="29" t="s">
        <v>98</v>
      </c>
      <c r="C2777" s="29" t="s">
        <v>34</v>
      </c>
      <c r="D2777" s="37" t="s">
        <v>1754</v>
      </c>
      <c r="E2777" s="29" t="s">
        <v>37</v>
      </c>
      <c r="F2777" s="29" t="s">
        <v>36</v>
      </c>
      <c r="G2777" s="29">
        <v>12.5</v>
      </c>
      <c r="H2777" s="71" t="s">
        <v>734</v>
      </c>
      <c r="I2777" s="37" t="str">
        <f>"https://www.totalplacas.com.br/placa-fotoluminescente-s12-a-saida-de-emergencia?variant_id=5261"</f>
        <v>https://www.totalplacas.com.br/placa-fotoluminescente-s12-a-saida-de-emergencia?variant_id=5261</v>
      </c>
    </row>
    <row r="2778" spans="1:9" x14ac:dyDescent="0.25">
      <c r="A2778" s="29" t="s">
        <v>23</v>
      </c>
      <c r="B2778" s="29" t="s">
        <v>64</v>
      </c>
      <c r="C2778" s="29">
        <v>7348</v>
      </c>
      <c r="D2778" s="37" t="s">
        <v>1167</v>
      </c>
      <c r="E2778" s="29" t="s">
        <v>37</v>
      </c>
      <c r="F2778" s="29" t="s">
        <v>65</v>
      </c>
      <c r="G2778" s="29">
        <v>17.64</v>
      </c>
      <c r="H2778" s="71" t="s">
        <v>38</v>
      </c>
      <c r="I2778" s="37" t="s">
        <v>207</v>
      </c>
    </row>
  </sheetData>
  <phoneticPr fontId="2" type="noConversion"/>
  <conditionalFormatting sqref="D2:D2778">
    <cfRule type="duplicateValues" dxfId="185" priority="92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76F9D-A53B-42B3-9B55-0407F43F6660}">
  <sheetPr codeName="Planilha2"/>
  <dimension ref="A1:W16"/>
  <sheetViews>
    <sheetView zoomScale="50" zoomScaleNormal="70" workbookViewId="0">
      <selection activeCell="P5" sqref="P5:Q7"/>
    </sheetView>
  </sheetViews>
  <sheetFormatPr defaultColWidth="9.140625" defaultRowHeight="15" x14ac:dyDescent="0.25"/>
  <cols>
    <col min="1" max="1" width="22.7109375" style="50" customWidth="1"/>
    <col min="2" max="3" width="9.140625" style="50"/>
    <col min="4" max="4" width="22.7109375" style="50" customWidth="1"/>
    <col min="5" max="6" width="9.140625" style="50" customWidth="1"/>
    <col min="7" max="7" width="22.7109375" style="50" customWidth="1"/>
    <col min="8" max="9" width="9.140625" style="50" customWidth="1"/>
    <col min="10" max="10" width="22.7109375" style="50" customWidth="1"/>
    <col min="11" max="12" width="9.140625" style="50" customWidth="1"/>
    <col min="13" max="13" width="22.7109375" style="50" customWidth="1"/>
    <col min="14" max="15" width="9.140625" style="50"/>
    <col min="16" max="16" width="62.7109375" style="50" customWidth="1"/>
    <col min="17" max="18" width="9.140625" style="50"/>
    <col min="19" max="19" width="34.7109375" style="50" customWidth="1"/>
    <col min="20" max="21" width="9.140625" style="50"/>
    <col min="22" max="22" width="26.7109375" style="50" customWidth="1"/>
    <col min="23" max="16384" width="9.140625" style="50"/>
  </cols>
  <sheetData>
    <row r="1" spans="1:23" s="47" customFormat="1" ht="30" customHeight="1" x14ac:dyDescent="0.25">
      <c r="A1" s="49" t="s">
        <v>170</v>
      </c>
    </row>
    <row r="2" spans="1:23" s="48" customFormat="1" ht="8.25" customHeight="1" x14ac:dyDescent="0.25"/>
    <row r="3" spans="1:23" ht="15" customHeight="1" thickBot="1" x14ac:dyDescent="0.3"/>
    <row r="4" spans="1:23" ht="15" customHeight="1" x14ac:dyDescent="0.25">
      <c r="A4" s="162" t="s">
        <v>200</v>
      </c>
      <c r="B4" s="163"/>
      <c r="D4" s="160" t="s">
        <v>201</v>
      </c>
      <c r="E4" s="161"/>
      <c r="G4" s="128" t="s">
        <v>202</v>
      </c>
      <c r="H4" s="129"/>
      <c r="J4" s="134" t="s">
        <v>186</v>
      </c>
      <c r="K4" s="135"/>
      <c r="M4" s="140" t="s">
        <v>187</v>
      </c>
      <c r="N4" s="141"/>
      <c r="P4" s="146" t="s">
        <v>188</v>
      </c>
      <c r="Q4" s="147"/>
      <c r="S4" s="116" t="s">
        <v>199</v>
      </c>
      <c r="T4" s="117"/>
      <c r="V4" s="122" t="s">
        <v>198</v>
      </c>
      <c r="W4" s="123"/>
    </row>
    <row r="5" spans="1:23" ht="15" customHeight="1" x14ac:dyDescent="0.25">
      <c r="A5" s="152">
        <f>SUM(AUXILIAR_DASHBOARD!C204:C213)</f>
        <v>12810.39</v>
      </c>
      <c r="B5" s="153"/>
      <c r="D5" s="148">
        <v>350000</v>
      </c>
      <c r="E5" s="149"/>
      <c r="G5" s="156">
        <f>D5-A5</f>
        <v>337189.61</v>
      </c>
      <c r="H5" s="157"/>
      <c r="J5" s="136">
        <v>4500</v>
      </c>
      <c r="K5" s="137"/>
      <c r="M5" s="142">
        <v>5500</v>
      </c>
      <c r="N5" s="143"/>
      <c r="P5" s="130">
        <v>3000000</v>
      </c>
      <c r="Q5" s="131"/>
      <c r="S5" s="118">
        <f>P5*(M5/1000)</f>
        <v>16500000</v>
      </c>
      <c r="T5" s="119"/>
      <c r="V5" s="124">
        <f>S5*0.6</f>
        <v>9900000</v>
      </c>
      <c r="W5" s="125"/>
    </row>
    <row r="6" spans="1:23" ht="15" customHeight="1" x14ac:dyDescent="0.25">
      <c r="A6" s="152"/>
      <c r="B6" s="153"/>
      <c r="D6" s="148"/>
      <c r="E6" s="149"/>
      <c r="G6" s="156"/>
      <c r="H6" s="157"/>
      <c r="J6" s="136"/>
      <c r="K6" s="137"/>
      <c r="M6" s="142"/>
      <c r="N6" s="143"/>
      <c r="P6" s="130"/>
      <c r="Q6" s="131"/>
      <c r="S6" s="118"/>
      <c r="T6" s="119"/>
      <c r="V6" s="124"/>
      <c r="W6" s="125"/>
    </row>
    <row r="7" spans="1:23" ht="15" customHeight="1" thickBot="1" x14ac:dyDescent="0.3">
      <c r="A7" s="154"/>
      <c r="B7" s="155"/>
      <c r="D7" s="150"/>
      <c r="E7" s="151"/>
      <c r="G7" s="158"/>
      <c r="H7" s="159"/>
      <c r="J7" s="138"/>
      <c r="K7" s="139"/>
      <c r="M7" s="144"/>
      <c r="N7" s="145"/>
      <c r="P7" s="132"/>
      <c r="Q7" s="133"/>
      <c r="S7" s="120"/>
      <c r="T7" s="121"/>
      <c r="V7" s="126"/>
      <c r="W7" s="127"/>
    </row>
    <row r="8" spans="1:23" ht="15" customHeight="1" x14ac:dyDescent="0.25"/>
    <row r="9" spans="1:23" ht="15" customHeight="1" x14ac:dyDescent="0.25"/>
    <row r="10" spans="1:23" ht="15" customHeight="1" x14ac:dyDescent="0.25"/>
    <row r="11" spans="1:23" ht="15" customHeight="1" x14ac:dyDescent="0.25"/>
    <row r="12" spans="1:23" ht="15" customHeight="1" x14ac:dyDescent="0.25"/>
    <row r="13" spans="1:23" ht="15" customHeight="1" x14ac:dyDescent="0.25"/>
    <row r="14" spans="1:23" ht="15" customHeight="1" x14ac:dyDescent="0.25"/>
    <row r="15" spans="1:23" ht="15" customHeight="1" x14ac:dyDescent="0.25"/>
    <row r="16" spans="1:23" ht="15" customHeight="1" x14ac:dyDescent="0.25"/>
  </sheetData>
  <mergeCells count="16">
    <mergeCell ref="D5:E7"/>
    <mergeCell ref="A5:B7"/>
    <mergeCell ref="G5:H7"/>
    <mergeCell ref="D4:E4"/>
    <mergeCell ref="A4:B4"/>
    <mergeCell ref="S4:T4"/>
    <mergeCell ref="S5:T7"/>
    <mergeCell ref="V4:W4"/>
    <mergeCell ref="V5:W7"/>
    <mergeCell ref="G4:H4"/>
    <mergeCell ref="P5:Q7"/>
    <mergeCell ref="J4:K4"/>
    <mergeCell ref="J5:K7"/>
    <mergeCell ref="M4:N4"/>
    <mergeCell ref="M5:N7"/>
    <mergeCell ref="P4:Q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4" name="Button 18">
              <controlPr defaultSize="0" print="0" autoFill="0" autoPict="0" macro="[0]!GASTOS_POR_PRODUTO">
                <anchor moveWithCells="1" sizeWithCells="1">
                  <from>
                    <xdr:col>11</xdr:col>
                    <xdr:colOff>209550</xdr:colOff>
                    <xdr:row>14</xdr:row>
                    <xdr:rowOff>171450</xdr:rowOff>
                  </from>
                  <to>
                    <xdr:col>15</xdr:col>
                    <xdr:colOff>104775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ESCALA_LINEAR_PIZZA">
                <anchor moveWithCells="1" sizeWithCells="1">
                  <from>
                    <xdr:col>0</xdr:col>
                    <xdr:colOff>942975</xdr:colOff>
                    <xdr:row>14</xdr:row>
                    <xdr:rowOff>171450</xdr:rowOff>
                  </from>
                  <to>
                    <xdr:col>3</xdr:col>
                    <xdr:colOff>1447800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" name="Button 24">
              <controlPr defaultSize="0" print="0" autoFill="0" autoPict="0" macro="[0]!ESCALA_LOGARÍTMICA_PIZZA_DE_PIZZA">
                <anchor moveWithCells="1" sizeWithCells="1">
                  <from>
                    <xdr:col>3</xdr:col>
                    <xdr:colOff>1466850</xdr:colOff>
                    <xdr:row>14</xdr:row>
                    <xdr:rowOff>171450</xdr:rowOff>
                  </from>
                  <to>
                    <xdr:col>7</xdr:col>
                    <xdr:colOff>457200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" name="Button 25">
              <controlPr defaultSize="0" print="0" autoFill="0" autoPict="0" macro="[0]!GASTOS_POR_SUBFAMÍLIA">
                <anchor moveWithCells="1" sizeWithCells="1">
                  <from>
                    <xdr:col>15</xdr:col>
                    <xdr:colOff>142875</xdr:colOff>
                    <xdr:row>14</xdr:row>
                    <xdr:rowOff>171450</xdr:rowOff>
                  </from>
                  <to>
                    <xdr:col>15</xdr:col>
                    <xdr:colOff>3381375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FEBC-A259-499C-971E-98F034B484CF}">
  <sheetPr codeName="Planilha4"/>
  <dimension ref="B1:I200"/>
  <sheetViews>
    <sheetView zoomScaleNormal="100" workbookViewId="0">
      <selection activeCell="B10" sqref="B10"/>
    </sheetView>
  </sheetViews>
  <sheetFormatPr defaultColWidth="9.140625" defaultRowHeight="15" x14ac:dyDescent="0.25"/>
  <cols>
    <col min="1" max="1" width="9.140625" style="45"/>
    <col min="2" max="2" width="15" style="29" bestFit="1" customWidth="1"/>
    <col min="3" max="3" width="15.28515625" style="45" bestFit="1" customWidth="1"/>
    <col min="4" max="4" width="29.5703125" style="29" bestFit="1" customWidth="1"/>
    <col min="5" max="5" width="8.5703125" style="29" bestFit="1" customWidth="1"/>
    <col min="6" max="6" width="16.42578125" style="29" bestFit="1" customWidth="1"/>
    <col min="7" max="7" width="19.7109375" style="29" bestFit="1" customWidth="1"/>
    <col min="8" max="8" width="19" style="29" bestFit="1" customWidth="1"/>
    <col min="9" max="9" width="24.42578125" style="29" bestFit="1" customWidth="1"/>
    <col min="10" max="16384" width="9.140625" style="45"/>
  </cols>
  <sheetData>
    <row r="1" spans="2:9" ht="15.75" thickBot="1" x14ac:dyDescent="0.3">
      <c r="B1" s="45"/>
      <c r="D1" s="45"/>
      <c r="E1" s="45"/>
      <c r="F1" s="45"/>
      <c r="G1" s="45"/>
      <c r="H1" s="45"/>
      <c r="I1" s="45"/>
    </row>
    <row r="2" spans="2:9" x14ac:dyDescent="0.25">
      <c r="B2" s="26" t="s">
        <v>163</v>
      </c>
      <c r="C2" s="46" t="s">
        <v>143</v>
      </c>
      <c r="D2" s="22"/>
      <c r="E2" s="84" t="e" vm="1">
        <v>#VALUE!</v>
      </c>
      <c r="F2" s="85"/>
      <c r="G2" s="93" t="s">
        <v>145</v>
      </c>
      <c r="H2" s="164" cm="1">
        <f t="array" ref="H2">SUMPRODUCT(VALUE(IFERROR(TABELA_GERAL[VALOR TOTAL R$],0)))</f>
        <v>0</v>
      </c>
      <c r="I2" s="165"/>
    </row>
    <row r="3" spans="2:9" x14ac:dyDescent="0.25">
      <c r="B3" s="28" t="s">
        <v>133</v>
      </c>
      <c r="C3" s="37" t="str">
        <f>RIGHT('CAPA-LM'!B8,LEN('CAPA-LM'!B8)-4)</f>
        <v>XXXXX</v>
      </c>
      <c r="D3" s="24"/>
      <c r="E3" s="86"/>
      <c r="F3" s="87"/>
      <c r="G3" s="94"/>
      <c r="H3" s="166"/>
      <c r="I3" s="167"/>
    </row>
    <row r="4" spans="2:9" x14ac:dyDescent="0.25">
      <c r="B4" s="28" t="s">
        <v>134</v>
      </c>
      <c r="C4" s="38">
        <f ca="1">TODAY()</f>
        <v>46170</v>
      </c>
      <c r="D4" s="24"/>
      <c r="E4" s="86"/>
      <c r="F4" s="87"/>
      <c r="G4" s="94"/>
      <c r="H4" s="166"/>
      <c r="I4" s="167"/>
    </row>
    <row r="5" spans="2:9" ht="15.75" thickBot="1" x14ac:dyDescent="0.3">
      <c r="B5" s="30" t="s">
        <v>2</v>
      </c>
      <c r="C5" s="25" t="str">
        <f>'CAPA-LM'!C5</f>
        <v>ESTRADA VICINAL RURAL, 0 - ESTÂNCIA MR, ÁREA RURAL, COLIDER - MT</v>
      </c>
      <c r="D5" s="42"/>
      <c r="E5" s="88"/>
      <c r="F5" s="89"/>
      <c r="G5" s="95"/>
      <c r="H5" s="168"/>
      <c r="I5" s="169"/>
    </row>
    <row r="6" spans="2:9" ht="15.75" thickBot="1" x14ac:dyDescent="0.3">
      <c r="B6" s="90" t="s">
        <v>135</v>
      </c>
      <c r="C6" s="91"/>
      <c r="D6" s="91"/>
      <c r="E6" s="91"/>
      <c r="F6" s="92"/>
      <c r="G6" s="91" t="s">
        <v>141</v>
      </c>
      <c r="H6" s="91"/>
      <c r="I6" s="92"/>
    </row>
    <row r="7" spans="2:9" ht="15.75" thickBot="1" x14ac:dyDescent="0.3">
      <c r="B7" s="51" t="s">
        <v>8</v>
      </c>
      <c r="C7" s="33" t="s">
        <v>9</v>
      </c>
      <c r="D7" s="33" t="s">
        <v>29</v>
      </c>
      <c r="E7" s="33" t="s">
        <v>30</v>
      </c>
      <c r="F7" s="34" t="s">
        <v>142</v>
      </c>
      <c r="G7" s="33" t="s">
        <v>49</v>
      </c>
      <c r="H7" s="33" t="s">
        <v>144</v>
      </c>
      <c r="I7" s="34" t="s">
        <v>33</v>
      </c>
    </row>
    <row r="8" spans="2:9" x14ac:dyDescent="0.25">
      <c r="B8" s="52" t="str">
        <f>IF(C8&lt;&gt;"",1,"")</f>
        <v/>
      </c>
      <c r="C8" s="73"/>
      <c r="I8" s="24"/>
    </row>
    <row r="9" spans="2:9" x14ac:dyDescent="0.25">
      <c r="B9" s="23" t="e">
        <f>IF(#REF!&lt;&gt;"",MAX($B$8:B8)+1,"")</f>
        <v>#REF!</v>
      </c>
    </row>
    <row r="10" spans="2:9" x14ac:dyDescent="0.25">
      <c r="B10" s="52" t="e">
        <f>IF(#REF!&lt;&gt;"",MAX($B$8:B9)+1,"")</f>
        <v>#REF!</v>
      </c>
    </row>
    <row r="11" spans="2:9" x14ac:dyDescent="0.25">
      <c r="B11"/>
    </row>
    <row r="12" spans="2:9" x14ac:dyDescent="0.25">
      <c r="B12"/>
    </row>
    <row r="13" spans="2:9" x14ac:dyDescent="0.25">
      <c r="B13"/>
    </row>
    <row r="14" spans="2:9" x14ac:dyDescent="0.25">
      <c r="B14"/>
    </row>
    <row r="15" spans="2:9" x14ac:dyDescent="0.25">
      <c r="B15"/>
    </row>
    <row r="16" spans="2:9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 s="39"/>
    </row>
    <row r="162" spans="2:2" x14ac:dyDescent="0.25">
      <c r="B162" s="39"/>
    </row>
    <row r="163" spans="2:2" x14ac:dyDescent="0.25">
      <c r="B163" s="39"/>
    </row>
    <row r="164" spans="2:2" x14ac:dyDescent="0.25">
      <c r="B164" s="39"/>
    </row>
    <row r="165" spans="2:2" x14ac:dyDescent="0.25">
      <c r="B165" s="39"/>
    </row>
    <row r="166" spans="2:2" x14ac:dyDescent="0.25">
      <c r="B166" s="39"/>
    </row>
    <row r="167" spans="2:2" x14ac:dyDescent="0.25">
      <c r="B167" s="39"/>
    </row>
    <row r="168" spans="2:2" x14ac:dyDescent="0.25">
      <c r="B168" s="39"/>
    </row>
    <row r="169" spans="2:2" x14ac:dyDescent="0.25">
      <c r="B169" s="39"/>
    </row>
    <row r="170" spans="2:2" x14ac:dyDescent="0.25">
      <c r="B170" s="39"/>
    </row>
    <row r="171" spans="2:2" x14ac:dyDescent="0.25">
      <c r="B171" s="39"/>
    </row>
    <row r="172" spans="2:2" x14ac:dyDescent="0.25">
      <c r="B172" s="39"/>
    </row>
    <row r="173" spans="2:2" x14ac:dyDescent="0.25">
      <c r="B173" s="39"/>
    </row>
    <row r="174" spans="2:2" x14ac:dyDescent="0.25">
      <c r="B174" s="39"/>
    </row>
    <row r="175" spans="2:2" x14ac:dyDescent="0.25">
      <c r="B175" s="39"/>
    </row>
    <row r="176" spans="2:2" x14ac:dyDescent="0.25">
      <c r="B176" s="39"/>
    </row>
    <row r="177" spans="2:2" x14ac:dyDescent="0.25">
      <c r="B177" s="39"/>
    </row>
    <row r="178" spans="2:2" x14ac:dyDescent="0.25">
      <c r="B178" s="39"/>
    </row>
    <row r="179" spans="2:2" x14ac:dyDescent="0.25">
      <c r="B179" s="39"/>
    </row>
    <row r="180" spans="2:2" x14ac:dyDescent="0.25">
      <c r="B180" s="39"/>
    </row>
    <row r="181" spans="2:2" x14ac:dyDescent="0.25">
      <c r="B181" s="39"/>
    </row>
    <row r="182" spans="2:2" x14ac:dyDescent="0.25">
      <c r="B182" s="39"/>
    </row>
    <row r="183" spans="2:2" x14ac:dyDescent="0.25">
      <c r="B183" s="39"/>
    </row>
    <row r="184" spans="2:2" x14ac:dyDescent="0.25">
      <c r="B184" s="39"/>
    </row>
    <row r="185" spans="2:2" x14ac:dyDescent="0.25">
      <c r="B185" s="39"/>
    </row>
    <row r="186" spans="2:2" x14ac:dyDescent="0.25">
      <c r="B186" s="39"/>
    </row>
    <row r="187" spans="2:2" x14ac:dyDescent="0.25">
      <c r="B187" s="39"/>
    </row>
    <row r="188" spans="2:2" x14ac:dyDescent="0.25">
      <c r="B188" s="39"/>
    </row>
    <row r="189" spans="2:2" x14ac:dyDescent="0.25">
      <c r="B189" s="39"/>
    </row>
    <row r="190" spans="2:2" x14ac:dyDescent="0.25">
      <c r="B190" s="39"/>
    </row>
    <row r="191" spans="2:2" x14ac:dyDescent="0.25">
      <c r="B191" s="39"/>
    </row>
    <row r="192" spans="2:2" x14ac:dyDescent="0.25">
      <c r="B192" s="39"/>
    </row>
    <row r="193" spans="2:2" x14ac:dyDescent="0.25">
      <c r="B193" s="39"/>
    </row>
    <row r="194" spans="2:2" x14ac:dyDescent="0.25">
      <c r="B194" s="39"/>
    </row>
    <row r="195" spans="2:2" x14ac:dyDescent="0.25">
      <c r="B195" s="39"/>
    </row>
    <row r="196" spans="2:2" x14ac:dyDescent="0.25">
      <c r="B196" s="39"/>
    </row>
    <row r="197" spans="2:2" x14ac:dyDescent="0.25">
      <c r="B197" s="39"/>
    </row>
    <row r="198" spans="2:2" x14ac:dyDescent="0.25">
      <c r="B198" s="39"/>
    </row>
    <row r="199" spans="2:2" x14ac:dyDescent="0.25">
      <c r="B199" s="39"/>
    </row>
    <row r="200" spans="2:2" x14ac:dyDescent="0.25">
      <c r="B200" s="39"/>
    </row>
  </sheetData>
  <mergeCells count="5">
    <mergeCell ref="E2:F5"/>
    <mergeCell ref="B6:F6"/>
    <mergeCell ref="G6:I6"/>
    <mergeCell ref="G2:G5"/>
    <mergeCell ref="H2:I5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3" name="Button 7">
              <controlPr defaultSize="0" print="0" autoFill="0" autoPict="0" macro="[0]!OCULTAR_PLANILHAS">
                <anchor moveWithCells="1" sizeWithCells="1">
                  <from>
                    <xdr:col>10</xdr:col>
                    <xdr:colOff>9525</xdr:colOff>
                    <xdr:row>1</xdr:row>
                    <xdr:rowOff>19050</xdr:rowOff>
                  </from>
                  <to>
                    <xdr:col>12</xdr:col>
                    <xdr:colOff>228600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EXIBIR_PLANILHAS">
                <anchor moveWithCells="1" sizeWithCells="1">
                  <from>
                    <xdr:col>10</xdr:col>
                    <xdr:colOff>9525</xdr:colOff>
                    <xdr:row>4</xdr:row>
                    <xdr:rowOff>9525</xdr:rowOff>
                  </from>
                  <to>
                    <xdr:col>12</xdr:col>
                    <xdr:colOff>228600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94526-2EB5-4BFD-8155-79B86F3CAF62}">
  <sheetPr codeName="Planilha5"/>
  <dimension ref="B1:J31"/>
  <sheetViews>
    <sheetView zoomScale="85" zoomScaleNormal="85" workbookViewId="0">
      <selection activeCell="C8" sqref="C8"/>
    </sheetView>
  </sheetViews>
  <sheetFormatPr defaultRowHeight="15" x14ac:dyDescent="0.25"/>
  <cols>
    <col min="2" max="2" width="15" bestFit="1" customWidth="1"/>
    <col min="3" max="3" width="100.7109375" customWidth="1"/>
    <col min="4" max="4" width="32.42578125" bestFit="1" customWidth="1"/>
    <col min="5" max="5" width="8.85546875" bestFit="1" customWidth="1"/>
    <col min="6" max="6" width="10" bestFit="1" customWidth="1"/>
    <col min="7" max="7" width="9.85546875" bestFit="1" customWidth="1"/>
    <col min="8" max="8" width="24.85546875" bestFit="1" customWidth="1"/>
    <col min="9" max="9" width="20.42578125" bestFit="1" customWidth="1"/>
    <col min="10" max="10" width="26.42578125" bestFit="1" customWidth="1"/>
    <col min="12" max="12" width="11.140625" bestFit="1" customWidth="1"/>
  </cols>
  <sheetData>
    <row r="1" spans="2:10" ht="15.75" thickBot="1" x14ac:dyDescent="0.3"/>
    <row r="2" spans="2:10" x14ac:dyDescent="0.25">
      <c r="B2" s="26" t="s">
        <v>163</v>
      </c>
      <c r="C2" s="20" t="s">
        <v>11</v>
      </c>
      <c r="D2" s="27"/>
      <c r="E2" s="27"/>
      <c r="F2" s="84" t="e" vm="1">
        <v>#VALUE!</v>
      </c>
      <c r="G2" s="85"/>
      <c r="H2" s="170" t="s">
        <v>145</v>
      </c>
      <c r="I2" s="164" cm="1">
        <f t="array" ref="I2">SUMPRODUCT(VALUE(IFERROR(TABELA_ATERRAMENTO[VALOR TOTAL R$],0)))</f>
        <v>10799</v>
      </c>
      <c r="J2" s="165"/>
    </row>
    <row r="3" spans="2:10" x14ac:dyDescent="0.25">
      <c r="B3" s="28" t="s">
        <v>133</v>
      </c>
      <c r="C3" s="37" t="str">
        <f>RIGHT('CAPA-LM'!B8,LEN('CAPA-LM'!B8)-4)</f>
        <v>XXXXX</v>
      </c>
      <c r="D3" s="29"/>
      <c r="E3" s="29"/>
      <c r="F3" s="86"/>
      <c r="G3" s="87"/>
      <c r="H3" s="171"/>
      <c r="I3" s="166"/>
      <c r="J3" s="167"/>
    </row>
    <row r="4" spans="2:10" x14ac:dyDescent="0.25">
      <c r="B4" s="28" t="s">
        <v>134</v>
      </c>
      <c r="C4" s="38">
        <f ca="1">TODAY()</f>
        <v>46170</v>
      </c>
      <c r="D4" s="29"/>
      <c r="E4" s="29"/>
      <c r="F4" s="86"/>
      <c r="G4" s="87"/>
      <c r="H4" s="171"/>
      <c r="I4" s="166"/>
      <c r="J4" s="167"/>
    </row>
    <row r="5" spans="2:10" ht="15.75" thickBot="1" x14ac:dyDescent="0.3">
      <c r="B5" s="30" t="s">
        <v>2</v>
      </c>
      <c r="C5" s="25" t="str">
        <f>'CAPA-LM'!C5</f>
        <v>ESTRADA VICINAL RURAL, 0 - ESTÂNCIA MR, ÁREA RURAL, COLIDER - MT</v>
      </c>
      <c r="D5" s="31"/>
      <c r="E5" s="31"/>
      <c r="F5" s="88"/>
      <c r="G5" s="89"/>
      <c r="H5" s="172"/>
      <c r="I5" s="168"/>
      <c r="J5" s="169"/>
    </row>
    <row r="6" spans="2:10" ht="15.75" thickBot="1" x14ac:dyDescent="0.3">
      <c r="B6" s="90" t="s">
        <v>135</v>
      </c>
      <c r="C6" s="91"/>
      <c r="D6" s="91"/>
      <c r="E6" s="91"/>
      <c r="F6" s="91"/>
      <c r="G6" s="92"/>
      <c r="H6" s="91" t="s">
        <v>141</v>
      </c>
      <c r="I6" s="91"/>
      <c r="J6" s="92"/>
    </row>
    <row r="7" spans="2:10" ht="15.75" thickBot="1" x14ac:dyDescent="0.3">
      <c r="B7" s="32" t="s">
        <v>8</v>
      </c>
      <c r="C7" s="33" t="s">
        <v>9</v>
      </c>
      <c r="D7" s="33" t="s">
        <v>29</v>
      </c>
      <c r="E7" s="33" t="s">
        <v>30</v>
      </c>
      <c r="F7" s="33" t="s">
        <v>31</v>
      </c>
      <c r="G7" s="34" t="s">
        <v>32</v>
      </c>
      <c r="H7" s="33" t="s">
        <v>49</v>
      </c>
      <c r="I7" s="33" t="s">
        <v>144</v>
      </c>
      <c r="J7" s="34" t="s">
        <v>33</v>
      </c>
    </row>
    <row r="8" spans="2:10" x14ac:dyDescent="0.25">
      <c r="B8" s="21">
        <f>IF(TABELA_ATERRAMENTO[[#This Row],[DESCRIÇÃO]]&lt;&gt;"",1,"")</f>
        <v>1</v>
      </c>
      <c r="C8" s="35" t="s">
        <v>2060</v>
      </c>
      <c r="D8" s="27"/>
      <c r="E8" s="27" t="str">
        <f>IFERROR(VLOOKUP(TABELA_ATERRAMENTO[[#This Row],[DESCRIÇÃO]],'TABELA MÃE'!D:F,3,FALSE),"")</f>
        <v>un.</v>
      </c>
      <c r="F8" s="27">
        <v>100</v>
      </c>
      <c r="G8" s="22"/>
      <c r="H8" s="27">
        <f>IFERROR(IF(VLOOKUP(TABELA_ATERRAMENTO[[#This Row],[DESCRIÇÃO]],'TABELA MÃE'!D:H,4,FALSE)&lt;&gt;0,VLOOKUP(TABELA_ATERRAMENTO[[#This Row],[DESCRIÇÃO]],'TABELA MÃE'!D:H,4,FALSE),"SEM VALOR DE REFERÊNCIA"),"")</f>
        <v>107.99</v>
      </c>
      <c r="I8" s="27">
        <f>IFERROR(TABELA_ATERRAMENTO[[#This Row],[QTD.]]*IF(TABELA_ATERRAMENTO[[#This Row],[PREÇO MÉDIO R$]]="SEM VALOR DE REFERÊNCIA","0",TABELA_ATERRAMENTO[[#This Row],[PREÇO MÉDIO R$]]),"0")</f>
        <v>10799</v>
      </c>
      <c r="J8" s="22" t="str">
        <f>IFERROR(IF(VLOOKUP(TABELA_ATERRAMENTO[[#This Row],[DESCRIÇÃO]],'TABELA MÃE'!D:H,5,FALSE)&lt;&gt;0,VLOOKUP(TABELA_ATERRAMENTO[[#This Row],[DESCRIÇÃO]],'TABELA MÃE'!D:H,5,FALSE),"SEM VALOR DE REFERÊNCIA"),"")</f>
        <v>11/12/2025</v>
      </c>
    </row>
    <row r="9" spans="2:10" x14ac:dyDescent="0.25">
      <c r="B9" s="23" t="str">
        <f>IF(TABELA_ATERRAMENTO[[#This Row],[DESCRIÇÃO]]&lt;&gt;"",MAX($B$8:B8)+1,"")</f>
        <v/>
      </c>
      <c r="C9" s="41"/>
      <c r="D9" s="29" t="str">
        <f>IFERROR(VLOOKUP(TABELA_ATERRAMENTO[[#This Row],[DESCRIÇÃO]],'TABELA MÃE'!D:E,2,FALSE),"")</f>
        <v/>
      </c>
      <c r="E9" s="29" t="str">
        <f>IFERROR(VLOOKUP(TABELA_ATERRAMENTO[[#This Row],[DESCRIÇÃO]],'TABELA MÃE'!D:F,3,FALSE),"")</f>
        <v/>
      </c>
      <c r="F9" s="29">
        <v>10</v>
      </c>
      <c r="G9" s="24"/>
      <c r="H9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9" s="29" t="str">
        <f>IFERROR(TABELA_ATERRAMENTO[[#This Row],[QTD.]]*IF(TABELA_ATERRAMENTO[[#This Row],[PREÇO MÉDIO R$]]="SEM VALOR DE REFERÊNCIA","0",TABELA_ATERRAMENTO[[#This Row],[PREÇO MÉDIO R$]]),"0")</f>
        <v>0</v>
      </c>
      <c r="J9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10" spans="2:10" x14ac:dyDescent="0.25">
      <c r="B10" s="23" t="str">
        <f>IF(TABELA_ATERRAMENTO[[#This Row],[DESCRIÇÃO]]&lt;&gt;"",MAX($B$8:B9)+1,"")</f>
        <v/>
      </c>
      <c r="C10" s="41"/>
      <c r="D10" s="29" t="str">
        <f>IFERROR(VLOOKUP(TABELA_ATERRAMENTO[[#This Row],[DESCRIÇÃO]],'TABELA MÃE'!D:E,2,FALSE),"")</f>
        <v/>
      </c>
      <c r="E10" s="29" t="str">
        <f>IFERROR(VLOOKUP(TABELA_ATERRAMENTO[[#This Row],[DESCRIÇÃO]],'TABELA MÃE'!D:F,3,FALSE),"")</f>
        <v/>
      </c>
      <c r="F10" s="29"/>
      <c r="G10" s="24"/>
      <c r="H10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10" s="29" t="str">
        <f>IFERROR(TABELA_ATERRAMENTO[[#This Row],[QTD.]]*IF(TABELA_ATERRAMENTO[[#This Row],[PREÇO MÉDIO R$]]="SEM VALOR DE REFERÊNCIA","0",TABELA_ATERRAMENTO[[#This Row],[PREÇO MÉDIO R$]]),"0")</f>
        <v>0</v>
      </c>
      <c r="J10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11" spans="2:10" x14ac:dyDescent="0.25">
      <c r="B11" s="23" t="str">
        <f>IF(TABELA_ATERRAMENTO[[#This Row],[DESCRIÇÃO]]&lt;&gt;"",MAX($B$8:B10)+1,"")</f>
        <v/>
      </c>
      <c r="C11" s="41"/>
      <c r="D11" s="29" t="str">
        <f>IFERROR(VLOOKUP(TABELA_ATERRAMENTO[[#This Row],[DESCRIÇÃO]],'TABELA MÃE'!D:E,2,FALSE),"")</f>
        <v/>
      </c>
      <c r="E11" s="29" t="str">
        <f>IFERROR(VLOOKUP(TABELA_ATERRAMENTO[[#This Row],[DESCRIÇÃO]],'TABELA MÃE'!D:F,3,FALSE),"")</f>
        <v/>
      </c>
      <c r="F11" s="29"/>
      <c r="G11" s="24"/>
      <c r="H11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11" s="29" t="str">
        <f>IFERROR(TABELA_ATERRAMENTO[[#This Row],[QTD.]]*IF(TABELA_ATERRAMENTO[[#This Row],[PREÇO MÉDIO R$]]="SEM VALOR DE REFERÊNCIA","0",TABELA_ATERRAMENTO[[#This Row],[PREÇO MÉDIO R$]]),"0")</f>
        <v>0</v>
      </c>
      <c r="J11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12" spans="2:10" x14ac:dyDescent="0.25">
      <c r="B12" s="23" t="str">
        <f>IF(TABELA_ATERRAMENTO[[#This Row],[DESCRIÇÃO]]&lt;&gt;"",MAX($B$8:B11)+1,"")</f>
        <v/>
      </c>
      <c r="C12" s="41"/>
      <c r="D12" s="29" t="str">
        <f>IFERROR(VLOOKUP(TABELA_ATERRAMENTO[[#This Row],[DESCRIÇÃO]],'TABELA MÃE'!D:E,2,FALSE),"")</f>
        <v/>
      </c>
      <c r="E12" s="29" t="str">
        <f>IFERROR(VLOOKUP(TABELA_ATERRAMENTO[[#This Row],[DESCRIÇÃO]],'TABELA MÃE'!D:F,3,FALSE),"")</f>
        <v/>
      </c>
      <c r="F12" s="29"/>
      <c r="G12" s="24"/>
      <c r="H12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12" s="29" t="str">
        <f>IFERROR(TABELA_ATERRAMENTO[[#This Row],[QTD.]]*IF(TABELA_ATERRAMENTO[[#This Row],[PREÇO MÉDIO R$]]="SEM VALOR DE REFERÊNCIA","0",TABELA_ATERRAMENTO[[#This Row],[PREÇO MÉDIO R$]]),"0")</f>
        <v>0</v>
      </c>
      <c r="J12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13" spans="2:10" x14ac:dyDescent="0.25">
      <c r="B13" s="23" t="str">
        <f>IF(TABELA_ATERRAMENTO[[#This Row],[DESCRIÇÃO]]&lt;&gt;"",MAX($B$8:B12)+1,"")</f>
        <v/>
      </c>
      <c r="C13" s="41"/>
      <c r="D13" s="29" t="str">
        <f>IFERROR(VLOOKUP(TABELA_ATERRAMENTO[[#This Row],[DESCRIÇÃO]],'TABELA MÃE'!D:E,2,FALSE),"")</f>
        <v/>
      </c>
      <c r="E13" s="29" t="str">
        <f>IFERROR(VLOOKUP(TABELA_ATERRAMENTO[[#This Row],[DESCRIÇÃO]],'TABELA MÃE'!D:F,3,FALSE),"")</f>
        <v/>
      </c>
      <c r="F13" s="29"/>
      <c r="G13" s="24"/>
      <c r="H13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13" s="29" t="str">
        <f>IFERROR(TABELA_ATERRAMENTO[[#This Row],[QTD.]]*IF(TABELA_ATERRAMENTO[[#This Row],[PREÇO MÉDIO R$]]="SEM VALOR DE REFERÊNCIA","0",TABELA_ATERRAMENTO[[#This Row],[PREÇO MÉDIO R$]]),"0")</f>
        <v>0</v>
      </c>
      <c r="J13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14" spans="2:10" x14ac:dyDescent="0.25">
      <c r="B14" s="23" t="str">
        <f>IF(TABELA_ATERRAMENTO[[#This Row],[DESCRIÇÃO]]&lt;&gt;"",MAX($B$8:B13)+1,"")</f>
        <v/>
      </c>
      <c r="C14" s="41"/>
      <c r="D14" s="29" t="str">
        <f>IFERROR(VLOOKUP(TABELA_ATERRAMENTO[[#This Row],[DESCRIÇÃO]],'TABELA MÃE'!D:E,2,FALSE),"")</f>
        <v/>
      </c>
      <c r="E14" s="29" t="str">
        <f>IFERROR(VLOOKUP(TABELA_ATERRAMENTO[[#This Row],[DESCRIÇÃO]],'TABELA MÃE'!D:F,3,FALSE),"")</f>
        <v/>
      </c>
      <c r="F14" s="29"/>
      <c r="G14" s="24"/>
      <c r="H14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14" s="29" t="str">
        <f>IFERROR(TABELA_ATERRAMENTO[[#This Row],[QTD.]]*IF(TABELA_ATERRAMENTO[[#This Row],[PREÇO MÉDIO R$]]="SEM VALOR DE REFERÊNCIA","0",TABELA_ATERRAMENTO[[#This Row],[PREÇO MÉDIO R$]]),"0")</f>
        <v>0</v>
      </c>
      <c r="J14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15" spans="2:10" x14ac:dyDescent="0.25">
      <c r="B15" s="23" t="str">
        <f>IF(TABELA_ATERRAMENTO[[#This Row],[DESCRIÇÃO]]&lt;&gt;"",MAX($B$8:B14)+1,"")</f>
        <v/>
      </c>
      <c r="C15" s="41"/>
      <c r="D15" s="29" t="str">
        <f>IFERROR(VLOOKUP(TABELA_ATERRAMENTO[[#This Row],[DESCRIÇÃO]],'TABELA MÃE'!D:E,2,FALSE),"")</f>
        <v/>
      </c>
      <c r="E15" s="29" t="str">
        <f>IFERROR(VLOOKUP(TABELA_ATERRAMENTO[[#This Row],[DESCRIÇÃO]],'TABELA MÃE'!D:F,3,FALSE),"")</f>
        <v/>
      </c>
      <c r="F15" s="29"/>
      <c r="G15" s="24"/>
      <c r="H15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15" s="29" t="str">
        <f>IFERROR(TABELA_ATERRAMENTO[[#This Row],[QTD.]]*IF(TABELA_ATERRAMENTO[[#This Row],[PREÇO MÉDIO R$]]="SEM VALOR DE REFERÊNCIA","0",TABELA_ATERRAMENTO[[#This Row],[PREÇO MÉDIO R$]]),"0")</f>
        <v>0</v>
      </c>
      <c r="J15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16" spans="2:10" x14ac:dyDescent="0.25">
      <c r="B16" s="23" t="str">
        <f>IF(TABELA_ATERRAMENTO[[#This Row],[DESCRIÇÃO]]&lt;&gt;"",MAX($B$8:B15)+1,"")</f>
        <v/>
      </c>
      <c r="C16" s="41"/>
      <c r="D16" s="29" t="str">
        <f>IFERROR(VLOOKUP(TABELA_ATERRAMENTO[[#This Row],[DESCRIÇÃO]],'TABELA MÃE'!D:E,2,FALSE),"")</f>
        <v/>
      </c>
      <c r="E16" s="29" t="str">
        <f>IFERROR(VLOOKUP(TABELA_ATERRAMENTO[[#This Row],[DESCRIÇÃO]],'TABELA MÃE'!D:F,3,FALSE),"")</f>
        <v/>
      </c>
      <c r="F16" s="29"/>
      <c r="G16" s="24"/>
      <c r="H16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16" s="29" t="str">
        <f>IFERROR(TABELA_ATERRAMENTO[[#This Row],[QTD.]]*IF(TABELA_ATERRAMENTO[[#This Row],[PREÇO MÉDIO R$]]="SEM VALOR DE REFERÊNCIA","0",TABELA_ATERRAMENTO[[#This Row],[PREÇO MÉDIO R$]]),"0")</f>
        <v>0</v>
      </c>
      <c r="J16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17" spans="2:10" x14ac:dyDescent="0.25">
      <c r="B17" s="23" t="str">
        <f>IF(TABELA_ATERRAMENTO[[#This Row],[DESCRIÇÃO]]&lt;&gt;"",MAX($B$8:B16)+1,"")</f>
        <v/>
      </c>
      <c r="C17" s="41"/>
      <c r="D17" s="29" t="str">
        <f>IFERROR(VLOOKUP(TABELA_ATERRAMENTO[[#This Row],[DESCRIÇÃO]],'TABELA MÃE'!D:E,2,FALSE),"")</f>
        <v/>
      </c>
      <c r="E17" s="29" t="str">
        <f>IFERROR(VLOOKUP(TABELA_ATERRAMENTO[[#This Row],[DESCRIÇÃO]],'TABELA MÃE'!D:F,3,FALSE),"")</f>
        <v/>
      </c>
      <c r="F17" s="29"/>
      <c r="G17" s="24"/>
      <c r="H17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17" s="29" t="str">
        <f>IFERROR(TABELA_ATERRAMENTO[[#This Row],[QTD.]]*IF(TABELA_ATERRAMENTO[[#This Row],[PREÇO MÉDIO R$]]="SEM VALOR DE REFERÊNCIA","0",TABELA_ATERRAMENTO[[#This Row],[PREÇO MÉDIO R$]]),"0")</f>
        <v>0</v>
      </c>
      <c r="J17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18" spans="2:10" x14ac:dyDescent="0.25">
      <c r="B18" s="23" t="str">
        <f>IF(TABELA_ATERRAMENTO[[#This Row],[DESCRIÇÃO]]&lt;&gt;"",MAX($B$8:B17)+1,"")</f>
        <v/>
      </c>
      <c r="C18" s="41"/>
      <c r="D18" s="29" t="str">
        <f>IFERROR(VLOOKUP(TABELA_ATERRAMENTO[[#This Row],[DESCRIÇÃO]],'TABELA MÃE'!D:E,2,FALSE),"")</f>
        <v/>
      </c>
      <c r="E18" s="29" t="str">
        <f>IFERROR(VLOOKUP(TABELA_ATERRAMENTO[[#This Row],[DESCRIÇÃO]],'TABELA MÃE'!D:F,3,FALSE),"")</f>
        <v/>
      </c>
      <c r="F18" s="29"/>
      <c r="G18" s="24"/>
      <c r="H18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18" s="29" t="str">
        <f>IFERROR(TABELA_ATERRAMENTO[[#This Row],[QTD.]]*IF(TABELA_ATERRAMENTO[[#This Row],[PREÇO MÉDIO R$]]="SEM VALOR DE REFERÊNCIA","0",TABELA_ATERRAMENTO[[#This Row],[PREÇO MÉDIO R$]]),"0")</f>
        <v>0</v>
      </c>
      <c r="J18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19" spans="2:10" x14ac:dyDescent="0.25">
      <c r="B19" s="23" t="str">
        <f>IF(TABELA_ATERRAMENTO[[#This Row],[DESCRIÇÃO]]&lt;&gt;"",MAX($B$8:B18)+1,"")</f>
        <v/>
      </c>
      <c r="C19" s="41"/>
      <c r="D19" s="29" t="str">
        <f>IFERROR(VLOOKUP(TABELA_ATERRAMENTO[[#This Row],[DESCRIÇÃO]],'TABELA MÃE'!D:E,2,FALSE),"")</f>
        <v/>
      </c>
      <c r="E19" s="29" t="str">
        <f>IFERROR(VLOOKUP(TABELA_ATERRAMENTO[[#This Row],[DESCRIÇÃO]],'TABELA MÃE'!D:F,3,FALSE),"")</f>
        <v/>
      </c>
      <c r="F19" s="29"/>
      <c r="G19" s="24"/>
      <c r="H19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19" s="29" t="str">
        <f>IFERROR(TABELA_ATERRAMENTO[[#This Row],[QTD.]]*IF(TABELA_ATERRAMENTO[[#This Row],[PREÇO MÉDIO R$]]="SEM VALOR DE REFERÊNCIA","0",TABELA_ATERRAMENTO[[#This Row],[PREÇO MÉDIO R$]]),"0")</f>
        <v>0</v>
      </c>
      <c r="J19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20" spans="2:10" x14ac:dyDescent="0.25">
      <c r="B20" s="23" t="str">
        <f>IF(TABELA_ATERRAMENTO[[#This Row],[DESCRIÇÃO]]&lt;&gt;"",MAX($B$8:B19)+1,"")</f>
        <v/>
      </c>
      <c r="C20" s="41"/>
      <c r="D20" s="29" t="str">
        <f>IFERROR(VLOOKUP(TABELA_ATERRAMENTO[[#This Row],[DESCRIÇÃO]],'TABELA MÃE'!D:E,2,FALSE),"")</f>
        <v/>
      </c>
      <c r="E20" s="29" t="str">
        <f>IFERROR(VLOOKUP(TABELA_ATERRAMENTO[[#This Row],[DESCRIÇÃO]],'TABELA MÃE'!D:F,3,FALSE),"")</f>
        <v/>
      </c>
      <c r="F20" s="29"/>
      <c r="G20" s="24"/>
      <c r="H20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20" s="29" t="str">
        <f>IFERROR(TABELA_ATERRAMENTO[[#This Row],[QTD.]]*IF(TABELA_ATERRAMENTO[[#This Row],[PREÇO MÉDIO R$]]="SEM VALOR DE REFERÊNCIA","0",TABELA_ATERRAMENTO[[#This Row],[PREÇO MÉDIO R$]]),"0")</f>
        <v>0</v>
      </c>
      <c r="J20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21" spans="2:10" x14ac:dyDescent="0.25">
      <c r="B21" s="23" t="str">
        <f>IF(TABELA_ATERRAMENTO[[#This Row],[DESCRIÇÃO]]&lt;&gt;"",MAX($B$8:B20)+1,"")</f>
        <v/>
      </c>
      <c r="C21" s="41"/>
      <c r="D21" s="29" t="str">
        <f>IFERROR(VLOOKUP(TABELA_ATERRAMENTO[[#This Row],[DESCRIÇÃO]],'TABELA MÃE'!D:E,2,FALSE),"")</f>
        <v/>
      </c>
      <c r="E21" s="29" t="str">
        <f>IFERROR(VLOOKUP(TABELA_ATERRAMENTO[[#This Row],[DESCRIÇÃO]],'TABELA MÃE'!D:F,3,FALSE),"")</f>
        <v/>
      </c>
      <c r="F21" s="29"/>
      <c r="G21" s="24"/>
      <c r="H21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21" s="29" t="str">
        <f>IFERROR(TABELA_ATERRAMENTO[[#This Row],[QTD.]]*IF(TABELA_ATERRAMENTO[[#This Row],[PREÇO MÉDIO R$]]="SEM VALOR DE REFERÊNCIA","0",TABELA_ATERRAMENTO[[#This Row],[PREÇO MÉDIO R$]]),"0")</f>
        <v>0</v>
      </c>
      <c r="J21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22" spans="2:10" x14ac:dyDescent="0.25">
      <c r="B22" s="23" t="str">
        <f>IF(TABELA_ATERRAMENTO[[#This Row],[DESCRIÇÃO]]&lt;&gt;"",MAX($B$8:B21)+1,"")</f>
        <v/>
      </c>
      <c r="C22" s="41"/>
      <c r="D22" s="29" t="str">
        <f>IFERROR(VLOOKUP(TABELA_ATERRAMENTO[[#This Row],[DESCRIÇÃO]],'TABELA MÃE'!D:E,2,FALSE),"")</f>
        <v/>
      </c>
      <c r="E22" s="29" t="str">
        <f>IFERROR(VLOOKUP(TABELA_ATERRAMENTO[[#This Row],[DESCRIÇÃO]],'TABELA MÃE'!D:F,3,FALSE),"")</f>
        <v/>
      </c>
      <c r="F22" s="29"/>
      <c r="G22" s="24"/>
      <c r="H22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22" s="29" t="str">
        <f>IFERROR(TABELA_ATERRAMENTO[[#This Row],[QTD.]]*IF(TABELA_ATERRAMENTO[[#This Row],[PREÇO MÉDIO R$]]="SEM VALOR DE REFERÊNCIA","0",TABELA_ATERRAMENTO[[#This Row],[PREÇO MÉDIO R$]]),"0")</f>
        <v>0</v>
      </c>
      <c r="J22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23" spans="2:10" x14ac:dyDescent="0.25">
      <c r="B23" s="23" t="str">
        <f>IF(TABELA_ATERRAMENTO[[#This Row],[DESCRIÇÃO]]&lt;&gt;"",MAX($B$8:B22)+1,"")</f>
        <v/>
      </c>
      <c r="C23" s="41"/>
      <c r="D23" s="29" t="str">
        <f>IFERROR(VLOOKUP(TABELA_ATERRAMENTO[[#This Row],[DESCRIÇÃO]],'TABELA MÃE'!D:E,2,FALSE),"")</f>
        <v/>
      </c>
      <c r="E23" s="29" t="str">
        <f>IFERROR(VLOOKUP(TABELA_ATERRAMENTO[[#This Row],[DESCRIÇÃO]],'TABELA MÃE'!D:F,3,FALSE),"")</f>
        <v/>
      </c>
      <c r="F23" s="29"/>
      <c r="G23" s="24"/>
      <c r="H23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23" s="29" t="str">
        <f>IFERROR(TABELA_ATERRAMENTO[[#This Row],[QTD.]]*IF(TABELA_ATERRAMENTO[[#This Row],[PREÇO MÉDIO R$]]="SEM VALOR DE REFERÊNCIA","0",TABELA_ATERRAMENTO[[#This Row],[PREÇO MÉDIO R$]]),"0")</f>
        <v>0</v>
      </c>
      <c r="J23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24" spans="2:10" x14ac:dyDescent="0.25">
      <c r="B24" s="23" t="str">
        <f>IF(TABELA_ATERRAMENTO[[#This Row],[DESCRIÇÃO]]&lt;&gt;"",MAX($B$8:B23)+1,"")</f>
        <v/>
      </c>
      <c r="C24" s="41"/>
      <c r="D24" s="29" t="str">
        <f>IFERROR(VLOOKUP(TABELA_ATERRAMENTO[[#This Row],[DESCRIÇÃO]],'TABELA MÃE'!D:E,2,FALSE),"")</f>
        <v/>
      </c>
      <c r="E24" s="29" t="str">
        <f>IFERROR(VLOOKUP(TABELA_ATERRAMENTO[[#This Row],[DESCRIÇÃO]],'TABELA MÃE'!D:F,3,FALSE),"")</f>
        <v/>
      </c>
      <c r="F24" s="29"/>
      <c r="G24" s="24"/>
      <c r="H24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24" s="29" t="str">
        <f>IFERROR(TABELA_ATERRAMENTO[[#This Row],[QTD.]]*IF(TABELA_ATERRAMENTO[[#This Row],[PREÇO MÉDIO R$]]="SEM VALOR DE REFERÊNCIA","0",TABELA_ATERRAMENTO[[#This Row],[PREÇO MÉDIO R$]]),"0")</f>
        <v>0</v>
      </c>
      <c r="J24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25" spans="2:10" x14ac:dyDescent="0.25">
      <c r="B25" s="23" t="str">
        <f>IF(TABELA_ATERRAMENTO[[#This Row],[DESCRIÇÃO]]&lt;&gt;"",MAX($B$8:B24)+1,"")</f>
        <v/>
      </c>
      <c r="C25" s="41"/>
      <c r="D25" s="29" t="str">
        <f>IFERROR(VLOOKUP(TABELA_ATERRAMENTO[[#This Row],[DESCRIÇÃO]],'TABELA MÃE'!D:E,2,FALSE),"")</f>
        <v/>
      </c>
      <c r="E25" s="29" t="str">
        <f>IFERROR(VLOOKUP(TABELA_ATERRAMENTO[[#This Row],[DESCRIÇÃO]],'TABELA MÃE'!D:F,3,FALSE),"")</f>
        <v/>
      </c>
      <c r="F25" s="29"/>
      <c r="G25" s="24"/>
      <c r="H25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25" s="29" t="str">
        <f>IFERROR(TABELA_ATERRAMENTO[[#This Row],[QTD.]]*IF(TABELA_ATERRAMENTO[[#This Row],[PREÇO MÉDIO R$]]="SEM VALOR DE REFERÊNCIA","0",TABELA_ATERRAMENTO[[#This Row],[PREÇO MÉDIO R$]]),"0")</f>
        <v>0</v>
      </c>
      <c r="J25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26" spans="2:10" x14ac:dyDescent="0.25">
      <c r="B26" s="23" t="str">
        <f>IF(TABELA_ATERRAMENTO[[#This Row],[DESCRIÇÃO]]&lt;&gt;"",MAX($B$8:B25)+1,"")</f>
        <v/>
      </c>
      <c r="C26" s="41"/>
      <c r="D26" s="29" t="str">
        <f>IFERROR(VLOOKUP(TABELA_ATERRAMENTO[[#This Row],[DESCRIÇÃO]],'TABELA MÃE'!D:E,2,FALSE),"")</f>
        <v/>
      </c>
      <c r="E26" s="29" t="str">
        <f>IFERROR(VLOOKUP(TABELA_ATERRAMENTO[[#This Row],[DESCRIÇÃO]],'TABELA MÃE'!D:F,3,FALSE),"")</f>
        <v/>
      </c>
      <c r="F26" s="29"/>
      <c r="G26" s="24"/>
      <c r="H26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26" s="29" t="str">
        <f>IFERROR(TABELA_ATERRAMENTO[[#This Row],[QTD.]]*IF(TABELA_ATERRAMENTO[[#This Row],[PREÇO MÉDIO R$]]="SEM VALOR DE REFERÊNCIA","0",TABELA_ATERRAMENTO[[#This Row],[PREÇO MÉDIO R$]]),"0")</f>
        <v>0</v>
      </c>
      <c r="J26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27" spans="2:10" x14ac:dyDescent="0.25">
      <c r="B27" s="23" t="str">
        <f>IF(TABELA_ATERRAMENTO[[#This Row],[DESCRIÇÃO]]&lt;&gt;"",MAX($B$8:B26)+1,"")</f>
        <v/>
      </c>
      <c r="C27" s="41"/>
      <c r="D27" s="29" t="str">
        <f>IFERROR(VLOOKUP(TABELA_ATERRAMENTO[[#This Row],[DESCRIÇÃO]],'TABELA MÃE'!D:E,2,FALSE),"")</f>
        <v/>
      </c>
      <c r="E27" s="29" t="str">
        <f>IFERROR(VLOOKUP(TABELA_ATERRAMENTO[[#This Row],[DESCRIÇÃO]],'TABELA MÃE'!D:F,3,FALSE),"")</f>
        <v/>
      </c>
      <c r="F27" s="29"/>
      <c r="G27" s="24"/>
      <c r="H27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27" s="29" t="str">
        <f>IFERROR(TABELA_ATERRAMENTO[[#This Row],[QTD.]]*IF(TABELA_ATERRAMENTO[[#This Row],[PREÇO MÉDIO R$]]="SEM VALOR DE REFERÊNCIA","0",TABELA_ATERRAMENTO[[#This Row],[PREÇO MÉDIO R$]]),"0")</f>
        <v>0</v>
      </c>
      <c r="J27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28" spans="2:10" x14ac:dyDescent="0.25">
      <c r="B28" s="23" t="str">
        <f>IF(TABELA_ATERRAMENTO[[#This Row],[DESCRIÇÃO]]&lt;&gt;"",MAX($B$8:B27)+1,"")</f>
        <v/>
      </c>
      <c r="C28" s="41"/>
      <c r="D28" s="29" t="str">
        <f>IFERROR(VLOOKUP(TABELA_ATERRAMENTO[[#This Row],[DESCRIÇÃO]],'TABELA MÃE'!D:E,2,FALSE),"")</f>
        <v/>
      </c>
      <c r="E28" s="29" t="str">
        <f>IFERROR(VLOOKUP(TABELA_ATERRAMENTO[[#This Row],[DESCRIÇÃO]],'TABELA MÃE'!D:F,3,FALSE),"")</f>
        <v/>
      </c>
      <c r="F28" s="29"/>
      <c r="G28" s="24"/>
      <c r="H28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28" s="29" t="str">
        <f>IFERROR(TABELA_ATERRAMENTO[[#This Row],[QTD.]]*IF(TABELA_ATERRAMENTO[[#This Row],[PREÇO MÉDIO R$]]="SEM VALOR DE REFERÊNCIA","0",TABELA_ATERRAMENTO[[#This Row],[PREÇO MÉDIO R$]]),"0")</f>
        <v>0</v>
      </c>
      <c r="J28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29" spans="2:10" x14ac:dyDescent="0.25">
      <c r="B29" s="23" t="str">
        <f>IF(TABELA_ATERRAMENTO[[#This Row],[DESCRIÇÃO]]&lt;&gt;"",MAX($B$8:B28)+1,"")</f>
        <v/>
      </c>
      <c r="C29" s="41"/>
      <c r="D29" s="29" t="str">
        <f>IFERROR(VLOOKUP(TABELA_ATERRAMENTO[[#This Row],[DESCRIÇÃO]],'TABELA MÃE'!D:E,2,FALSE),"")</f>
        <v/>
      </c>
      <c r="E29" s="29" t="str">
        <f>IFERROR(VLOOKUP(TABELA_ATERRAMENTO[[#This Row],[DESCRIÇÃO]],'TABELA MÃE'!D:F,3,FALSE),"")</f>
        <v/>
      </c>
      <c r="F29" s="29"/>
      <c r="G29" s="24"/>
      <c r="H29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29" s="29" t="str">
        <f>IFERROR(TABELA_ATERRAMENTO[[#This Row],[QTD.]]*IF(TABELA_ATERRAMENTO[[#This Row],[PREÇO MÉDIO R$]]="SEM VALOR DE REFERÊNCIA","0",TABELA_ATERRAMENTO[[#This Row],[PREÇO MÉDIO R$]]),"0")</f>
        <v>0</v>
      </c>
      <c r="J29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30" spans="2:10" x14ac:dyDescent="0.25">
      <c r="B30" s="23" t="str">
        <f>IF(TABELA_ATERRAMENTO[[#This Row],[DESCRIÇÃO]]&lt;&gt;"",MAX($B$8:B29)+1,"")</f>
        <v/>
      </c>
      <c r="C30" s="41"/>
      <c r="D30" s="29" t="str">
        <f>IFERROR(VLOOKUP(TABELA_ATERRAMENTO[[#This Row],[DESCRIÇÃO]],'TABELA MÃE'!D:E,2,FALSE),"")</f>
        <v/>
      </c>
      <c r="E30" s="29" t="str">
        <f>IFERROR(VLOOKUP(TABELA_ATERRAMENTO[[#This Row],[DESCRIÇÃO]],'TABELA MÃE'!D:F,3,FALSE),"")</f>
        <v/>
      </c>
      <c r="F30" s="29"/>
      <c r="G30" s="24"/>
      <c r="H30" s="29" t="str">
        <f>IFERROR(IF(VLOOKUP(TABELA_ATERRAMENTO[[#This Row],[DESCRIÇÃO]],'TABELA MÃE'!D:H,4,FALSE)&lt;&gt;0,VLOOKUP(TABELA_ATERRAMENTO[[#This Row],[DESCRIÇÃO]],'TABELA MÃE'!D:H,4,FALSE),"SEM VALOR DE REFERÊNCIA"),"")</f>
        <v/>
      </c>
      <c r="I30" s="29" t="str">
        <f>IFERROR(TABELA_ATERRAMENTO[[#This Row],[QTD.]]*IF(TABELA_ATERRAMENTO[[#This Row],[PREÇO MÉDIO R$]]="SEM VALOR DE REFERÊNCIA","0",TABELA_ATERRAMENTO[[#This Row],[PREÇO MÉDIO R$]]),"0")</f>
        <v>0</v>
      </c>
      <c r="J30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  <row r="31" spans="2:10" ht="15.75" thickBot="1" x14ac:dyDescent="0.3">
      <c r="B31" s="40" t="str">
        <f>IF(TABELA_ATERRAMENTO[[#This Row],[DESCRIÇÃO]]&lt;&gt;"",MAX($B$8:B30)+1,"")</f>
        <v/>
      </c>
      <c r="C31" s="36"/>
      <c r="D31" s="31" t="str">
        <f>IFERROR(VLOOKUP(TABELA_ATERRAMENTO[[#This Row],[DESCRIÇÃO]],'TABELA MÃE'!D:E,2,FALSE),"")</f>
        <v/>
      </c>
      <c r="E31" s="31" t="str">
        <f>IFERROR(VLOOKUP(TABELA_ATERRAMENTO[[#This Row],[DESCRIÇÃO]],'TABELA MÃE'!D:F,3,FALSE),"")</f>
        <v/>
      </c>
      <c r="F31" s="31"/>
      <c r="G31" s="42"/>
      <c r="H31" s="31" t="str">
        <f>IFERROR(IF(VLOOKUP(TABELA_ATERRAMENTO[[#This Row],[DESCRIÇÃO]],'TABELA MÃE'!D:H,4,FALSE)&lt;&gt;0,VLOOKUP(TABELA_ATERRAMENTO[[#This Row],[DESCRIÇÃO]],'TABELA MÃE'!D:H,4,FALSE),"SEM VALOR DE REFERÊNCIA"),"")</f>
        <v/>
      </c>
      <c r="I31" s="31" t="str">
        <f>IFERROR(TABELA_ATERRAMENTO[[#This Row],[QTD.]]*IF(TABELA_ATERRAMENTO[[#This Row],[PREÇO MÉDIO R$]]="SEM VALOR DE REFERÊNCIA","0",TABELA_ATERRAMENTO[[#This Row],[PREÇO MÉDIO R$]]),"0")</f>
        <v>0</v>
      </c>
      <c r="J31" s="24" t="str">
        <f>IFERROR(IF(VLOOKUP(TABELA_ATERRAMENTO[[#This Row],[DESCRIÇÃO]],'TABELA MÃE'!D:H,5,FALSE)&lt;&gt;0,VLOOKUP(TABELA_ATERRAMENTO[[#This Row],[DESCRIÇÃO]],'TABELA MÃE'!D:H,5,FALSE),"SEM VALOR DE REFERÊNCIA"),"")</f>
        <v/>
      </c>
    </row>
  </sheetData>
  <mergeCells count="5">
    <mergeCell ref="F2:G5"/>
    <mergeCell ref="B6:G6"/>
    <mergeCell ref="H6:J6"/>
    <mergeCell ref="H2:H5"/>
    <mergeCell ref="I2:J5"/>
  </mergeCells>
  <dataValidations count="1">
    <dataValidation type="list" allowBlank="1" showInputMessage="1" showErrorMessage="1" sqref="C2" xr:uid="{5A9201E6-781F-404B-809A-CD9609C05DCF}">
      <formula1>TABELA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4020478-D1DC-4DB0-8714-448B45A1D4C5}">
          <x14:formula1>
            <xm:f>OFFSET('TABELA MÃE'!$D$2,MATCH($C$2,'TABELA MÃE'!$A:$A,0)-2,0,COUNTIF('TABELA MÃE'!$A:$A,$C$2),1)</xm:f>
          </x14:formula1>
          <xm:sqref>C8:C31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AE156-9ED7-4256-8DDB-0DFE44D59A25}">
  <sheetPr codeName="Planilha6"/>
  <dimension ref="B1:J32"/>
  <sheetViews>
    <sheetView workbookViewId="0">
      <selection activeCell="C9" sqref="C9"/>
    </sheetView>
  </sheetViews>
  <sheetFormatPr defaultRowHeight="15" x14ac:dyDescent="0.25"/>
  <cols>
    <col min="2" max="2" width="15" bestFit="1" customWidth="1"/>
    <col min="3" max="3" width="100.7109375" customWidth="1"/>
    <col min="4" max="4" width="19.42578125" bestFit="1" customWidth="1"/>
    <col min="5" max="5" width="8.85546875" bestFit="1" customWidth="1"/>
    <col min="6" max="6" width="10" bestFit="1" customWidth="1"/>
    <col min="7" max="7" width="9.85546875" bestFit="1" customWidth="1"/>
    <col min="8" max="8" width="24.85546875" bestFit="1" customWidth="1"/>
    <col min="9" max="9" width="20.42578125" bestFit="1" customWidth="1"/>
    <col min="10" max="10" width="26.42578125" bestFit="1" customWidth="1"/>
    <col min="12" max="12" width="11.140625" bestFit="1" customWidth="1"/>
  </cols>
  <sheetData>
    <row r="1" spans="2:10" ht="15.75" thickBot="1" x14ac:dyDescent="0.3"/>
    <row r="2" spans="2:10" x14ac:dyDescent="0.25">
      <c r="B2" s="26" t="s">
        <v>163</v>
      </c>
      <c r="C2" s="20" t="s">
        <v>12</v>
      </c>
      <c r="D2" s="27"/>
      <c r="E2" s="27"/>
      <c r="F2" s="84" t="e" vm="1">
        <v>#VALUE!</v>
      </c>
      <c r="G2" s="85"/>
      <c r="H2" s="93" t="s">
        <v>145</v>
      </c>
      <c r="I2" s="96" cm="1">
        <f t="array" ref="I2">SUMPRODUCT(VALUE(IFERROR(TABELA_CA_BT[VALOR TOTAL R$],0)))</f>
        <v>1909.05</v>
      </c>
      <c r="J2" s="97"/>
    </row>
    <row r="3" spans="2:10" x14ac:dyDescent="0.25">
      <c r="B3" s="28" t="s">
        <v>133</v>
      </c>
      <c r="C3" s="37" t="str">
        <f>RIGHT('CAPA-LM'!B8,LEN('CAPA-LM'!B8)-4)</f>
        <v>XXXXX</v>
      </c>
      <c r="D3" s="29"/>
      <c r="E3" s="29"/>
      <c r="F3" s="86"/>
      <c r="G3" s="87"/>
      <c r="H3" s="94"/>
      <c r="I3" s="98"/>
      <c r="J3" s="99"/>
    </row>
    <row r="4" spans="2:10" x14ac:dyDescent="0.25">
      <c r="B4" s="28" t="s">
        <v>134</v>
      </c>
      <c r="C4" s="38">
        <f ca="1">TODAY()</f>
        <v>46170</v>
      </c>
      <c r="D4" s="29"/>
      <c r="E4" s="29"/>
      <c r="F4" s="86"/>
      <c r="G4" s="87"/>
      <c r="H4" s="94"/>
      <c r="I4" s="98"/>
      <c r="J4" s="99"/>
    </row>
    <row r="5" spans="2:10" ht="15.75" thickBot="1" x14ac:dyDescent="0.3">
      <c r="B5" s="30" t="s">
        <v>2</v>
      </c>
      <c r="C5" s="25" t="str">
        <f>'CAPA-LM'!C5</f>
        <v>ESTRADA VICINAL RURAL, 0 - ESTÂNCIA MR, ÁREA RURAL, COLIDER - MT</v>
      </c>
      <c r="D5" s="31"/>
      <c r="E5" s="31"/>
      <c r="F5" s="88"/>
      <c r="G5" s="89"/>
      <c r="H5" s="95"/>
      <c r="I5" s="100"/>
      <c r="J5" s="101"/>
    </row>
    <row r="6" spans="2:10" ht="15.75" thickBot="1" x14ac:dyDescent="0.3">
      <c r="B6" s="90" t="s">
        <v>135</v>
      </c>
      <c r="C6" s="91"/>
      <c r="D6" s="91"/>
      <c r="E6" s="91"/>
      <c r="F6" s="91"/>
      <c r="G6" s="92"/>
      <c r="H6" s="91" t="s">
        <v>141</v>
      </c>
      <c r="I6" s="91"/>
      <c r="J6" s="92"/>
    </row>
    <row r="7" spans="2:10" ht="30.75" thickBot="1" x14ac:dyDescent="0.3">
      <c r="B7" s="32" t="s">
        <v>8</v>
      </c>
      <c r="C7" s="33" t="s">
        <v>9</v>
      </c>
      <c r="D7" s="75" t="s">
        <v>29</v>
      </c>
      <c r="E7" s="33" t="s">
        <v>30</v>
      </c>
      <c r="F7" s="33" t="s">
        <v>31</v>
      </c>
      <c r="G7" s="34" t="s">
        <v>32</v>
      </c>
      <c r="H7" s="33" t="s">
        <v>49</v>
      </c>
      <c r="I7" s="33" t="s">
        <v>144</v>
      </c>
      <c r="J7" s="34" t="s">
        <v>33</v>
      </c>
    </row>
    <row r="8" spans="2:10" x14ac:dyDescent="0.25">
      <c r="B8" s="21">
        <f>IF(TABELA_CA_BT[[#This Row],[DESCRIÇÃO]]&lt;&gt;"",1,"")</f>
        <v>1</v>
      </c>
      <c r="C8" s="41" t="s">
        <v>996</v>
      </c>
      <c r="D8" s="27" t="str">
        <f>IFERROR(VLOOKUP(TABELA_CA_BT[[#This Row],[DESCRIÇÃO]],'TABELA MÃE'!D:E,2,FALSE),"")</f>
        <v>INFRA ELETROCALHAS</v>
      </c>
      <c r="E8" s="27" t="str">
        <f>IFERROR(VLOOKUP(TABELA_CA_BT[[#This Row],[DESCRIÇÃO]],'TABELA MÃE'!D:F,3,FALSE),"")</f>
        <v>un.</v>
      </c>
      <c r="F8" s="29">
        <f>ROUND((15+5+4.7+1.5+4)/3,0)</f>
        <v>10</v>
      </c>
      <c r="G8" s="22"/>
      <c r="H8" s="27">
        <f>IFERROR(IF(VLOOKUP(TABELA_CA_BT[[#This Row],[DESCRIÇÃO]],'TABELA MÃE'!D:H,4,FALSE)&lt;&gt;0,VLOOKUP(TABELA_CA_BT[[#This Row],[DESCRIÇÃO]],'TABELA MÃE'!D:H,4,FALSE),"SEM VALOR DE REFERÊNCIA"),"")</f>
        <v>72.900000000000006</v>
      </c>
      <c r="I8" s="77">
        <f>IFERROR(TABELA_CA_BT[[#This Row],[QTD.]]*IF(TABELA_CA_BT[[#This Row],[PREÇO MÉDIO R$]]="SEM VALOR DE REFERÊNCIA","0",TABELA_CA_BT[[#This Row],[PREÇO MÉDIO R$]]),"0")</f>
        <v>729</v>
      </c>
      <c r="J8" s="22" t="str">
        <f>IFERROR(IF(VLOOKUP(TABELA_CA_BT[[#This Row],[DESCRIÇÃO]],'TABELA MÃE'!D:H,5,FALSE)&lt;&gt;0,VLOOKUP(TABELA_CA_BT[[#This Row],[DESCRIÇÃO]],'TABELA MÃE'!D:H,5,FALSE),"SEM VALOR DE REFERÊNCIA"),"")</f>
        <v>09/01/2026</v>
      </c>
    </row>
    <row r="9" spans="2:10" x14ac:dyDescent="0.25">
      <c r="B9" s="23">
        <f>IF(TABELA_CA_BT[[#This Row],[DESCRIÇÃO]]&lt;&gt;"",MAX($B$8:B8)+1,"")</f>
        <v>2</v>
      </c>
      <c r="C9" s="41" t="s">
        <v>987</v>
      </c>
      <c r="D9" s="29" t="str">
        <f>IFERROR(VLOOKUP(TABELA_CA_BT[[#This Row],[DESCRIÇÃO]],'TABELA MÃE'!D:E,2,FALSE),"")</f>
        <v>INFRA ELETROCALHAS</v>
      </c>
      <c r="E9" s="29" t="str">
        <f>IFERROR(VLOOKUP(TABELA_CA_BT[[#This Row],[DESCRIÇÃO]],'TABELA MÃE'!D:F,3,FALSE),"")</f>
        <v>un.</v>
      </c>
      <c r="F9" s="29">
        <v>3</v>
      </c>
      <c r="G9" s="24"/>
      <c r="H9" s="29">
        <f>IFERROR(IF(VLOOKUP(TABELA_CA_BT[[#This Row],[DESCRIÇÃO]],'TABELA MÃE'!D:H,4,FALSE)&lt;&gt;0,VLOOKUP(TABELA_CA_BT[[#This Row],[DESCRIÇÃO]],'TABELA MÃE'!D:H,4,FALSE),"SEM VALOR DE REFERÊNCIA"),"")</f>
        <v>17.95</v>
      </c>
      <c r="I9" s="76">
        <f>IFERROR(TABELA_CA_BT[[#This Row],[QTD.]]*IF(TABELA_CA_BT[[#This Row],[PREÇO MÉDIO R$]]="SEM VALOR DE REFERÊNCIA","0",TABELA_CA_BT[[#This Row],[PREÇO MÉDIO R$]]),"0")</f>
        <v>53.849999999999994</v>
      </c>
      <c r="J9" s="24" t="str">
        <f>IFERROR(IF(VLOOKUP(TABELA_CA_BT[[#This Row],[DESCRIÇÃO]],'TABELA MÃE'!D:H,5,FALSE)&lt;&gt;0,VLOOKUP(TABELA_CA_BT[[#This Row],[DESCRIÇÃO]],'TABELA MÃE'!D:H,5,FALSE),"SEM VALOR DE REFERÊNCIA"),"")</f>
        <v>09/01/2026</v>
      </c>
    </row>
    <row r="10" spans="2:10" x14ac:dyDescent="0.25">
      <c r="B10" s="23">
        <f>IF(TABELA_CA_BT[[#This Row],[DESCRIÇÃO]]&lt;&gt;"",MAX($B$8:B9)+1,"")</f>
        <v>3</v>
      </c>
      <c r="C10" s="41" t="s">
        <v>1795</v>
      </c>
      <c r="D10" s="29" t="str">
        <f>IFERROR(VLOOKUP(TABELA_CA_BT[[#This Row],[DESCRIÇÃO]],'TABELA MÃE'!D:E,2,FALSE),"")</f>
        <v>INFRA ELETROCALHAS</v>
      </c>
      <c r="E10" s="29" t="str">
        <f>IFERROR(VLOOKUP(TABELA_CA_BT[[#This Row],[DESCRIÇÃO]],'TABELA MÃE'!D:F,3,FALSE),"")</f>
        <v>un.</v>
      </c>
      <c r="F10" s="29">
        <v>5</v>
      </c>
      <c r="G10" s="24"/>
      <c r="H10" s="29">
        <f>IFERROR(IF(VLOOKUP(TABELA_CA_BT[[#This Row],[DESCRIÇÃO]],'TABELA MÃE'!D:H,4,FALSE)&lt;&gt;0,VLOOKUP(TABELA_CA_BT[[#This Row],[DESCRIÇÃO]],'TABELA MÃE'!D:H,4,FALSE),"SEM VALOR DE REFERÊNCIA"),"")</f>
        <v>28.4</v>
      </c>
      <c r="I10" s="76">
        <f>IFERROR(TABELA_CA_BT[[#This Row],[QTD.]]*IF(TABELA_CA_BT[[#This Row],[PREÇO MÉDIO R$]]="SEM VALOR DE REFERÊNCIA","0",TABELA_CA_BT[[#This Row],[PREÇO MÉDIO R$]]),"0")</f>
        <v>142</v>
      </c>
      <c r="J10" s="24" t="str">
        <f>IFERROR(IF(VLOOKUP(TABELA_CA_BT[[#This Row],[DESCRIÇÃO]],'TABELA MÃE'!D:H,5,FALSE)&lt;&gt;0,VLOOKUP(TABELA_CA_BT[[#This Row],[DESCRIÇÃO]],'TABELA MÃE'!D:H,5,FALSE),"SEM VALOR DE REFERÊNCIA"),"")</f>
        <v>09/01/2026</v>
      </c>
    </row>
    <row r="11" spans="2:10" x14ac:dyDescent="0.25">
      <c r="B11" s="23"/>
      <c r="C11" s="41" t="s">
        <v>860</v>
      </c>
      <c r="D11" s="29" t="str">
        <f>IFERROR(VLOOKUP(TABELA_CA_BT[[#This Row],[DESCRIÇÃO]],'TABELA MÃE'!D:E,2,FALSE),"")</f>
        <v>INFRA ELETROCALHAS</v>
      </c>
      <c r="E11" s="29" t="str">
        <f>IFERROR(VLOOKUP(TABELA_CA_BT[[#This Row],[DESCRIÇÃO]],'TABELA MÃE'!D:F,3,FALSE),"")</f>
        <v>un.</v>
      </c>
      <c r="F11" s="29">
        <f>F8*3</f>
        <v>30</v>
      </c>
      <c r="G11" s="24"/>
      <c r="H11" s="29">
        <f>IFERROR(IF(VLOOKUP(TABELA_CA_BT[[#This Row],[DESCRIÇÃO]],'TABELA MÃE'!D:H,4,FALSE)&lt;&gt;0,VLOOKUP(TABELA_CA_BT[[#This Row],[DESCRIÇÃO]],'TABELA MÃE'!D:H,4,FALSE),"SEM VALOR DE REFERÊNCIA"),"")</f>
        <v>1.8</v>
      </c>
      <c r="I11" s="76">
        <f>IFERROR(TABELA_CA_BT[[#This Row],[QTD.]]*IF(TABELA_CA_BT[[#This Row],[PREÇO MÉDIO R$]]="SEM VALOR DE REFERÊNCIA","0",TABELA_CA_BT[[#This Row],[PREÇO MÉDIO R$]]),"0")</f>
        <v>54</v>
      </c>
      <c r="J11" s="24" t="str">
        <f>IFERROR(IF(VLOOKUP(TABELA_CA_BT[[#This Row],[DESCRIÇÃO]],'TABELA MÃE'!D:H,5,FALSE)&lt;&gt;0,VLOOKUP(TABELA_CA_BT[[#This Row],[DESCRIÇÃO]],'TABELA MÃE'!D:H,5,FALSE),"SEM VALOR DE REFERÊNCIA"),"")</f>
        <v>09/01/2026</v>
      </c>
    </row>
    <row r="12" spans="2:10" x14ac:dyDescent="0.25">
      <c r="B12" s="23">
        <f>IF(TABELA_CA_BT[[#This Row],[DESCRIÇÃO]]&lt;&gt;"",MAX($B$8:B10)+1,"")</f>
        <v>4</v>
      </c>
      <c r="C12" s="41" t="s">
        <v>3204</v>
      </c>
      <c r="D12" s="29" t="str">
        <f>IFERROR(VLOOKUP(TABELA_CA_BT[[#This Row],[DESCRIÇÃO]],'TABELA MÃE'!D:E,2,FALSE),"")</f>
        <v>DIVERSOS</v>
      </c>
      <c r="E12" s="29" t="str">
        <f>IFERROR(VLOOKUP(TABELA_CA_BT[[#This Row],[DESCRIÇÃO]],'TABELA MÃE'!D:F,3,FALSE),"")</f>
        <v>m</v>
      </c>
      <c r="F12" s="29">
        <f>3*F8</f>
        <v>30</v>
      </c>
      <c r="G12" s="24"/>
      <c r="H12" s="29">
        <f>IFERROR(IF(VLOOKUP(TABELA_CA_BT[[#This Row],[DESCRIÇÃO]],'TABELA MÃE'!D:H,4,FALSE)&lt;&gt;0,VLOOKUP(TABELA_CA_BT[[#This Row],[DESCRIÇÃO]],'TABELA MÃE'!D:H,4,FALSE),"SEM VALOR DE REFERÊNCIA"),"")</f>
        <v>4.09</v>
      </c>
      <c r="I12" s="76">
        <f>IFERROR(TABELA_CA_BT[[#This Row],[QTD.]]*IF(TABELA_CA_BT[[#This Row],[PREÇO MÉDIO R$]]="SEM VALOR DE REFERÊNCIA","0",TABELA_CA_BT[[#This Row],[PREÇO MÉDIO R$]]),"0")</f>
        <v>122.69999999999999</v>
      </c>
      <c r="J12" s="24" t="str">
        <f>IFERROR(IF(VLOOKUP(TABELA_CA_BT[[#This Row],[DESCRIÇÃO]],'TABELA MÃE'!D:H,5,FALSE)&lt;&gt;0,VLOOKUP(TABELA_CA_BT[[#This Row],[DESCRIÇÃO]],'TABELA MÃE'!D:H,5,FALSE),"SEM VALOR DE REFERÊNCIA"),"")</f>
        <v>10/12/2025</v>
      </c>
    </row>
    <row r="13" spans="2:10" x14ac:dyDescent="0.25">
      <c r="B13" s="23">
        <f>IF(TABELA_CA_BT[[#This Row],[DESCRIÇÃO]]&lt;&gt;"",MAX($B$8:B12)+1,"")</f>
        <v>5</v>
      </c>
      <c r="C13" s="41" t="s">
        <v>3203</v>
      </c>
      <c r="D13" s="29" t="str">
        <f>IFERROR(VLOOKUP(TABELA_CA_BT[[#This Row],[DESCRIÇÃO]],'TABELA MÃE'!D:E,2,FALSE),"")</f>
        <v>DIVERSOS</v>
      </c>
      <c r="E13" s="29" t="str">
        <f>IFERROR(VLOOKUP(TABELA_CA_BT[[#This Row],[DESCRIÇÃO]],'TABELA MÃE'!D:F,3,FALSE),"")</f>
        <v>m</v>
      </c>
      <c r="F13" s="29">
        <f>F12</f>
        <v>30</v>
      </c>
      <c r="G13" s="24"/>
      <c r="H13" s="29">
        <f>IFERROR(IF(VLOOKUP(TABELA_CA_BT[[#This Row],[DESCRIÇÃO]],'TABELA MÃE'!D:H,4,FALSE)&lt;&gt;0,VLOOKUP(TABELA_CA_BT[[#This Row],[DESCRIÇÃO]],'TABELA MÃE'!D:H,4,FALSE),"SEM VALOR DE REFERÊNCIA"),"")</f>
        <v>3.95</v>
      </c>
      <c r="I13" s="76">
        <f>IFERROR(TABELA_CA_BT[[#This Row],[QTD.]]*IF(TABELA_CA_BT[[#This Row],[PREÇO MÉDIO R$]]="SEM VALOR DE REFERÊNCIA","0",TABELA_CA_BT[[#This Row],[PREÇO MÉDIO R$]]),"0")</f>
        <v>118.5</v>
      </c>
      <c r="J13" s="24" t="str">
        <f>IFERROR(IF(VLOOKUP(TABELA_CA_BT[[#This Row],[DESCRIÇÃO]],'TABELA MÃE'!D:H,5,FALSE)&lt;&gt;0,VLOOKUP(TABELA_CA_BT[[#This Row],[DESCRIÇÃO]],'TABELA MÃE'!D:H,5,FALSE),"SEM VALOR DE REFERÊNCIA"),"")</f>
        <v>10/12/2025</v>
      </c>
    </row>
    <row r="14" spans="2:10" x14ac:dyDescent="0.25">
      <c r="B14" s="23">
        <f>IF(TABELA_CA_BT[[#This Row],[DESCRIÇÃO]]&lt;&gt;"",MAX($B$8:B13)+1,"")</f>
        <v>6</v>
      </c>
      <c r="C14" s="41" t="s">
        <v>3205</v>
      </c>
      <c r="D14" s="29" t="str">
        <f>IFERROR(VLOOKUP(TABELA_CA_BT[[#This Row],[DESCRIÇÃO]],'TABELA MÃE'!D:E,2,FALSE),"")</f>
        <v>DIVERSOS</v>
      </c>
      <c r="E14" s="29" t="str">
        <f>IFERROR(VLOOKUP(TABELA_CA_BT[[#This Row],[DESCRIÇÃO]],'TABELA MÃE'!D:F,3,FALSE),"")</f>
        <v>m</v>
      </c>
      <c r="F14" s="29">
        <f>F12</f>
        <v>30</v>
      </c>
      <c r="G14" s="24"/>
      <c r="H14" s="29">
        <f>IFERROR(IF(VLOOKUP(TABELA_CA_BT[[#This Row],[DESCRIÇÃO]],'TABELA MÃE'!D:H,4,FALSE)&lt;&gt;0,VLOOKUP(TABELA_CA_BT[[#This Row],[DESCRIÇÃO]],'TABELA MÃE'!D:H,4,FALSE),"SEM VALOR DE REFERÊNCIA"),"")</f>
        <v>3.95</v>
      </c>
      <c r="I14" s="76">
        <f>IFERROR(TABELA_CA_BT[[#This Row],[QTD.]]*IF(TABELA_CA_BT[[#This Row],[PREÇO MÉDIO R$]]="SEM VALOR DE REFERÊNCIA","0",TABELA_CA_BT[[#This Row],[PREÇO MÉDIO R$]]),"0")</f>
        <v>118.5</v>
      </c>
      <c r="J14" s="24" t="str">
        <f>IFERROR(IF(VLOOKUP(TABELA_CA_BT[[#This Row],[DESCRIÇÃO]],'TABELA MÃE'!D:H,5,FALSE)&lt;&gt;0,VLOOKUP(TABELA_CA_BT[[#This Row],[DESCRIÇÃO]],'TABELA MÃE'!D:H,5,FALSE),"SEM VALOR DE REFERÊNCIA"),"")</f>
        <v>10/12/2025</v>
      </c>
    </row>
    <row r="15" spans="2:10" x14ac:dyDescent="0.25">
      <c r="B15" s="23">
        <f>IF(TABELA_CA_BT[[#This Row],[DESCRIÇÃO]]&lt;&gt;"",MAX($B$8:B14)+1,"")</f>
        <v>7</v>
      </c>
      <c r="C15" s="41" t="s">
        <v>3171</v>
      </c>
      <c r="D15" s="29" t="str">
        <f>IFERROR(VLOOKUP(TABELA_CA_BT[[#This Row],[DESCRIÇÃO]],'TABELA MÃE'!D:E,2,FALSE),"")</f>
        <v>DIVERSOS</v>
      </c>
      <c r="E15" s="29" t="str">
        <f>IFERROR(VLOOKUP(TABELA_CA_BT[[#This Row],[DESCRIÇÃO]],'TABELA MÃE'!D:F,3,FALSE),"")</f>
        <v>m</v>
      </c>
      <c r="F15" s="29">
        <f>F8*3</f>
        <v>30</v>
      </c>
      <c r="G15" s="24"/>
      <c r="H15" s="29">
        <f>IFERROR(IF(VLOOKUP(TABELA_CA_BT[[#This Row],[DESCRIÇÃO]],'TABELA MÃE'!D:H,4,FALSE)&lt;&gt;0,VLOOKUP(TABELA_CA_BT[[#This Row],[DESCRIÇÃO]],'TABELA MÃE'!D:H,4,FALSE),"SEM VALOR DE REFERÊNCIA"),"")</f>
        <v>16.850000000000001</v>
      </c>
      <c r="I15" s="76">
        <f>IFERROR(TABELA_CA_BT[[#This Row],[QTD.]]*IF(TABELA_CA_BT[[#This Row],[PREÇO MÉDIO R$]]="SEM VALOR DE REFERÊNCIA","0",TABELA_CA_BT[[#This Row],[PREÇO MÉDIO R$]]),"0")</f>
        <v>505.50000000000006</v>
      </c>
      <c r="J15" s="24" t="str">
        <f>IFERROR(IF(VLOOKUP(TABELA_CA_BT[[#This Row],[DESCRIÇÃO]],'TABELA MÃE'!D:H,5,FALSE)&lt;&gt;0,VLOOKUP(TABELA_CA_BT[[#This Row],[DESCRIÇÃO]],'TABELA MÃE'!D:H,5,FALSE),"SEM VALOR DE REFERÊNCIA"),"")</f>
        <v>10/12/2025</v>
      </c>
    </row>
    <row r="16" spans="2:10" x14ac:dyDescent="0.25">
      <c r="B16" s="23">
        <f>IF(TABELA_CA_BT[[#This Row],[DESCRIÇÃO]]&lt;&gt;"",MAX($B$8:B15)+1,"")</f>
        <v>8</v>
      </c>
      <c r="C16" s="41" t="s">
        <v>919</v>
      </c>
      <c r="D16" s="29" t="str">
        <f>IFERROR(VLOOKUP(TABELA_CA_BT[[#This Row],[DESCRIÇÃO]],'TABELA MÃE'!D:E,2,FALSE),"")</f>
        <v>INFRA ELETROCALHAS</v>
      </c>
      <c r="E16" s="29" t="str">
        <f>IFERROR(VLOOKUP(TABELA_CA_BT[[#This Row],[DESCRIÇÃO]],'TABELA MÃE'!D:F,3,FALSE),"")</f>
        <v>un.</v>
      </c>
      <c r="F16" s="29">
        <v>2</v>
      </c>
      <c r="G16" s="24"/>
      <c r="H16" s="29">
        <f>IFERROR(IF(VLOOKUP(TABELA_CA_BT[[#This Row],[DESCRIÇÃO]],'TABELA MÃE'!D:H,4,FALSE)&lt;&gt;0,VLOOKUP(TABELA_CA_BT[[#This Row],[DESCRIÇÃO]],'TABELA MÃE'!D:H,4,FALSE),"SEM VALOR DE REFERÊNCIA"),"")</f>
        <v>32.5</v>
      </c>
      <c r="I16" s="76">
        <f>IFERROR(TABELA_CA_BT[[#This Row],[QTD.]]*IF(TABELA_CA_BT[[#This Row],[PREÇO MÉDIO R$]]="SEM VALOR DE REFERÊNCIA","0",TABELA_CA_BT[[#This Row],[PREÇO MÉDIO R$]]),"0")</f>
        <v>65</v>
      </c>
      <c r="J16" s="24" t="str">
        <f>IFERROR(IF(VLOOKUP(TABELA_CA_BT[[#This Row],[DESCRIÇÃO]],'TABELA MÃE'!D:H,5,FALSE)&lt;&gt;0,VLOOKUP(TABELA_CA_BT[[#This Row],[DESCRIÇÃO]],'TABELA MÃE'!D:H,5,FALSE),"SEM VALOR DE REFERÊNCIA"),"")</f>
        <v>08/01/2026</v>
      </c>
    </row>
    <row r="17" spans="2:10" x14ac:dyDescent="0.25">
      <c r="B17" s="23" t="str">
        <f>IF(TABELA_CA_BT[[#This Row],[DESCRIÇÃO]]&lt;&gt;"",MAX($B$8:B16)+1,"")</f>
        <v/>
      </c>
      <c r="C17" s="41"/>
      <c r="D17" s="29" t="str">
        <f>IFERROR(VLOOKUP(TABELA_CA_BT[[#This Row],[DESCRIÇÃO]],'TABELA MÃE'!D:E,2,FALSE),"")</f>
        <v/>
      </c>
      <c r="E17" s="29" t="str">
        <f>IFERROR(VLOOKUP(TABELA_CA_BT[[#This Row],[DESCRIÇÃO]],'TABELA MÃE'!D:F,3,FALSE),"")</f>
        <v/>
      </c>
      <c r="F17" s="29"/>
      <c r="G17" s="24"/>
      <c r="H17" s="29" t="str">
        <f>IFERROR(IF(VLOOKUP(TABELA_CA_BT[[#This Row],[DESCRIÇÃO]],'TABELA MÃE'!D:H,4,FALSE)&lt;&gt;0,VLOOKUP(TABELA_CA_BT[[#This Row],[DESCRIÇÃO]],'TABELA MÃE'!D:H,4,FALSE),"SEM VALOR DE REFERÊNCIA"),"")</f>
        <v/>
      </c>
      <c r="I17" s="76" t="str">
        <f>IFERROR(TABELA_CA_BT[[#This Row],[QTD.]]*IF(TABELA_CA_BT[[#This Row],[PREÇO MÉDIO R$]]="SEM VALOR DE REFERÊNCIA","0",TABELA_CA_BT[[#This Row],[PREÇO MÉDIO R$]]),"0")</f>
        <v>0</v>
      </c>
      <c r="J17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18" spans="2:10" x14ac:dyDescent="0.25">
      <c r="B18" s="23" t="str">
        <f>IF(TABELA_CA_BT[[#This Row],[DESCRIÇÃO]]&lt;&gt;"",MAX($B$8:B17)+1,"")</f>
        <v/>
      </c>
      <c r="C18" s="41"/>
      <c r="D18" s="29" t="str">
        <f>IFERROR(VLOOKUP(TABELA_CA_BT[[#This Row],[DESCRIÇÃO]],'TABELA MÃE'!D:E,2,FALSE),"")</f>
        <v/>
      </c>
      <c r="E18" s="29" t="str">
        <f>IFERROR(VLOOKUP(TABELA_CA_BT[[#This Row],[DESCRIÇÃO]],'TABELA MÃE'!D:F,3,FALSE),"")</f>
        <v/>
      </c>
      <c r="F18" s="29"/>
      <c r="G18" s="24"/>
      <c r="H18" s="29" t="str">
        <f>IFERROR(IF(VLOOKUP(TABELA_CA_BT[[#This Row],[DESCRIÇÃO]],'TABELA MÃE'!D:H,4,FALSE)&lt;&gt;0,VLOOKUP(TABELA_CA_BT[[#This Row],[DESCRIÇÃO]],'TABELA MÃE'!D:H,4,FALSE),"SEM VALOR DE REFERÊNCIA"),"")</f>
        <v/>
      </c>
      <c r="I18" s="76" t="str">
        <f>IFERROR(TABELA_CA_BT[[#This Row],[QTD.]]*IF(TABELA_CA_BT[[#This Row],[PREÇO MÉDIO R$]]="SEM VALOR DE REFERÊNCIA","0",TABELA_CA_BT[[#This Row],[PREÇO MÉDIO R$]]),"0")</f>
        <v>0</v>
      </c>
      <c r="J18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19" spans="2:10" x14ac:dyDescent="0.25">
      <c r="B19" s="23" t="str">
        <f>IF(TABELA_CA_BT[[#This Row],[DESCRIÇÃO]]&lt;&gt;"",MAX($B$8:B18)+1,"")</f>
        <v/>
      </c>
      <c r="C19" s="41"/>
      <c r="D19" s="29" t="str">
        <f>IFERROR(VLOOKUP(TABELA_CA_BT[[#This Row],[DESCRIÇÃO]],'TABELA MÃE'!D:E,2,FALSE),"")</f>
        <v/>
      </c>
      <c r="E19" s="29" t="str">
        <f>IFERROR(VLOOKUP(TABELA_CA_BT[[#This Row],[DESCRIÇÃO]],'TABELA MÃE'!D:F,3,FALSE),"")</f>
        <v/>
      </c>
      <c r="F19" s="29"/>
      <c r="G19" s="24"/>
      <c r="H19" s="29" t="str">
        <f>IFERROR(IF(VLOOKUP(TABELA_CA_BT[[#This Row],[DESCRIÇÃO]],'TABELA MÃE'!D:H,4,FALSE)&lt;&gt;0,VLOOKUP(TABELA_CA_BT[[#This Row],[DESCRIÇÃO]],'TABELA MÃE'!D:H,4,FALSE),"SEM VALOR DE REFERÊNCIA"),"")</f>
        <v/>
      </c>
      <c r="I19" s="76" t="str">
        <f>IFERROR(TABELA_CA_BT[[#This Row],[QTD.]]*IF(TABELA_CA_BT[[#This Row],[PREÇO MÉDIO R$]]="SEM VALOR DE REFERÊNCIA","0",TABELA_CA_BT[[#This Row],[PREÇO MÉDIO R$]]),"0")</f>
        <v>0</v>
      </c>
      <c r="J19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20" spans="2:10" x14ac:dyDescent="0.25">
      <c r="B20" s="23" t="str">
        <f>IF(TABELA_CA_BT[[#This Row],[DESCRIÇÃO]]&lt;&gt;"",MAX($B$8:B19)+1,"")</f>
        <v/>
      </c>
      <c r="C20" s="41"/>
      <c r="D20" s="29" t="str">
        <f>IFERROR(VLOOKUP(TABELA_CA_BT[[#This Row],[DESCRIÇÃO]],'TABELA MÃE'!D:E,2,FALSE),"")</f>
        <v/>
      </c>
      <c r="E20" s="29" t="str">
        <f>IFERROR(VLOOKUP(TABELA_CA_BT[[#This Row],[DESCRIÇÃO]],'TABELA MÃE'!D:F,3,FALSE),"")</f>
        <v/>
      </c>
      <c r="F20" s="29"/>
      <c r="G20" s="24"/>
      <c r="H20" s="29" t="str">
        <f>IFERROR(IF(VLOOKUP(TABELA_CA_BT[[#This Row],[DESCRIÇÃO]],'TABELA MÃE'!D:H,4,FALSE)&lt;&gt;0,VLOOKUP(TABELA_CA_BT[[#This Row],[DESCRIÇÃO]],'TABELA MÃE'!D:H,4,FALSE),"SEM VALOR DE REFERÊNCIA"),"")</f>
        <v/>
      </c>
      <c r="I20" s="76" t="str">
        <f>IFERROR(TABELA_CA_BT[[#This Row],[QTD.]]*IF(TABELA_CA_BT[[#This Row],[PREÇO MÉDIO R$]]="SEM VALOR DE REFERÊNCIA","0",TABELA_CA_BT[[#This Row],[PREÇO MÉDIO R$]]),"0")</f>
        <v>0</v>
      </c>
      <c r="J20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21" spans="2:10" x14ac:dyDescent="0.25">
      <c r="B21" s="23" t="str">
        <f>IF(TABELA_CA_BT[[#This Row],[DESCRIÇÃO]]&lt;&gt;"",MAX($B$8:B20)+1,"")</f>
        <v/>
      </c>
      <c r="C21" s="41"/>
      <c r="D21" s="29" t="str">
        <f>IFERROR(VLOOKUP(TABELA_CA_BT[[#This Row],[DESCRIÇÃO]],'TABELA MÃE'!D:E,2,FALSE),"")</f>
        <v/>
      </c>
      <c r="E21" s="29" t="str">
        <f>IFERROR(VLOOKUP(TABELA_CA_BT[[#This Row],[DESCRIÇÃO]],'TABELA MÃE'!D:F,3,FALSE),"")</f>
        <v/>
      </c>
      <c r="F21" s="29"/>
      <c r="G21" s="24"/>
      <c r="H21" s="29" t="str">
        <f>IFERROR(IF(VLOOKUP(TABELA_CA_BT[[#This Row],[DESCRIÇÃO]],'TABELA MÃE'!D:H,4,FALSE)&lt;&gt;0,VLOOKUP(TABELA_CA_BT[[#This Row],[DESCRIÇÃO]],'TABELA MÃE'!D:H,4,FALSE),"SEM VALOR DE REFERÊNCIA"),"")</f>
        <v/>
      </c>
      <c r="I21" s="76" t="str">
        <f>IFERROR(TABELA_CA_BT[[#This Row],[QTD.]]*IF(TABELA_CA_BT[[#This Row],[PREÇO MÉDIO R$]]="SEM VALOR DE REFERÊNCIA","0",TABELA_CA_BT[[#This Row],[PREÇO MÉDIO R$]]),"0")</f>
        <v>0</v>
      </c>
      <c r="J21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22" spans="2:10" x14ac:dyDescent="0.25">
      <c r="B22" s="23" t="str">
        <f>IF(TABELA_CA_BT[[#This Row],[DESCRIÇÃO]]&lt;&gt;"",MAX($B$8:B21)+1,"")</f>
        <v/>
      </c>
      <c r="C22" s="41"/>
      <c r="D22" s="29" t="str">
        <f>IFERROR(VLOOKUP(TABELA_CA_BT[[#This Row],[DESCRIÇÃO]],'TABELA MÃE'!D:E,2,FALSE),"")</f>
        <v/>
      </c>
      <c r="E22" s="29" t="str">
        <f>IFERROR(VLOOKUP(TABELA_CA_BT[[#This Row],[DESCRIÇÃO]],'TABELA MÃE'!D:F,3,FALSE),"")</f>
        <v/>
      </c>
      <c r="F22" s="29"/>
      <c r="G22" s="24"/>
      <c r="H22" s="29" t="str">
        <f>IFERROR(IF(VLOOKUP(TABELA_CA_BT[[#This Row],[DESCRIÇÃO]],'TABELA MÃE'!D:H,4,FALSE)&lt;&gt;0,VLOOKUP(TABELA_CA_BT[[#This Row],[DESCRIÇÃO]],'TABELA MÃE'!D:H,4,FALSE),"SEM VALOR DE REFERÊNCIA"),"")</f>
        <v/>
      </c>
      <c r="I22" s="76" t="str">
        <f>IFERROR(TABELA_CA_BT[[#This Row],[QTD.]]*IF(TABELA_CA_BT[[#This Row],[PREÇO MÉDIO R$]]="SEM VALOR DE REFERÊNCIA","0",TABELA_CA_BT[[#This Row],[PREÇO MÉDIO R$]]),"0")</f>
        <v>0</v>
      </c>
      <c r="J22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23" spans="2:10" x14ac:dyDescent="0.25">
      <c r="B23" s="23" t="str">
        <f>IF(TABELA_CA_BT[[#This Row],[DESCRIÇÃO]]&lt;&gt;"",MAX($B$8:B22)+1,"")</f>
        <v/>
      </c>
      <c r="C23" s="41"/>
      <c r="D23" s="29" t="str">
        <f>IFERROR(VLOOKUP(TABELA_CA_BT[[#This Row],[DESCRIÇÃO]],'TABELA MÃE'!D:E,2,FALSE),"")</f>
        <v/>
      </c>
      <c r="E23" s="29" t="str">
        <f>IFERROR(VLOOKUP(TABELA_CA_BT[[#This Row],[DESCRIÇÃO]],'TABELA MÃE'!D:F,3,FALSE),"")</f>
        <v/>
      </c>
      <c r="F23" s="29"/>
      <c r="G23" s="24"/>
      <c r="H23" s="29" t="str">
        <f>IFERROR(IF(VLOOKUP(TABELA_CA_BT[[#This Row],[DESCRIÇÃO]],'TABELA MÃE'!D:H,4,FALSE)&lt;&gt;0,VLOOKUP(TABELA_CA_BT[[#This Row],[DESCRIÇÃO]],'TABELA MÃE'!D:H,4,FALSE),"SEM VALOR DE REFERÊNCIA"),"")</f>
        <v/>
      </c>
      <c r="I23" s="76" t="str">
        <f>IFERROR(TABELA_CA_BT[[#This Row],[QTD.]]*IF(TABELA_CA_BT[[#This Row],[PREÇO MÉDIO R$]]="SEM VALOR DE REFERÊNCIA","0",TABELA_CA_BT[[#This Row],[PREÇO MÉDIO R$]]),"0")</f>
        <v>0</v>
      </c>
      <c r="J23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24" spans="2:10" x14ac:dyDescent="0.25">
      <c r="B24" s="23" t="str">
        <f>IF(TABELA_CA_BT[[#This Row],[DESCRIÇÃO]]&lt;&gt;"",MAX($B$8:B23)+1,"")</f>
        <v/>
      </c>
      <c r="C24" s="41"/>
      <c r="D24" s="29" t="str">
        <f>IFERROR(VLOOKUP(TABELA_CA_BT[[#This Row],[DESCRIÇÃO]],'TABELA MÃE'!D:E,2,FALSE),"")</f>
        <v/>
      </c>
      <c r="E24" s="29" t="str">
        <f>IFERROR(VLOOKUP(TABELA_CA_BT[[#This Row],[DESCRIÇÃO]],'TABELA MÃE'!D:F,3,FALSE),"")</f>
        <v/>
      </c>
      <c r="F24" s="29"/>
      <c r="G24" s="24"/>
      <c r="H24" s="29" t="str">
        <f>IFERROR(IF(VLOOKUP(TABELA_CA_BT[[#This Row],[DESCRIÇÃO]],'TABELA MÃE'!D:H,4,FALSE)&lt;&gt;0,VLOOKUP(TABELA_CA_BT[[#This Row],[DESCRIÇÃO]],'TABELA MÃE'!D:H,4,FALSE),"SEM VALOR DE REFERÊNCIA"),"")</f>
        <v/>
      </c>
      <c r="I24" s="76" t="str">
        <f>IFERROR(TABELA_CA_BT[[#This Row],[QTD.]]*IF(TABELA_CA_BT[[#This Row],[PREÇO MÉDIO R$]]="SEM VALOR DE REFERÊNCIA","0",TABELA_CA_BT[[#This Row],[PREÇO MÉDIO R$]]),"0")</f>
        <v>0</v>
      </c>
      <c r="J24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25" spans="2:10" x14ac:dyDescent="0.25">
      <c r="B25" s="23" t="str">
        <f>IF(TABELA_CA_BT[[#This Row],[DESCRIÇÃO]]&lt;&gt;"",MAX($B$8:B24)+1,"")</f>
        <v/>
      </c>
      <c r="C25" s="41"/>
      <c r="D25" s="29" t="str">
        <f>IFERROR(VLOOKUP(TABELA_CA_BT[[#This Row],[DESCRIÇÃO]],'TABELA MÃE'!D:E,2,FALSE),"")</f>
        <v/>
      </c>
      <c r="E25" s="29" t="str">
        <f>IFERROR(VLOOKUP(TABELA_CA_BT[[#This Row],[DESCRIÇÃO]],'TABELA MÃE'!D:F,3,FALSE),"")</f>
        <v/>
      </c>
      <c r="F25" s="29"/>
      <c r="G25" s="24"/>
      <c r="H25" s="29" t="str">
        <f>IFERROR(IF(VLOOKUP(TABELA_CA_BT[[#This Row],[DESCRIÇÃO]],'TABELA MÃE'!D:H,4,FALSE)&lt;&gt;0,VLOOKUP(TABELA_CA_BT[[#This Row],[DESCRIÇÃO]],'TABELA MÃE'!D:H,4,FALSE),"SEM VALOR DE REFERÊNCIA"),"")</f>
        <v/>
      </c>
      <c r="I25" s="76" t="str">
        <f>IFERROR(TABELA_CA_BT[[#This Row],[QTD.]]*IF(TABELA_CA_BT[[#This Row],[PREÇO MÉDIO R$]]="SEM VALOR DE REFERÊNCIA","0",TABELA_CA_BT[[#This Row],[PREÇO MÉDIO R$]]),"0")</f>
        <v>0</v>
      </c>
      <c r="J25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26" spans="2:10" x14ac:dyDescent="0.25">
      <c r="B26" s="23" t="str">
        <f>IF(TABELA_CA_BT[[#This Row],[DESCRIÇÃO]]&lt;&gt;"",MAX($B$8:B25)+1,"")</f>
        <v/>
      </c>
      <c r="C26" s="41"/>
      <c r="D26" s="29" t="str">
        <f>IFERROR(VLOOKUP(TABELA_CA_BT[[#This Row],[DESCRIÇÃO]],'TABELA MÃE'!D:E,2,FALSE),"")</f>
        <v/>
      </c>
      <c r="E26" s="29" t="str">
        <f>IFERROR(VLOOKUP(TABELA_CA_BT[[#This Row],[DESCRIÇÃO]],'TABELA MÃE'!D:F,3,FALSE),"")</f>
        <v/>
      </c>
      <c r="F26" s="29"/>
      <c r="G26" s="24"/>
      <c r="H26" s="29" t="str">
        <f>IFERROR(IF(VLOOKUP(TABELA_CA_BT[[#This Row],[DESCRIÇÃO]],'TABELA MÃE'!D:H,4,FALSE)&lt;&gt;0,VLOOKUP(TABELA_CA_BT[[#This Row],[DESCRIÇÃO]],'TABELA MÃE'!D:H,4,FALSE),"SEM VALOR DE REFERÊNCIA"),"")</f>
        <v/>
      </c>
      <c r="I26" s="76" t="str">
        <f>IFERROR(TABELA_CA_BT[[#This Row],[QTD.]]*IF(TABELA_CA_BT[[#This Row],[PREÇO MÉDIO R$]]="SEM VALOR DE REFERÊNCIA","0",TABELA_CA_BT[[#This Row],[PREÇO MÉDIO R$]]),"0")</f>
        <v>0</v>
      </c>
      <c r="J26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27" spans="2:10" x14ac:dyDescent="0.25">
      <c r="B27" s="23" t="str">
        <f>IF(TABELA_CA_BT[[#This Row],[DESCRIÇÃO]]&lt;&gt;"",MAX($B$8:B26)+1,"")</f>
        <v/>
      </c>
      <c r="C27" s="41"/>
      <c r="D27" s="29" t="str">
        <f>IFERROR(VLOOKUP(TABELA_CA_BT[[#This Row],[DESCRIÇÃO]],'TABELA MÃE'!D:E,2,FALSE),"")</f>
        <v/>
      </c>
      <c r="E27" s="29" t="str">
        <f>IFERROR(VLOOKUP(TABELA_CA_BT[[#This Row],[DESCRIÇÃO]],'TABELA MÃE'!D:F,3,FALSE),"")</f>
        <v/>
      </c>
      <c r="F27" s="29"/>
      <c r="G27" s="24"/>
      <c r="H27" s="29" t="str">
        <f>IFERROR(IF(VLOOKUP(TABELA_CA_BT[[#This Row],[DESCRIÇÃO]],'TABELA MÃE'!D:H,4,FALSE)&lt;&gt;0,VLOOKUP(TABELA_CA_BT[[#This Row],[DESCRIÇÃO]],'TABELA MÃE'!D:H,4,FALSE),"SEM VALOR DE REFERÊNCIA"),"")</f>
        <v/>
      </c>
      <c r="I27" s="76" t="str">
        <f>IFERROR(TABELA_CA_BT[[#This Row],[QTD.]]*IF(TABELA_CA_BT[[#This Row],[PREÇO MÉDIO R$]]="SEM VALOR DE REFERÊNCIA","0",TABELA_CA_BT[[#This Row],[PREÇO MÉDIO R$]]),"0")</f>
        <v>0</v>
      </c>
      <c r="J27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28" spans="2:10" x14ac:dyDescent="0.25">
      <c r="B28" s="23" t="str">
        <f>IF(TABELA_CA_BT[[#This Row],[DESCRIÇÃO]]&lt;&gt;"",MAX($B$8:B27)+1,"")</f>
        <v/>
      </c>
      <c r="C28" s="41"/>
      <c r="D28" s="29" t="str">
        <f>IFERROR(VLOOKUP(TABELA_CA_BT[[#This Row],[DESCRIÇÃO]],'TABELA MÃE'!D:E,2,FALSE),"")</f>
        <v/>
      </c>
      <c r="E28" s="29" t="str">
        <f>IFERROR(VLOOKUP(TABELA_CA_BT[[#This Row],[DESCRIÇÃO]],'TABELA MÃE'!D:F,3,FALSE),"")</f>
        <v/>
      </c>
      <c r="F28" s="29"/>
      <c r="G28" s="24"/>
      <c r="H28" s="29" t="str">
        <f>IFERROR(IF(VLOOKUP(TABELA_CA_BT[[#This Row],[DESCRIÇÃO]],'TABELA MÃE'!D:H,4,FALSE)&lt;&gt;0,VLOOKUP(TABELA_CA_BT[[#This Row],[DESCRIÇÃO]],'TABELA MÃE'!D:H,4,FALSE),"SEM VALOR DE REFERÊNCIA"),"")</f>
        <v/>
      </c>
      <c r="I28" s="76" t="str">
        <f>IFERROR(TABELA_CA_BT[[#This Row],[QTD.]]*IF(TABELA_CA_BT[[#This Row],[PREÇO MÉDIO R$]]="SEM VALOR DE REFERÊNCIA","0",TABELA_CA_BT[[#This Row],[PREÇO MÉDIO R$]]),"0")</f>
        <v>0</v>
      </c>
      <c r="J28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29" spans="2:10" x14ac:dyDescent="0.25">
      <c r="B29" s="23" t="str">
        <f>IF(TABELA_CA_BT[[#This Row],[DESCRIÇÃO]]&lt;&gt;"",MAX($B$8:B28)+1,"")</f>
        <v/>
      </c>
      <c r="C29" s="41"/>
      <c r="D29" s="29" t="str">
        <f>IFERROR(VLOOKUP(TABELA_CA_BT[[#This Row],[DESCRIÇÃO]],'TABELA MÃE'!D:E,2,FALSE),"")</f>
        <v/>
      </c>
      <c r="E29" s="29" t="str">
        <f>IFERROR(VLOOKUP(TABELA_CA_BT[[#This Row],[DESCRIÇÃO]],'TABELA MÃE'!D:F,3,FALSE),"")</f>
        <v/>
      </c>
      <c r="F29" s="29"/>
      <c r="G29" s="24"/>
      <c r="H29" s="29" t="str">
        <f>IFERROR(IF(VLOOKUP(TABELA_CA_BT[[#This Row],[DESCRIÇÃO]],'TABELA MÃE'!D:H,4,FALSE)&lt;&gt;0,VLOOKUP(TABELA_CA_BT[[#This Row],[DESCRIÇÃO]],'TABELA MÃE'!D:H,4,FALSE),"SEM VALOR DE REFERÊNCIA"),"")</f>
        <v/>
      </c>
      <c r="I29" s="76" t="str">
        <f>IFERROR(TABELA_CA_BT[[#This Row],[QTD.]]*IF(TABELA_CA_BT[[#This Row],[PREÇO MÉDIO R$]]="SEM VALOR DE REFERÊNCIA","0",TABELA_CA_BT[[#This Row],[PREÇO MÉDIO R$]]),"0")</f>
        <v>0</v>
      </c>
      <c r="J29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30" spans="2:10" x14ac:dyDescent="0.25">
      <c r="B30" s="23" t="str">
        <f>IF(TABELA_CA_BT[[#This Row],[DESCRIÇÃO]]&lt;&gt;"",MAX($B$8:B29)+1,"")</f>
        <v/>
      </c>
      <c r="C30" s="41"/>
      <c r="D30" s="29" t="str">
        <f>IFERROR(VLOOKUP(TABELA_CA_BT[[#This Row],[DESCRIÇÃO]],'TABELA MÃE'!D:E,2,FALSE),"")</f>
        <v/>
      </c>
      <c r="E30" s="29" t="str">
        <f>IFERROR(VLOOKUP(TABELA_CA_BT[[#This Row],[DESCRIÇÃO]],'TABELA MÃE'!D:F,3,FALSE),"")</f>
        <v/>
      </c>
      <c r="F30" s="29"/>
      <c r="G30" s="24"/>
      <c r="H30" s="29" t="str">
        <f>IFERROR(IF(VLOOKUP(TABELA_CA_BT[[#This Row],[DESCRIÇÃO]],'TABELA MÃE'!D:H,4,FALSE)&lt;&gt;0,VLOOKUP(TABELA_CA_BT[[#This Row],[DESCRIÇÃO]],'TABELA MÃE'!D:H,4,FALSE),"SEM VALOR DE REFERÊNCIA"),"")</f>
        <v/>
      </c>
      <c r="I30" s="76" t="str">
        <f>IFERROR(TABELA_CA_BT[[#This Row],[QTD.]]*IF(TABELA_CA_BT[[#This Row],[PREÇO MÉDIO R$]]="SEM VALOR DE REFERÊNCIA","0",TABELA_CA_BT[[#This Row],[PREÇO MÉDIO R$]]),"0")</f>
        <v>0</v>
      </c>
      <c r="J30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31" spans="2:10" x14ac:dyDescent="0.25">
      <c r="B31" s="23" t="str">
        <f>IF(TABELA_CA_BT[[#This Row],[DESCRIÇÃO]]&lt;&gt;"",MAX($B$8:B30)+1,"")</f>
        <v/>
      </c>
      <c r="C31" s="41"/>
      <c r="D31" s="29" t="str">
        <f>IFERROR(VLOOKUP(TABELA_CA_BT[[#This Row],[DESCRIÇÃO]],'TABELA MÃE'!D:E,2,FALSE),"")</f>
        <v/>
      </c>
      <c r="E31" s="29" t="str">
        <f>IFERROR(VLOOKUP(TABELA_CA_BT[[#This Row],[DESCRIÇÃO]],'TABELA MÃE'!D:F,3,FALSE),"")</f>
        <v/>
      </c>
      <c r="F31" s="29"/>
      <c r="G31" s="24"/>
      <c r="H31" s="29" t="str">
        <f>IFERROR(IF(VLOOKUP(TABELA_CA_BT[[#This Row],[DESCRIÇÃO]],'TABELA MÃE'!D:H,4,FALSE)&lt;&gt;0,VLOOKUP(TABELA_CA_BT[[#This Row],[DESCRIÇÃO]],'TABELA MÃE'!D:H,4,FALSE),"SEM VALOR DE REFERÊNCIA"),"")</f>
        <v/>
      </c>
      <c r="I31" s="76" t="str">
        <f>IFERROR(TABELA_CA_BT[[#This Row],[QTD.]]*IF(TABELA_CA_BT[[#This Row],[PREÇO MÉDIO R$]]="SEM VALOR DE REFERÊNCIA","0",TABELA_CA_BT[[#This Row],[PREÇO MÉDIO R$]]),"0")</f>
        <v>0</v>
      </c>
      <c r="J31" s="24" t="str">
        <f>IFERROR(IF(VLOOKUP(TABELA_CA_BT[[#This Row],[DESCRIÇÃO]],'TABELA MÃE'!D:H,5,FALSE)&lt;&gt;0,VLOOKUP(TABELA_CA_BT[[#This Row],[DESCRIÇÃO]],'TABELA MÃE'!D:H,5,FALSE),"SEM VALOR DE REFERÊNCIA"),"")</f>
        <v/>
      </c>
    </row>
    <row r="32" spans="2:10" ht="15.75" thickBot="1" x14ac:dyDescent="0.3">
      <c r="B32" s="40" t="str">
        <f>IF(TABELA_CA_BT[[#This Row],[DESCRIÇÃO]]&lt;&gt;"",MAX($B$8:B31)+1,"")</f>
        <v/>
      </c>
      <c r="C32" s="36"/>
      <c r="D32" s="31" t="str">
        <f>IFERROR(VLOOKUP(TABELA_CA_BT[[#This Row],[DESCRIÇÃO]],'TABELA MÃE'!D:E,2,FALSE),"")</f>
        <v/>
      </c>
      <c r="E32" s="31" t="str">
        <f>IFERROR(VLOOKUP(TABELA_CA_BT[[#This Row],[DESCRIÇÃO]],'TABELA MÃE'!D:F,3,FALSE),"")</f>
        <v/>
      </c>
      <c r="F32" s="31"/>
      <c r="G32" s="42"/>
      <c r="H32" s="31" t="str">
        <f>IFERROR(IF(VLOOKUP(TABELA_CA_BT[[#This Row],[DESCRIÇÃO]],'TABELA MÃE'!D:H,4,FALSE)&lt;&gt;0,VLOOKUP(TABELA_CA_BT[[#This Row],[DESCRIÇÃO]],'TABELA MÃE'!D:H,4,FALSE),"SEM VALOR DE REFERÊNCIA"),"")</f>
        <v/>
      </c>
      <c r="I32" s="78" t="str">
        <f>IFERROR(TABELA_CA_BT[[#This Row],[QTD.]]*IF(TABELA_CA_BT[[#This Row],[PREÇO MÉDIO R$]]="SEM VALOR DE REFERÊNCIA","0",TABELA_CA_BT[[#This Row],[PREÇO MÉDIO R$]]),"0")</f>
        <v>0</v>
      </c>
      <c r="J32" s="24" t="str">
        <f>IFERROR(IF(VLOOKUP(TABELA_CA_BT[[#This Row],[DESCRIÇÃO]],'TABELA MÃE'!D:H,5,FALSE)&lt;&gt;0,VLOOKUP(TABELA_CA_BT[[#This Row],[DESCRIÇÃO]],'TABELA MÃE'!D:H,5,FALSE),"SEM VALOR DE REFERÊNCIA"),"")</f>
        <v/>
      </c>
    </row>
  </sheetData>
  <mergeCells count="5">
    <mergeCell ref="F2:G5"/>
    <mergeCell ref="B6:G6"/>
    <mergeCell ref="H6:J6"/>
    <mergeCell ref="H2:H5"/>
    <mergeCell ref="I2:J5"/>
  </mergeCells>
  <phoneticPr fontId="2" type="noConversion"/>
  <dataValidations count="1">
    <dataValidation type="list" allowBlank="1" showInputMessage="1" showErrorMessage="1" sqref="C2" xr:uid="{23A281B2-EE83-4AEB-BEEA-A740900CE2E4}">
      <formula1>TABELA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3A7F79-2E1E-461A-B04A-CD973ABC6B13}">
          <x14:formula1>
            <xm:f>OFFSET('TABELA MÃE'!$D$2,MATCH($C$2,'TABELA MÃE'!$A:$A,0)-2,0,COUNTIF('TABELA MÃE'!$A:$A,$C$2),1)</xm:f>
          </x14:formula1>
          <xm:sqref>C8:C32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A0693-0DCC-461E-9BC1-6ED51C8D6438}">
  <sheetPr codeName="Planilha7"/>
  <dimension ref="B1:J31"/>
  <sheetViews>
    <sheetView workbookViewId="0">
      <selection activeCell="C35" sqref="C35"/>
    </sheetView>
  </sheetViews>
  <sheetFormatPr defaultRowHeight="15" x14ac:dyDescent="0.25"/>
  <cols>
    <col min="2" max="2" width="15" bestFit="1" customWidth="1"/>
    <col min="3" max="3" width="100.7109375" customWidth="1"/>
    <col min="4" max="4" width="32.42578125" bestFit="1" customWidth="1"/>
    <col min="5" max="5" width="8.85546875" bestFit="1" customWidth="1"/>
    <col min="6" max="6" width="10" bestFit="1" customWidth="1"/>
    <col min="7" max="7" width="9.85546875" bestFit="1" customWidth="1"/>
    <col min="8" max="8" width="24.85546875" bestFit="1" customWidth="1"/>
    <col min="9" max="9" width="20.42578125" bestFit="1" customWidth="1"/>
    <col min="10" max="10" width="26.42578125" bestFit="1" customWidth="1"/>
    <col min="12" max="12" width="11.140625" bestFit="1" customWidth="1"/>
  </cols>
  <sheetData>
    <row r="1" spans="2:10" ht="15.75" thickBot="1" x14ac:dyDescent="0.3"/>
    <row r="2" spans="2:10" x14ac:dyDescent="0.25">
      <c r="B2" s="26" t="s">
        <v>163</v>
      </c>
      <c r="C2" s="20" t="s">
        <v>13</v>
      </c>
      <c r="D2" s="27"/>
      <c r="E2" s="27"/>
      <c r="F2" s="84" t="e" vm="1">
        <v>#VALUE!</v>
      </c>
      <c r="G2" s="85"/>
      <c r="H2" s="93" t="s">
        <v>145</v>
      </c>
      <c r="I2" s="164" cm="1">
        <f t="array" ref="I2">SUMPRODUCT(VALUE(IFERROR(TABELA_CA_MT[VALOR TOTAL R$],0)))</f>
        <v>0</v>
      </c>
      <c r="J2" s="165"/>
    </row>
    <row r="3" spans="2:10" x14ac:dyDescent="0.25">
      <c r="B3" s="28" t="s">
        <v>133</v>
      </c>
      <c r="C3" s="37" t="str">
        <f>RIGHT('CAPA-LM'!B8,LEN('CAPA-LM'!B8)-4)</f>
        <v>XXXXX</v>
      </c>
      <c r="D3" s="29"/>
      <c r="E3" s="29"/>
      <c r="F3" s="86"/>
      <c r="G3" s="87"/>
      <c r="H3" s="94"/>
      <c r="I3" s="166"/>
      <c r="J3" s="167"/>
    </row>
    <row r="4" spans="2:10" x14ac:dyDescent="0.25">
      <c r="B4" s="28" t="s">
        <v>134</v>
      </c>
      <c r="C4" s="38">
        <f ca="1">TODAY()</f>
        <v>46170</v>
      </c>
      <c r="D4" s="29"/>
      <c r="E4" s="29"/>
      <c r="F4" s="86"/>
      <c r="G4" s="87"/>
      <c r="H4" s="94"/>
      <c r="I4" s="166"/>
      <c r="J4" s="167"/>
    </row>
    <row r="5" spans="2:10" ht="15.75" thickBot="1" x14ac:dyDescent="0.3">
      <c r="B5" s="30" t="s">
        <v>2</v>
      </c>
      <c r="C5" s="25" t="str">
        <f>'CAPA-LM'!C5</f>
        <v>ESTRADA VICINAL RURAL, 0 - ESTÂNCIA MR, ÁREA RURAL, COLIDER - MT</v>
      </c>
      <c r="D5" s="31"/>
      <c r="E5" s="31"/>
      <c r="F5" s="88"/>
      <c r="G5" s="89"/>
      <c r="H5" s="95"/>
      <c r="I5" s="168"/>
      <c r="J5" s="169"/>
    </row>
    <row r="6" spans="2:10" ht="15.75" thickBot="1" x14ac:dyDescent="0.3">
      <c r="B6" s="90" t="s">
        <v>135</v>
      </c>
      <c r="C6" s="91"/>
      <c r="D6" s="91"/>
      <c r="E6" s="91"/>
      <c r="F6" s="91"/>
      <c r="G6" s="92"/>
      <c r="H6" s="91" t="s">
        <v>141</v>
      </c>
      <c r="I6" s="91"/>
      <c r="J6" s="92"/>
    </row>
    <row r="7" spans="2:10" ht="15.75" thickBot="1" x14ac:dyDescent="0.3">
      <c r="B7" s="32" t="s">
        <v>8</v>
      </c>
      <c r="C7" s="33" t="s">
        <v>9</v>
      </c>
      <c r="D7" s="33" t="s">
        <v>29</v>
      </c>
      <c r="E7" s="33" t="s">
        <v>30</v>
      </c>
      <c r="F7" s="33" t="s">
        <v>31</v>
      </c>
      <c r="G7" s="34" t="s">
        <v>32</v>
      </c>
      <c r="H7" s="33" t="s">
        <v>49</v>
      </c>
      <c r="I7" s="33" t="s">
        <v>144</v>
      </c>
      <c r="J7" s="34" t="s">
        <v>33</v>
      </c>
    </row>
    <row r="8" spans="2:10" x14ac:dyDescent="0.25">
      <c r="B8" s="21" t="str">
        <f>IF(TABELA_CA_MT[[#This Row],[DESCRIÇÃO]]&lt;&gt;"",1,"")</f>
        <v/>
      </c>
      <c r="C8" s="35"/>
      <c r="D8" s="27" t="str">
        <f>IFERROR(VLOOKUP(TABELA_CA_MT[[#This Row],[DESCRIÇÃO]],'TABELA MÃE'!D:E,2,FALSE),"")</f>
        <v/>
      </c>
      <c r="E8" s="27" t="str">
        <f>IFERROR(VLOOKUP(TABELA_CA_MT[[#This Row],[DESCRIÇÃO]],'TABELA MÃE'!D:F,3,FALSE),"")</f>
        <v/>
      </c>
      <c r="F8" s="27"/>
      <c r="G8" s="22"/>
      <c r="H8" s="27" t="str">
        <f>IFERROR(IF(VLOOKUP(TABELA_CA_MT[[#This Row],[DESCRIÇÃO]],'TABELA MÃE'!D:H,4,FALSE)&lt;&gt;0,VLOOKUP(TABELA_CA_MT[[#This Row],[DESCRIÇÃO]],'TABELA MÃE'!D:H,4,FALSE),"SEM VALOR DE REFERÊNCIA"),"")</f>
        <v/>
      </c>
      <c r="I8" s="27" t="str">
        <f>IFERROR(TABELA_CA_MT[[#This Row],[QTD.]]*IF(TABELA_CA_MT[[#This Row],[PREÇO MÉDIO R$]]="SEM VALOR DE REFERÊNCIA","0",TABELA_CA_MT[[#This Row],[PREÇO MÉDIO R$]]),"0")</f>
        <v>0</v>
      </c>
      <c r="J8" s="22" t="str">
        <f>IFERROR(IF(VLOOKUP(TABELA_CA_MT[[#This Row],[DESCRIÇÃO]],'TABELA MÃE'!D:H,5,FALSE)&lt;&gt;0,VLOOKUP(TABELA_CA_MT[[#This Row],[DESCRIÇÃO]],'TABELA MÃE'!D:H,5,FALSE),"SEM VALOR DE REFERÊNCIA"),"")</f>
        <v/>
      </c>
    </row>
    <row r="9" spans="2:10" x14ac:dyDescent="0.25">
      <c r="B9" s="23" t="str">
        <f>IF(TABELA_CA_MT[[#This Row],[DESCRIÇÃO]]&lt;&gt;"",MAX($B$8:B8)+1,"")</f>
        <v/>
      </c>
      <c r="C9" s="41"/>
      <c r="D9" s="29" t="str">
        <f>IFERROR(VLOOKUP(TABELA_CA_MT[[#This Row],[DESCRIÇÃO]],'TABELA MÃE'!D:E,2,FALSE),"")</f>
        <v/>
      </c>
      <c r="E9" s="29" t="str">
        <f>IFERROR(VLOOKUP(TABELA_CA_MT[[#This Row],[DESCRIÇÃO]],'TABELA MÃE'!D:F,3,FALSE),"")</f>
        <v/>
      </c>
      <c r="F9" s="29"/>
      <c r="G9" s="24"/>
      <c r="H9" s="29" t="str">
        <f>IFERROR(IF(VLOOKUP(TABELA_CA_MT[[#This Row],[DESCRIÇÃO]],'TABELA MÃE'!D:H,4,FALSE)&lt;&gt;0,VLOOKUP(TABELA_CA_MT[[#This Row],[DESCRIÇÃO]],'TABELA MÃE'!D:H,4,FALSE),"SEM VALOR DE REFERÊNCIA"),"")</f>
        <v/>
      </c>
      <c r="I9" s="29" t="str">
        <f>IFERROR(TABELA_CA_MT[[#This Row],[QTD.]]*IF(TABELA_CA_MT[[#This Row],[PREÇO MÉDIO R$]]="SEM VALOR DE REFERÊNCIA","0",TABELA_CA_MT[[#This Row],[PREÇO MÉDIO R$]]),"0")</f>
        <v>0</v>
      </c>
      <c r="J9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10" spans="2:10" x14ac:dyDescent="0.25">
      <c r="B10" s="23" t="str">
        <f>IF(TABELA_CA_MT[[#This Row],[DESCRIÇÃO]]&lt;&gt;"",MAX($B$8:B9)+1,"")</f>
        <v/>
      </c>
      <c r="C10" s="41"/>
      <c r="D10" s="29" t="str">
        <f>IFERROR(VLOOKUP(TABELA_CA_MT[[#This Row],[DESCRIÇÃO]],'TABELA MÃE'!D:E,2,FALSE),"")</f>
        <v/>
      </c>
      <c r="E10" s="29" t="str">
        <f>IFERROR(VLOOKUP(TABELA_CA_MT[[#This Row],[DESCRIÇÃO]],'TABELA MÃE'!D:F,3,FALSE),"")</f>
        <v/>
      </c>
      <c r="F10" s="29"/>
      <c r="G10" s="24"/>
      <c r="H10" s="29" t="str">
        <f>IFERROR(IF(VLOOKUP(TABELA_CA_MT[[#This Row],[DESCRIÇÃO]],'TABELA MÃE'!D:H,4,FALSE)&lt;&gt;0,VLOOKUP(TABELA_CA_MT[[#This Row],[DESCRIÇÃO]],'TABELA MÃE'!D:H,4,FALSE),"SEM VALOR DE REFERÊNCIA"),"")</f>
        <v/>
      </c>
      <c r="I10" s="29" t="str">
        <f>IFERROR(TABELA_CA_MT[[#This Row],[QTD.]]*IF(TABELA_CA_MT[[#This Row],[PREÇO MÉDIO R$]]="SEM VALOR DE REFERÊNCIA","0",TABELA_CA_MT[[#This Row],[PREÇO MÉDIO R$]]),"0")</f>
        <v>0</v>
      </c>
      <c r="J10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11" spans="2:10" x14ac:dyDescent="0.25">
      <c r="B11" s="23" t="str">
        <f>IF(TABELA_CA_MT[[#This Row],[DESCRIÇÃO]]&lt;&gt;"",MAX($B$8:B10)+1,"")</f>
        <v/>
      </c>
      <c r="C11" s="41"/>
      <c r="D11" s="29" t="str">
        <f>IFERROR(VLOOKUP(TABELA_CA_MT[[#This Row],[DESCRIÇÃO]],'TABELA MÃE'!D:E,2,FALSE),"")</f>
        <v/>
      </c>
      <c r="E11" s="29" t="str">
        <f>IFERROR(VLOOKUP(TABELA_CA_MT[[#This Row],[DESCRIÇÃO]],'TABELA MÃE'!D:F,3,FALSE),"")</f>
        <v/>
      </c>
      <c r="F11" s="29"/>
      <c r="G11" s="24"/>
      <c r="H11" s="29" t="str">
        <f>IFERROR(IF(VLOOKUP(TABELA_CA_MT[[#This Row],[DESCRIÇÃO]],'TABELA MÃE'!D:H,4,FALSE)&lt;&gt;0,VLOOKUP(TABELA_CA_MT[[#This Row],[DESCRIÇÃO]],'TABELA MÃE'!D:H,4,FALSE),"SEM VALOR DE REFERÊNCIA"),"")</f>
        <v/>
      </c>
      <c r="I11" s="29" t="str">
        <f>IFERROR(TABELA_CA_MT[[#This Row],[QTD.]]*IF(TABELA_CA_MT[[#This Row],[PREÇO MÉDIO R$]]="SEM VALOR DE REFERÊNCIA","0",TABELA_CA_MT[[#This Row],[PREÇO MÉDIO R$]]),"0")</f>
        <v>0</v>
      </c>
      <c r="J11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12" spans="2:10" x14ac:dyDescent="0.25">
      <c r="B12" s="23" t="str">
        <f>IF(TABELA_CA_MT[[#This Row],[DESCRIÇÃO]]&lt;&gt;"",MAX($B$8:B11)+1,"")</f>
        <v/>
      </c>
      <c r="C12" s="41"/>
      <c r="D12" s="29" t="str">
        <f>IFERROR(VLOOKUP(TABELA_CA_MT[[#This Row],[DESCRIÇÃO]],'TABELA MÃE'!D:E,2,FALSE),"")</f>
        <v/>
      </c>
      <c r="E12" s="29" t="str">
        <f>IFERROR(VLOOKUP(TABELA_CA_MT[[#This Row],[DESCRIÇÃO]],'TABELA MÃE'!D:F,3,FALSE),"")</f>
        <v/>
      </c>
      <c r="F12" s="29"/>
      <c r="G12" s="24"/>
      <c r="H12" s="29" t="str">
        <f>IFERROR(IF(VLOOKUP(TABELA_CA_MT[[#This Row],[DESCRIÇÃO]],'TABELA MÃE'!D:H,4,FALSE)&lt;&gt;0,VLOOKUP(TABELA_CA_MT[[#This Row],[DESCRIÇÃO]],'TABELA MÃE'!D:H,4,FALSE),"SEM VALOR DE REFERÊNCIA"),"")</f>
        <v/>
      </c>
      <c r="I12" s="29" t="str">
        <f>IFERROR(TABELA_CA_MT[[#This Row],[QTD.]]*IF(TABELA_CA_MT[[#This Row],[PREÇO MÉDIO R$]]="SEM VALOR DE REFERÊNCIA","0",TABELA_CA_MT[[#This Row],[PREÇO MÉDIO R$]]),"0")</f>
        <v>0</v>
      </c>
      <c r="J12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13" spans="2:10" x14ac:dyDescent="0.25">
      <c r="B13" s="23" t="str">
        <f>IF(TABELA_CA_MT[[#This Row],[DESCRIÇÃO]]&lt;&gt;"",MAX($B$8:B12)+1,"")</f>
        <v/>
      </c>
      <c r="C13" s="41"/>
      <c r="D13" s="29" t="str">
        <f>IFERROR(VLOOKUP(TABELA_CA_MT[[#This Row],[DESCRIÇÃO]],'TABELA MÃE'!D:E,2,FALSE),"")</f>
        <v/>
      </c>
      <c r="E13" s="29" t="str">
        <f>IFERROR(VLOOKUP(TABELA_CA_MT[[#This Row],[DESCRIÇÃO]],'TABELA MÃE'!D:F,3,FALSE),"")</f>
        <v/>
      </c>
      <c r="F13" s="29"/>
      <c r="G13" s="24"/>
      <c r="H13" s="29" t="str">
        <f>IFERROR(IF(VLOOKUP(TABELA_CA_MT[[#This Row],[DESCRIÇÃO]],'TABELA MÃE'!D:H,4,FALSE)&lt;&gt;0,VLOOKUP(TABELA_CA_MT[[#This Row],[DESCRIÇÃO]],'TABELA MÃE'!D:H,4,FALSE),"SEM VALOR DE REFERÊNCIA"),"")</f>
        <v/>
      </c>
      <c r="I13" s="29" t="str">
        <f>IFERROR(TABELA_CA_MT[[#This Row],[QTD.]]*IF(TABELA_CA_MT[[#This Row],[PREÇO MÉDIO R$]]="SEM VALOR DE REFERÊNCIA","0",TABELA_CA_MT[[#This Row],[PREÇO MÉDIO R$]]),"0")</f>
        <v>0</v>
      </c>
      <c r="J13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14" spans="2:10" x14ac:dyDescent="0.25">
      <c r="B14" s="23" t="str">
        <f>IF(TABELA_CA_MT[[#This Row],[DESCRIÇÃO]]&lt;&gt;"",MAX($B$8:B13)+1,"")</f>
        <v/>
      </c>
      <c r="C14" s="41"/>
      <c r="D14" s="29" t="str">
        <f>IFERROR(VLOOKUP(TABELA_CA_MT[[#This Row],[DESCRIÇÃO]],'TABELA MÃE'!D:E,2,FALSE),"")</f>
        <v/>
      </c>
      <c r="E14" s="29" t="str">
        <f>IFERROR(VLOOKUP(TABELA_CA_MT[[#This Row],[DESCRIÇÃO]],'TABELA MÃE'!D:F,3,FALSE),"")</f>
        <v/>
      </c>
      <c r="F14" s="29"/>
      <c r="G14" s="24"/>
      <c r="H14" s="29" t="str">
        <f>IFERROR(IF(VLOOKUP(TABELA_CA_MT[[#This Row],[DESCRIÇÃO]],'TABELA MÃE'!D:H,4,FALSE)&lt;&gt;0,VLOOKUP(TABELA_CA_MT[[#This Row],[DESCRIÇÃO]],'TABELA MÃE'!D:H,4,FALSE),"SEM VALOR DE REFERÊNCIA"),"")</f>
        <v/>
      </c>
      <c r="I14" s="29" t="str">
        <f>IFERROR(TABELA_CA_MT[[#This Row],[QTD.]]*IF(TABELA_CA_MT[[#This Row],[PREÇO MÉDIO R$]]="SEM VALOR DE REFERÊNCIA","0",TABELA_CA_MT[[#This Row],[PREÇO MÉDIO R$]]),"0")</f>
        <v>0</v>
      </c>
      <c r="J14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15" spans="2:10" x14ac:dyDescent="0.25">
      <c r="B15" s="23" t="str">
        <f>IF(TABELA_CA_MT[[#This Row],[DESCRIÇÃO]]&lt;&gt;"",MAX($B$8:B14)+1,"")</f>
        <v/>
      </c>
      <c r="C15" s="41"/>
      <c r="D15" s="29" t="str">
        <f>IFERROR(VLOOKUP(TABELA_CA_MT[[#This Row],[DESCRIÇÃO]],'TABELA MÃE'!D:E,2,FALSE),"")</f>
        <v/>
      </c>
      <c r="E15" s="29" t="str">
        <f>IFERROR(VLOOKUP(TABELA_CA_MT[[#This Row],[DESCRIÇÃO]],'TABELA MÃE'!D:F,3,FALSE),"")</f>
        <v/>
      </c>
      <c r="F15" s="29"/>
      <c r="G15" s="24"/>
      <c r="H15" s="29" t="str">
        <f>IFERROR(IF(VLOOKUP(TABELA_CA_MT[[#This Row],[DESCRIÇÃO]],'TABELA MÃE'!D:H,4,FALSE)&lt;&gt;0,VLOOKUP(TABELA_CA_MT[[#This Row],[DESCRIÇÃO]],'TABELA MÃE'!D:H,4,FALSE),"SEM VALOR DE REFERÊNCIA"),"")</f>
        <v/>
      </c>
      <c r="I15" s="29" t="str">
        <f>IFERROR(TABELA_CA_MT[[#This Row],[QTD.]]*IF(TABELA_CA_MT[[#This Row],[PREÇO MÉDIO R$]]="SEM VALOR DE REFERÊNCIA","0",TABELA_CA_MT[[#This Row],[PREÇO MÉDIO R$]]),"0")</f>
        <v>0</v>
      </c>
      <c r="J15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16" spans="2:10" x14ac:dyDescent="0.25">
      <c r="B16" s="23" t="str">
        <f>IF(TABELA_CA_MT[[#This Row],[DESCRIÇÃO]]&lt;&gt;"",MAX($B$8:B15)+1,"")</f>
        <v/>
      </c>
      <c r="C16" s="41"/>
      <c r="D16" s="29" t="str">
        <f>IFERROR(VLOOKUP(TABELA_CA_MT[[#This Row],[DESCRIÇÃO]],'TABELA MÃE'!D:E,2,FALSE),"")</f>
        <v/>
      </c>
      <c r="E16" s="29" t="str">
        <f>IFERROR(VLOOKUP(TABELA_CA_MT[[#This Row],[DESCRIÇÃO]],'TABELA MÃE'!D:F,3,FALSE),"")</f>
        <v/>
      </c>
      <c r="F16" s="29"/>
      <c r="G16" s="24"/>
      <c r="H16" s="29" t="str">
        <f>IFERROR(IF(VLOOKUP(TABELA_CA_MT[[#This Row],[DESCRIÇÃO]],'TABELA MÃE'!D:H,4,FALSE)&lt;&gt;0,VLOOKUP(TABELA_CA_MT[[#This Row],[DESCRIÇÃO]],'TABELA MÃE'!D:H,4,FALSE),"SEM VALOR DE REFERÊNCIA"),"")</f>
        <v/>
      </c>
      <c r="I16" s="29" t="str">
        <f>IFERROR(TABELA_CA_MT[[#This Row],[QTD.]]*IF(TABELA_CA_MT[[#This Row],[PREÇO MÉDIO R$]]="SEM VALOR DE REFERÊNCIA","0",TABELA_CA_MT[[#This Row],[PREÇO MÉDIO R$]]),"0")</f>
        <v>0</v>
      </c>
      <c r="J16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17" spans="2:10" x14ac:dyDescent="0.25">
      <c r="B17" s="23" t="str">
        <f>IF(TABELA_CA_MT[[#This Row],[DESCRIÇÃO]]&lt;&gt;"",MAX($B$8:B16)+1,"")</f>
        <v/>
      </c>
      <c r="C17" s="41"/>
      <c r="D17" s="29" t="str">
        <f>IFERROR(VLOOKUP(TABELA_CA_MT[[#This Row],[DESCRIÇÃO]],'TABELA MÃE'!D:E,2,FALSE),"")</f>
        <v/>
      </c>
      <c r="E17" s="29" t="str">
        <f>IFERROR(VLOOKUP(TABELA_CA_MT[[#This Row],[DESCRIÇÃO]],'TABELA MÃE'!D:F,3,FALSE),"")</f>
        <v/>
      </c>
      <c r="F17" s="29"/>
      <c r="G17" s="24"/>
      <c r="H17" s="29" t="str">
        <f>IFERROR(IF(VLOOKUP(TABELA_CA_MT[[#This Row],[DESCRIÇÃO]],'TABELA MÃE'!D:H,4,FALSE)&lt;&gt;0,VLOOKUP(TABELA_CA_MT[[#This Row],[DESCRIÇÃO]],'TABELA MÃE'!D:H,4,FALSE),"SEM VALOR DE REFERÊNCIA"),"")</f>
        <v/>
      </c>
      <c r="I17" s="29" t="str">
        <f>IFERROR(TABELA_CA_MT[[#This Row],[QTD.]]*IF(TABELA_CA_MT[[#This Row],[PREÇO MÉDIO R$]]="SEM VALOR DE REFERÊNCIA","0",TABELA_CA_MT[[#This Row],[PREÇO MÉDIO R$]]),"0")</f>
        <v>0</v>
      </c>
      <c r="J17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18" spans="2:10" x14ac:dyDescent="0.25">
      <c r="B18" s="23" t="str">
        <f>IF(TABELA_CA_MT[[#This Row],[DESCRIÇÃO]]&lt;&gt;"",MAX($B$8:B17)+1,"")</f>
        <v/>
      </c>
      <c r="C18" s="41"/>
      <c r="D18" s="29" t="str">
        <f>IFERROR(VLOOKUP(TABELA_CA_MT[[#This Row],[DESCRIÇÃO]],'TABELA MÃE'!D:E,2,FALSE),"")</f>
        <v/>
      </c>
      <c r="E18" s="29" t="str">
        <f>IFERROR(VLOOKUP(TABELA_CA_MT[[#This Row],[DESCRIÇÃO]],'TABELA MÃE'!D:F,3,FALSE),"")</f>
        <v/>
      </c>
      <c r="F18" s="29"/>
      <c r="G18" s="24"/>
      <c r="H18" s="29" t="str">
        <f>IFERROR(IF(VLOOKUP(TABELA_CA_MT[[#This Row],[DESCRIÇÃO]],'TABELA MÃE'!D:H,4,FALSE)&lt;&gt;0,VLOOKUP(TABELA_CA_MT[[#This Row],[DESCRIÇÃO]],'TABELA MÃE'!D:H,4,FALSE),"SEM VALOR DE REFERÊNCIA"),"")</f>
        <v/>
      </c>
      <c r="I18" s="29" t="str">
        <f>IFERROR(TABELA_CA_MT[[#This Row],[QTD.]]*IF(TABELA_CA_MT[[#This Row],[PREÇO MÉDIO R$]]="SEM VALOR DE REFERÊNCIA","0",TABELA_CA_MT[[#This Row],[PREÇO MÉDIO R$]]),"0")</f>
        <v>0</v>
      </c>
      <c r="J18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19" spans="2:10" x14ac:dyDescent="0.25">
      <c r="B19" s="23" t="str">
        <f>IF(TABELA_CA_MT[[#This Row],[DESCRIÇÃO]]&lt;&gt;"",MAX($B$8:B18)+1,"")</f>
        <v/>
      </c>
      <c r="C19" s="41"/>
      <c r="D19" s="29" t="str">
        <f>IFERROR(VLOOKUP(TABELA_CA_MT[[#This Row],[DESCRIÇÃO]],'TABELA MÃE'!D:E,2,FALSE),"")</f>
        <v/>
      </c>
      <c r="E19" s="29" t="str">
        <f>IFERROR(VLOOKUP(TABELA_CA_MT[[#This Row],[DESCRIÇÃO]],'TABELA MÃE'!D:F,3,FALSE),"")</f>
        <v/>
      </c>
      <c r="F19" s="29"/>
      <c r="G19" s="24"/>
      <c r="H19" s="29" t="str">
        <f>IFERROR(IF(VLOOKUP(TABELA_CA_MT[[#This Row],[DESCRIÇÃO]],'TABELA MÃE'!D:H,4,FALSE)&lt;&gt;0,VLOOKUP(TABELA_CA_MT[[#This Row],[DESCRIÇÃO]],'TABELA MÃE'!D:H,4,FALSE),"SEM VALOR DE REFERÊNCIA"),"")</f>
        <v/>
      </c>
      <c r="I19" s="29" t="str">
        <f>IFERROR(TABELA_CA_MT[[#This Row],[QTD.]]*IF(TABELA_CA_MT[[#This Row],[PREÇO MÉDIO R$]]="SEM VALOR DE REFERÊNCIA","0",TABELA_CA_MT[[#This Row],[PREÇO MÉDIO R$]]),"0")</f>
        <v>0</v>
      </c>
      <c r="J19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20" spans="2:10" x14ac:dyDescent="0.25">
      <c r="B20" s="23" t="str">
        <f>IF(TABELA_CA_MT[[#This Row],[DESCRIÇÃO]]&lt;&gt;"",MAX($B$8:B19)+1,"")</f>
        <v/>
      </c>
      <c r="C20" s="41"/>
      <c r="D20" s="29" t="str">
        <f>IFERROR(VLOOKUP(TABELA_CA_MT[[#This Row],[DESCRIÇÃO]],'TABELA MÃE'!D:E,2,FALSE),"")</f>
        <v/>
      </c>
      <c r="E20" s="29" t="str">
        <f>IFERROR(VLOOKUP(TABELA_CA_MT[[#This Row],[DESCRIÇÃO]],'TABELA MÃE'!D:F,3,FALSE),"")</f>
        <v/>
      </c>
      <c r="F20" s="29"/>
      <c r="G20" s="24"/>
      <c r="H20" s="29" t="str">
        <f>IFERROR(IF(VLOOKUP(TABELA_CA_MT[[#This Row],[DESCRIÇÃO]],'TABELA MÃE'!D:H,4,FALSE)&lt;&gt;0,VLOOKUP(TABELA_CA_MT[[#This Row],[DESCRIÇÃO]],'TABELA MÃE'!D:H,4,FALSE),"SEM VALOR DE REFERÊNCIA"),"")</f>
        <v/>
      </c>
      <c r="I20" s="29" t="str">
        <f>IFERROR(TABELA_CA_MT[[#This Row],[QTD.]]*IF(TABELA_CA_MT[[#This Row],[PREÇO MÉDIO R$]]="SEM VALOR DE REFERÊNCIA","0",TABELA_CA_MT[[#This Row],[PREÇO MÉDIO R$]]),"0")</f>
        <v>0</v>
      </c>
      <c r="J20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21" spans="2:10" x14ac:dyDescent="0.25">
      <c r="B21" s="23" t="str">
        <f>IF(TABELA_CA_MT[[#This Row],[DESCRIÇÃO]]&lt;&gt;"",MAX($B$8:B20)+1,"")</f>
        <v/>
      </c>
      <c r="C21" s="41"/>
      <c r="D21" s="29" t="str">
        <f>IFERROR(VLOOKUP(TABELA_CA_MT[[#This Row],[DESCRIÇÃO]],'TABELA MÃE'!D:E,2,FALSE),"")</f>
        <v/>
      </c>
      <c r="E21" s="29" t="str">
        <f>IFERROR(VLOOKUP(TABELA_CA_MT[[#This Row],[DESCRIÇÃO]],'TABELA MÃE'!D:F,3,FALSE),"")</f>
        <v/>
      </c>
      <c r="F21" s="29"/>
      <c r="G21" s="24"/>
      <c r="H21" s="29" t="str">
        <f>IFERROR(IF(VLOOKUP(TABELA_CA_MT[[#This Row],[DESCRIÇÃO]],'TABELA MÃE'!D:H,4,FALSE)&lt;&gt;0,VLOOKUP(TABELA_CA_MT[[#This Row],[DESCRIÇÃO]],'TABELA MÃE'!D:H,4,FALSE),"SEM VALOR DE REFERÊNCIA"),"")</f>
        <v/>
      </c>
      <c r="I21" s="29" t="str">
        <f>IFERROR(TABELA_CA_MT[[#This Row],[QTD.]]*IF(TABELA_CA_MT[[#This Row],[PREÇO MÉDIO R$]]="SEM VALOR DE REFERÊNCIA","0",TABELA_CA_MT[[#This Row],[PREÇO MÉDIO R$]]),"0")</f>
        <v>0</v>
      </c>
      <c r="J21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22" spans="2:10" x14ac:dyDescent="0.25">
      <c r="B22" s="23" t="str">
        <f>IF(TABELA_CA_MT[[#This Row],[DESCRIÇÃO]]&lt;&gt;"",MAX($B$8:B21)+1,"")</f>
        <v/>
      </c>
      <c r="C22" s="41"/>
      <c r="D22" s="29" t="str">
        <f>IFERROR(VLOOKUP(TABELA_CA_MT[[#This Row],[DESCRIÇÃO]],'TABELA MÃE'!D:E,2,FALSE),"")</f>
        <v/>
      </c>
      <c r="E22" s="29" t="str">
        <f>IFERROR(VLOOKUP(TABELA_CA_MT[[#This Row],[DESCRIÇÃO]],'TABELA MÃE'!D:F,3,FALSE),"")</f>
        <v/>
      </c>
      <c r="F22" s="29"/>
      <c r="G22" s="24"/>
      <c r="H22" s="29" t="str">
        <f>IFERROR(IF(VLOOKUP(TABELA_CA_MT[[#This Row],[DESCRIÇÃO]],'TABELA MÃE'!D:H,4,FALSE)&lt;&gt;0,VLOOKUP(TABELA_CA_MT[[#This Row],[DESCRIÇÃO]],'TABELA MÃE'!D:H,4,FALSE),"SEM VALOR DE REFERÊNCIA"),"")</f>
        <v/>
      </c>
      <c r="I22" s="29" t="str">
        <f>IFERROR(TABELA_CA_MT[[#This Row],[QTD.]]*IF(TABELA_CA_MT[[#This Row],[PREÇO MÉDIO R$]]="SEM VALOR DE REFERÊNCIA","0",TABELA_CA_MT[[#This Row],[PREÇO MÉDIO R$]]),"0")</f>
        <v>0</v>
      </c>
      <c r="J22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23" spans="2:10" x14ac:dyDescent="0.25">
      <c r="B23" s="23" t="str">
        <f>IF(TABELA_CA_MT[[#This Row],[DESCRIÇÃO]]&lt;&gt;"",MAX($B$8:B22)+1,"")</f>
        <v/>
      </c>
      <c r="C23" s="41"/>
      <c r="D23" s="29" t="str">
        <f>IFERROR(VLOOKUP(TABELA_CA_MT[[#This Row],[DESCRIÇÃO]],'TABELA MÃE'!D:E,2,FALSE),"")</f>
        <v/>
      </c>
      <c r="E23" s="29" t="str">
        <f>IFERROR(VLOOKUP(TABELA_CA_MT[[#This Row],[DESCRIÇÃO]],'TABELA MÃE'!D:F,3,FALSE),"")</f>
        <v/>
      </c>
      <c r="F23" s="29"/>
      <c r="G23" s="24"/>
      <c r="H23" s="29" t="str">
        <f>IFERROR(IF(VLOOKUP(TABELA_CA_MT[[#This Row],[DESCRIÇÃO]],'TABELA MÃE'!D:H,4,FALSE)&lt;&gt;0,VLOOKUP(TABELA_CA_MT[[#This Row],[DESCRIÇÃO]],'TABELA MÃE'!D:H,4,FALSE),"SEM VALOR DE REFERÊNCIA"),"")</f>
        <v/>
      </c>
      <c r="I23" s="29" t="str">
        <f>IFERROR(TABELA_CA_MT[[#This Row],[QTD.]]*IF(TABELA_CA_MT[[#This Row],[PREÇO MÉDIO R$]]="SEM VALOR DE REFERÊNCIA","0",TABELA_CA_MT[[#This Row],[PREÇO MÉDIO R$]]),"0")</f>
        <v>0</v>
      </c>
      <c r="J23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24" spans="2:10" x14ac:dyDescent="0.25">
      <c r="B24" s="23" t="str">
        <f>IF(TABELA_CA_MT[[#This Row],[DESCRIÇÃO]]&lt;&gt;"",MAX($B$8:B23)+1,"")</f>
        <v/>
      </c>
      <c r="C24" s="41"/>
      <c r="D24" s="29" t="str">
        <f>IFERROR(VLOOKUP(TABELA_CA_MT[[#This Row],[DESCRIÇÃO]],'TABELA MÃE'!D:E,2,FALSE),"")</f>
        <v/>
      </c>
      <c r="E24" s="29" t="str">
        <f>IFERROR(VLOOKUP(TABELA_CA_MT[[#This Row],[DESCRIÇÃO]],'TABELA MÃE'!D:F,3,FALSE),"")</f>
        <v/>
      </c>
      <c r="F24" s="29"/>
      <c r="G24" s="24"/>
      <c r="H24" s="29" t="str">
        <f>IFERROR(IF(VLOOKUP(TABELA_CA_MT[[#This Row],[DESCRIÇÃO]],'TABELA MÃE'!D:H,4,FALSE)&lt;&gt;0,VLOOKUP(TABELA_CA_MT[[#This Row],[DESCRIÇÃO]],'TABELA MÃE'!D:H,4,FALSE),"SEM VALOR DE REFERÊNCIA"),"")</f>
        <v/>
      </c>
      <c r="I24" s="29" t="str">
        <f>IFERROR(TABELA_CA_MT[[#This Row],[QTD.]]*IF(TABELA_CA_MT[[#This Row],[PREÇO MÉDIO R$]]="SEM VALOR DE REFERÊNCIA","0",TABELA_CA_MT[[#This Row],[PREÇO MÉDIO R$]]),"0")</f>
        <v>0</v>
      </c>
      <c r="J24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25" spans="2:10" x14ac:dyDescent="0.25">
      <c r="B25" s="23" t="str">
        <f>IF(TABELA_CA_MT[[#This Row],[DESCRIÇÃO]]&lt;&gt;"",MAX($B$8:B24)+1,"")</f>
        <v/>
      </c>
      <c r="C25" s="41"/>
      <c r="D25" s="29" t="str">
        <f>IFERROR(VLOOKUP(TABELA_CA_MT[[#This Row],[DESCRIÇÃO]],'TABELA MÃE'!D:E,2,FALSE),"")</f>
        <v/>
      </c>
      <c r="E25" s="29" t="str">
        <f>IFERROR(VLOOKUP(TABELA_CA_MT[[#This Row],[DESCRIÇÃO]],'TABELA MÃE'!D:F,3,FALSE),"")</f>
        <v/>
      </c>
      <c r="F25" s="29"/>
      <c r="G25" s="24"/>
      <c r="H25" s="29" t="str">
        <f>IFERROR(IF(VLOOKUP(TABELA_CA_MT[[#This Row],[DESCRIÇÃO]],'TABELA MÃE'!D:H,4,FALSE)&lt;&gt;0,VLOOKUP(TABELA_CA_MT[[#This Row],[DESCRIÇÃO]],'TABELA MÃE'!D:H,4,FALSE),"SEM VALOR DE REFERÊNCIA"),"")</f>
        <v/>
      </c>
      <c r="I25" s="29" t="str">
        <f>IFERROR(TABELA_CA_MT[[#This Row],[QTD.]]*IF(TABELA_CA_MT[[#This Row],[PREÇO MÉDIO R$]]="SEM VALOR DE REFERÊNCIA","0",TABELA_CA_MT[[#This Row],[PREÇO MÉDIO R$]]),"0")</f>
        <v>0</v>
      </c>
      <c r="J25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26" spans="2:10" x14ac:dyDescent="0.25">
      <c r="B26" s="23" t="str">
        <f>IF(TABELA_CA_MT[[#This Row],[DESCRIÇÃO]]&lt;&gt;"",MAX($B$8:B25)+1,"")</f>
        <v/>
      </c>
      <c r="C26" s="41"/>
      <c r="D26" s="29" t="str">
        <f>IFERROR(VLOOKUP(TABELA_CA_MT[[#This Row],[DESCRIÇÃO]],'TABELA MÃE'!D:E,2,FALSE),"")</f>
        <v/>
      </c>
      <c r="E26" s="29" t="str">
        <f>IFERROR(VLOOKUP(TABELA_CA_MT[[#This Row],[DESCRIÇÃO]],'TABELA MÃE'!D:F,3,FALSE),"")</f>
        <v/>
      </c>
      <c r="F26" s="29"/>
      <c r="G26" s="24"/>
      <c r="H26" s="29" t="str">
        <f>IFERROR(IF(VLOOKUP(TABELA_CA_MT[[#This Row],[DESCRIÇÃO]],'TABELA MÃE'!D:H,4,FALSE)&lt;&gt;0,VLOOKUP(TABELA_CA_MT[[#This Row],[DESCRIÇÃO]],'TABELA MÃE'!D:H,4,FALSE),"SEM VALOR DE REFERÊNCIA"),"")</f>
        <v/>
      </c>
      <c r="I26" s="29" t="str">
        <f>IFERROR(TABELA_CA_MT[[#This Row],[QTD.]]*IF(TABELA_CA_MT[[#This Row],[PREÇO MÉDIO R$]]="SEM VALOR DE REFERÊNCIA","0",TABELA_CA_MT[[#This Row],[PREÇO MÉDIO R$]]),"0")</f>
        <v>0</v>
      </c>
      <c r="J26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27" spans="2:10" x14ac:dyDescent="0.25">
      <c r="B27" s="23" t="str">
        <f>IF(TABELA_CA_MT[[#This Row],[DESCRIÇÃO]]&lt;&gt;"",MAX($B$8:B26)+1,"")</f>
        <v/>
      </c>
      <c r="C27" s="41"/>
      <c r="D27" s="29" t="str">
        <f>IFERROR(VLOOKUP(TABELA_CA_MT[[#This Row],[DESCRIÇÃO]],'TABELA MÃE'!D:E,2,FALSE),"")</f>
        <v/>
      </c>
      <c r="E27" s="29" t="str">
        <f>IFERROR(VLOOKUP(TABELA_CA_MT[[#This Row],[DESCRIÇÃO]],'TABELA MÃE'!D:F,3,FALSE),"")</f>
        <v/>
      </c>
      <c r="F27" s="29"/>
      <c r="G27" s="24"/>
      <c r="H27" s="29" t="str">
        <f>IFERROR(IF(VLOOKUP(TABELA_CA_MT[[#This Row],[DESCRIÇÃO]],'TABELA MÃE'!D:H,4,FALSE)&lt;&gt;0,VLOOKUP(TABELA_CA_MT[[#This Row],[DESCRIÇÃO]],'TABELA MÃE'!D:H,4,FALSE),"SEM VALOR DE REFERÊNCIA"),"")</f>
        <v/>
      </c>
      <c r="I27" s="29" t="str">
        <f>IFERROR(TABELA_CA_MT[[#This Row],[QTD.]]*IF(TABELA_CA_MT[[#This Row],[PREÇO MÉDIO R$]]="SEM VALOR DE REFERÊNCIA","0",TABELA_CA_MT[[#This Row],[PREÇO MÉDIO R$]]),"0")</f>
        <v>0</v>
      </c>
      <c r="J27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28" spans="2:10" x14ac:dyDescent="0.25">
      <c r="B28" s="23" t="str">
        <f>IF(TABELA_CA_MT[[#This Row],[DESCRIÇÃO]]&lt;&gt;"",MAX($B$8:B27)+1,"")</f>
        <v/>
      </c>
      <c r="C28" s="41"/>
      <c r="D28" s="29" t="str">
        <f>IFERROR(VLOOKUP(TABELA_CA_MT[[#This Row],[DESCRIÇÃO]],'TABELA MÃE'!D:E,2,FALSE),"")</f>
        <v/>
      </c>
      <c r="E28" s="29" t="str">
        <f>IFERROR(VLOOKUP(TABELA_CA_MT[[#This Row],[DESCRIÇÃO]],'TABELA MÃE'!D:F,3,FALSE),"")</f>
        <v/>
      </c>
      <c r="F28" s="29"/>
      <c r="G28" s="24"/>
      <c r="H28" s="29" t="str">
        <f>IFERROR(IF(VLOOKUP(TABELA_CA_MT[[#This Row],[DESCRIÇÃO]],'TABELA MÃE'!D:H,4,FALSE)&lt;&gt;0,VLOOKUP(TABELA_CA_MT[[#This Row],[DESCRIÇÃO]],'TABELA MÃE'!D:H,4,FALSE),"SEM VALOR DE REFERÊNCIA"),"")</f>
        <v/>
      </c>
      <c r="I28" s="29" t="str">
        <f>IFERROR(TABELA_CA_MT[[#This Row],[QTD.]]*IF(TABELA_CA_MT[[#This Row],[PREÇO MÉDIO R$]]="SEM VALOR DE REFERÊNCIA","0",TABELA_CA_MT[[#This Row],[PREÇO MÉDIO R$]]),"0")</f>
        <v>0</v>
      </c>
      <c r="J28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29" spans="2:10" x14ac:dyDescent="0.25">
      <c r="B29" s="23" t="str">
        <f>IF(TABELA_CA_MT[[#This Row],[DESCRIÇÃO]]&lt;&gt;"",MAX($B$8:B28)+1,"")</f>
        <v/>
      </c>
      <c r="C29" s="41"/>
      <c r="D29" s="29" t="str">
        <f>IFERROR(VLOOKUP(TABELA_CA_MT[[#This Row],[DESCRIÇÃO]],'TABELA MÃE'!D:E,2,FALSE),"")</f>
        <v/>
      </c>
      <c r="E29" s="29" t="str">
        <f>IFERROR(VLOOKUP(TABELA_CA_MT[[#This Row],[DESCRIÇÃO]],'TABELA MÃE'!D:F,3,FALSE),"")</f>
        <v/>
      </c>
      <c r="F29" s="29"/>
      <c r="G29" s="24"/>
      <c r="H29" s="29" t="str">
        <f>IFERROR(IF(VLOOKUP(TABELA_CA_MT[[#This Row],[DESCRIÇÃO]],'TABELA MÃE'!D:H,4,FALSE)&lt;&gt;0,VLOOKUP(TABELA_CA_MT[[#This Row],[DESCRIÇÃO]],'TABELA MÃE'!D:H,4,FALSE),"SEM VALOR DE REFERÊNCIA"),"")</f>
        <v/>
      </c>
      <c r="I29" s="29" t="str">
        <f>IFERROR(TABELA_CA_MT[[#This Row],[QTD.]]*IF(TABELA_CA_MT[[#This Row],[PREÇO MÉDIO R$]]="SEM VALOR DE REFERÊNCIA","0",TABELA_CA_MT[[#This Row],[PREÇO MÉDIO R$]]),"0")</f>
        <v>0</v>
      </c>
      <c r="J29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30" spans="2:10" x14ac:dyDescent="0.25">
      <c r="B30" s="23" t="str">
        <f>IF(TABELA_CA_MT[[#This Row],[DESCRIÇÃO]]&lt;&gt;"",MAX($B$8:B29)+1,"")</f>
        <v/>
      </c>
      <c r="C30" s="41"/>
      <c r="D30" s="29" t="str">
        <f>IFERROR(VLOOKUP(TABELA_CA_MT[[#This Row],[DESCRIÇÃO]],'TABELA MÃE'!D:E,2,FALSE),"")</f>
        <v/>
      </c>
      <c r="E30" s="29" t="str">
        <f>IFERROR(VLOOKUP(TABELA_CA_MT[[#This Row],[DESCRIÇÃO]],'TABELA MÃE'!D:F,3,FALSE),"")</f>
        <v/>
      </c>
      <c r="F30" s="29"/>
      <c r="G30" s="24"/>
      <c r="H30" s="29" t="str">
        <f>IFERROR(IF(VLOOKUP(TABELA_CA_MT[[#This Row],[DESCRIÇÃO]],'TABELA MÃE'!D:H,4,FALSE)&lt;&gt;0,VLOOKUP(TABELA_CA_MT[[#This Row],[DESCRIÇÃO]],'TABELA MÃE'!D:H,4,FALSE),"SEM VALOR DE REFERÊNCIA"),"")</f>
        <v/>
      </c>
      <c r="I30" s="29" t="str">
        <f>IFERROR(TABELA_CA_MT[[#This Row],[QTD.]]*IF(TABELA_CA_MT[[#This Row],[PREÇO MÉDIO R$]]="SEM VALOR DE REFERÊNCIA","0",TABELA_CA_MT[[#This Row],[PREÇO MÉDIO R$]]),"0")</f>
        <v>0</v>
      </c>
      <c r="J30" s="24" t="str">
        <f>IFERROR(IF(VLOOKUP(TABELA_CA_MT[[#This Row],[DESCRIÇÃO]],'TABELA MÃE'!D:H,5,FALSE)&lt;&gt;0,VLOOKUP(TABELA_CA_MT[[#This Row],[DESCRIÇÃO]],'TABELA MÃE'!D:H,5,FALSE),"SEM VALOR DE REFERÊNCIA"),"")</f>
        <v/>
      </c>
    </row>
    <row r="31" spans="2:10" ht="15.75" thickBot="1" x14ac:dyDescent="0.3">
      <c r="B31" s="40" t="str">
        <f>IF(TABELA_CA_MT[[#This Row],[DESCRIÇÃO]]&lt;&gt;"",MAX($B$8:B30)+1,"")</f>
        <v/>
      </c>
      <c r="C31" s="36"/>
      <c r="D31" s="31" t="str">
        <f>IFERROR(VLOOKUP(TABELA_CA_MT[[#This Row],[DESCRIÇÃO]],'TABELA MÃE'!D:E,2,FALSE),"")</f>
        <v/>
      </c>
      <c r="E31" s="31" t="str">
        <f>IFERROR(VLOOKUP(TABELA_CA_MT[[#This Row],[DESCRIÇÃO]],'TABELA MÃE'!D:F,3,FALSE),"")</f>
        <v/>
      </c>
      <c r="F31" s="31"/>
      <c r="G31" s="42"/>
      <c r="H31" s="31" t="str">
        <f>IFERROR(IF(VLOOKUP(TABELA_CA_MT[[#This Row],[DESCRIÇÃO]],'TABELA MÃE'!D:H,4,FALSE)&lt;&gt;0,VLOOKUP(TABELA_CA_MT[[#This Row],[DESCRIÇÃO]],'TABELA MÃE'!D:H,4,FALSE),"SEM VALOR DE REFERÊNCIA"),"")</f>
        <v/>
      </c>
      <c r="I31" s="31" t="str">
        <f>IFERROR(TABELA_CA_MT[[#This Row],[QTD.]]*IF(TABELA_CA_MT[[#This Row],[PREÇO MÉDIO R$]]="SEM VALOR DE REFERÊNCIA","0",TABELA_CA_MT[[#This Row],[PREÇO MÉDIO R$]]),"0")</f>
        <v>0</v>
      </c>
      <c r="J31" s="24" t="str">
        <f>IFERROR(IF(VLOOKUP(TABELA_CA_MT[[#This Row],[DESCRIÇÃO]],'TABELA MÃE'!D:H,5,FALSE)&lt;&gt;0,VLOOKUP(TABELA_CA_MT[[#This Row],[DESCRIÇÃO]],'TABELA MÃE'!D:H,5,FALSE),"SEM VALOR DE REFERÊNCIA"),"")</f>
        <v/>
      </c>
    </row>
  </sheetData>
  <mergeCells count="5">
    <mergeCell ref="F2:G5"/>
    <mergeCell ref="B6:G6"/>
    <mergeCell ref="H6:J6"/>
    <mergeCell ref="H2:H5"/>
    <mergeCell ref="I2:J5"/>
  </mergeCells>
  <dataValidations count="1">
    <dataValidation type="list" allowBlank="1" showInputMessage="1" showErrorMessage="1" sqref="C2" xr:uid="{F78FC603-7FB1-4E3C-980C-A12EE3FF3D38}">
      <formula1>TABELA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3C2E86-65D2-4365-92C2-F596A22702E1}">
          <x14:formula1>
            <xm:f>OFFSET('TABELA MÃE'!$D$2,MATCH($C$2,'TABELA MÃE'!$A:$A,0)-2,0,COUNTIF('TABELA MÃE'!$A:$A,$C$2),1)</xm:f>
          </x14:formula1>
          <xm:sqref>C8:C31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E8313-17CF-467F-AA80-30074466E316}">
  <sheetPr codeName="Planilha8"/>
  <dimension ref="B1:J31"/>
  <sheetViews>
    <sheetView workbookViewId="0">
      <selection activeCell="C8" sqref="C8"/>
    </sheetView>
  </sheetViews>
  <sheetFormatPr defaultRowHeight="15" x14ac:dyDescent="0.25"/>
  <cols>
    <col min="2" max="2" width="15" bestFit="1" customWidth="1"/>
    <col min="3" max="3" width="100.7109375" customWidth="1"/>
    <col min="4" max="4" width="32.42578125" bestFit="1" customWidth="1"/>
    <col min="5" max="5" width="8.85546875" bestFit="1" customWidth="1"/>
    <col min="6" max="6" width="10" bestFit="1" customWidth="1"/>
    <col min="7" max="7" width="9.85546875" bestFit="1" customWidth="1"/>
    <col min="8" max="8" width="24.85546875" bestFit="1" customWidth="1"/>
    <col min="9" max="9" width="20.42578125" bestFit="1" customWidth="1"/>
    <col min="10" max="10" width="26.42578125" bestFit="1" customWidth="1"/>
    <col min="12" max="12" width="11.140625" bestFit="1" customWidth="1"/>
  </cols>
  <sheetData>
    <row r="1" spans="2:10" ht="15.75" thickBot="1" x14ac:dyDescent="0.3"/>
    <row r="2" spans="2:10" x14ac:dyDescent="0.25">
      <c r="B2" s="26" t="s">
        <v>163</v>
      </c>
      <c r="C2" s="20" t="s">
        <v>22</v>
      </c>
      <c r="D2" s="27"/>
      <c r="E2" s="27"/>
      <c r="F2" s="84" t="e" vm="1">
        <v>#VALUE!</v>
      </c>
      <c r="G2" s="85"/>
      <c r="H2" s="93" t="s">
        <v>145</v>
      </c>
      <c r="I2" s="164" cm="1">
        <f t="array" ref="I2">SUMPRODUCT(VALUE(IFERROR(TABELA_CERCAMENTO[VALOR TOTAL R$],0)))</f>
        <v>0</v>
      </c>
      <c r="J2" s="165"/>
    </row>
    <row r="3" spans="2:10" x14ac:dyDescent="0.25">
      <c r="B3" s="28" t="s">
        <v>133</v>
      </c>
      <c r="C3" s="37" t="str">
        <f>RIGHT('CAPA-LM'!B8,LEN('CAPA-LM'!B8)-4)</f>
        <v>XXXXX</v>
      </c>
      <c r="D3" s="29"/>
      <c r="E3" s="29"/>
      <c r="F3" s="86"/>
      <c r="G3" s="87"/>
      <c r="H3" s="94"/>
      <c r="I3" s="166"/>
      <c r="J3" s="167"/>
    </row>
    <row r="4" spans="2:10" x14ac:dyDescent="0.25">
      <c r="B4" s="28" t="s">
        <v>134</v>
      </c>
      <c r="C4" s="38">
        <f ca="1">TODAY()</f>
        <v>46170</v>
      </c>
      <c r="D4" s="29"/>
      <c r="E4" s="29"/>
      <c r="F4" s="86"/>
      <c r="G4" s="87"/>
      <c r="H4" s="94"/>
      <c r="I4" s="166"/>
      <c r="J4" s="167"/>
    </row>
    <row r="5" spans="2:10" ht="15.75" thickBot="1" x14ac:dyDescent="0.3">
      <c r="B5" s="30" t="s">
        <v>2</v>
      </c>
      <c r="C5" s="25" t="str">
        <f>'CAPA-LM'!C5</f>
        <v>ESTRADA VICINAL RURAL, 0 - ESTÂNCIA MR, ÁREA RURAL, COLIDER - MT</v>
      </c>
      <c r="D5" s="31"/>
      <c r="E5" s="31"/>
      <c r="F5" s="88"/>
      <c r="G5" s="89"/>
      <c r="H5" s="95"/>
      <c r="I5" s="168"/>
      <c r="J5" s="169"/>
    </row>
    <row r="6" spans="2:10" ht="15.75" thickBot="1" x14ac:dyDescent="0.3">
      <c r="B6" s="90" t="s">
        <v>135</v>
      </c>
      <c r="C6" s="91"/>
      <c r="D6" s="91"/>
      <c r="E6" s="91"/>
      <c r="F6" s="91"/>
      <c r="G6" s="92"/>
      <c r="H6" s="91" t="s">
        <v>141</v>
      </c>
      <c r="I6" s="91"/>
      <c r="J6" s="92"/>
    </row>
    <row r="7" spans="2:10" ht="15.75" thickBot="1" x14ac:dyDescent="0.3">
      <c r="B7" s="32" t="s">
        <v>8</v>
      </c>
      <c r="C7" s="33" t="s">
        <v>9</v>
      </c>
      <c r="D7" s="33" t="s">
        <v>29</v>
      </c>
      <c r="E7" s="33" t="s">
        <v>30</v>
      </c>
      <c r="F7" s="33" t="s">
        <v>31</v>
      </c>
      <c r="G7" s="34" t="s">
        <v>32</v>
      </c>
      <c r="H7" s="33" t="s">
        <v>49</v>
      </c>
      <c r="I7" s="33" t="s">
        <v>144</v>
      </c>
      <c r="J7" s="34" t="s">
        <v>33</v>
      </c>
    </row>
    <row r="8" spans="2:10" x14ac:dyDescent="0.25">
      <c r="B8" s="21" t="str">
        <f>IF(TABELA_CERCAMENTO[[#This Row],[DESCRIÇÃO]]&lt;&gt;"",1,"")</f>
        <v/>
      </c>
      <c r="C8" s="35"/>
      <c r="D8" s="27" t="str">
        <f>IFERROR(VLOOKUP(TABELA_CERCAMENTO[[#This Row],[DESCRIÇÃO]],'TABELA MÃE'!D:E,2,FALSE),"")</f>
        <v/>
      </c>
      <c r="E8" s="27" t="str">
        <f>IFERROR(VLOOKUP(TABELA_CERCAMENTO[[#This Row],[DESCRIÇÃO]],'TABELA MÃE'!D:F,3,FALSE),"")</f>
        <v/>
      </c>
      <c r="F8" s="27"/>
      <c r="G8" s="22"/>
      <c r="H8" s="27" t="str">
        <f>IFERROR(IF(VLOOKUP(TABELA_CERCAMENTO[[#This Row],[DESCRIÇÃO]],'TABELA MÃE'!D:H,4,FALSE)&lt;&gt;0,VLOOKUP(TABELA_CERCAMENTO[[#This Row],[DESCRIÇÃO]],'TABELA MÃE'!D:H,4,FALSE),"SEM VALOR DE REFERÊNCIA"),"")</f>
        <v/>
      </c>
      <c r="I8" s="27" t="str">
        <f>IFERROR(TABELA_CERCAMENTO[[#This Row],[QTD.]]*IF(TABELA_CERCAMENTO[[#This Row],[PREÇO MÉDIO R$]]="SEM VALOR DE REFERÊNCIA","0",TABELA_CERCAMENTO[[#This Row],[PREÇO MÉDIO R$]]),"0")</f>
        <v>0</v>
      </c>
      <c r="J8" s="22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9" spans="2:10" x14ac:dyDescent="0.25">
      <c r="B9" s="23" t="str">
        <f>IF(TABELA_CERCAMENTO[[#This Row],[DESCRIÇÃO]]&lt;&gt;"",MAX($B$8:B8)+1,"")</f>
        <v/>
      </c>
      <c r="C9" s="41"/>
      <c r="D9" s="29" t="str">
        <f>IFERROR(VLOOKUP(TABELA_CERCAMENTO[[#This Row],[DESCRIÇÃO]],'TABELA MÃE'!D:E,2,FALSE),"")</f>
        <v/>
      </c>
      <c r="E9" s="29" t="str">
        <f>IFERROR(VLOOKUP(TABELA_CERCAMENTO[[#This Row],[DESCRIÇÃO]],'TABELA MÃE'!D:F,3,FALSE),"")</f>
        <v/>
      </c>
      <c r="F9" s="29"/>
      <c r="G9" s="24"/>
      <c r="H9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9" s="29" t="str">
        <f>IFERROR(TABELA_CERCAMENTO[[#This Row],[QTD.]]*IF(TABELA_CERCAMENTO[[#This Row],[PREÇO MÉDIO R$]]="SEM VALOR DE REFERÊNCIA","0",TABELA_CERCAMENTO[[#This Row],[PREÇO MÉDIO R$]]),"0")</f>
        <v>0</v>
      </c>
      <c r="J9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10" spans="2:10" x14ac:dyDescent="0.25">
      <c r="B10" s="23" t="str">
        <f>IF(TABELA_CERCAMENTO[[#This Row],[DESCRIÇÃO]]&lt;&gt;"",MAX($B$8:B9)+1,"")</f>
        <v/>
      </c>
      <c r="C10" s="41"/>
      <c r="D10" s="29" t="str">
        <f>IFERROR(VLOOKUP(TABELA_CERCAMENTO[[#This Row],[DESCRIÇÃO]],'TABELA MÃE'!D:E,2,FALSE),"")</f>
        <v/>
      </c>
      <c r="E10" s="29" t="str">
        <f>IFERROR(VLOOKUP(TABELA_CERCAMENTO[[#This Row],[DESCRIÇÃO]],'TABELA MÃE'!D:F,3,FALSE),"")</f>
        <v/>
      </c>
      <c r="F10" s="29"/>
      <c r="G10" s="24"/>
      <c r="H10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10" s="29" t="str">
        <f>IFERROR(TABELA_CERCAMENTO[[#This Row],[QTD.]]*IF(TABELA_CERCAMENTO[[#This Row],[PREÇO MÉDIO R$]]="SEM VALOR DE REFERÊNCIA","0",TABELA_CERCAMENTO[[#This Row],[PREÇO MÉDIO R$]]),"0")</f>
        <v>0</v>
      </c>
      <c r="J10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11" spans="2:10" x14ac:dyDescent="0.25">
      <c r="B11" s="23" t="str">
        <f>IF(TABELA_CERCAMENTO[[#This Row],[DESCRIÇÃO]]&lt;&gt;"",MAX($B$8:B10)+1,"")</f>
        <v/>
      </c>
      <c r="C11" s="41"/>
      <c r="D11" s="29" t="str">
        <f>IFERROR(VLOOKUP(TABELA_CERCAMENTO[[#This Row],[DESCRIÇÃO]],'TABELA MÃE'!D:E,2,FALSE),"")</f>
        <v/>
      </c>
      <c r="E11" s="29" t="str">
        <f>IFERROR(VLOOKUP(TABELA_CERCAMENTO[[#This Row],[DESCRIÇÃO]],'TABELA MÃE'!D:F,3,FALSE),"")</f>
        <v/>
      </c>
      <c r="F11" s="29"/>
      <c r="G11" s="24"/>
      <c r="H11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11" s="29" t="str">
        <f>IFERROR(TABELA_CERCAMENTO[[#This Row],[QTD.]]*IF(TABELA_CERCAMENTO[[#This Row],[PREÇO MÉDIO R$]]="SEM VALOR DE REFERÊNCIA","0",TABELA_CERCAMENTO[[#This Row],[PREÇO MÉDIO R$]]),"0")</f>
        <v>0</v>
      </c>
      <c r="J11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12" spans="2:10" x14ac:dyDescent="0.25">
      <c r="B12" s="23" t="str">
        <f>IF(TABELA_CERCAMENTO[[#This Row],[DESCRIÇÃO]]&lt;&gt;"",MAX($B$8:B11)+1,"")</f>
        <v/>
      </c>
      <c r="C12" s="41"/>
      <c r="D12" s="29" t="str">
        <f>IFERROR(VLOOKUP(TABELA_CERCAMENTO[[#This Row],[DESCRIÇÃO]],'TABELA MÃE'!D:E,2,FALSE),"")</f>
        <v/>
      </c>
      <c r="E12" s="29" t="str">
        <f>IFERROR(VLOOKUP(TABELA_CERCAMENTO[[#This Row],[DESCRIÇÃO]],'TABELA MÃE'!D:F,3,FALSE),"")</f>
        <v/>
      </c>
      <c r="F12" s="29"/>
      <c r="G12" s="24"/>
      <c r="H12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12" s="29" t="str">
        <f>IFERROR(TABELA_CERCAMENTO[[#This Row],[QTD.]]*IF(TABELA_CERCAMENTO[[#This Row],[PREÇO MÉDIO R$]]="SEM VALOR DE REFERÊNCIA","0",TABELA_CERCAMENTO[[#This Row],[PREÇO MÉDIO R$]]),"0")</f>
        <v>0</v>
      </c>
      <c r="J12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13" spans="2:10" x14ac:dyDescent="0.25">
      <c r="B13" s="23" t="str">
        <f>IF(TABELA_CERCAMENTO[[#This Row],[DESCRIÇÃO]]&lt;&gt;"",MAX($B$8:B12)+1,"")</f>
        <v/>
      </c>
      <c r="C13" s="41"/>
      <c r="D13" s="29" t="str">
        <f>IFERROR(VLOOKUP(TABELA_CERCAMENTO[[#This Row],[DESCRIÇÃO]],'TABELA MÃE'!D:E,2,FALSE),"")</f>
        <v/>
      </c>
      <c r="E13" s="29" t="str">
        <f>IFERROR(VLOOKUP(TABELA_CERCAMENTO[[#This Row],[DESCRIÇÃO]],'TABELA MÃE'!D:F,3,FALSE),"")</f>
        <v/>
      </c>
      <c r="F13" s="29"/>
      <c r="G13" s="24"/>
      <c r="H13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13" s="29" t="str">
        <f>IFERROR(TABELA_CERCAMENTO[[#This Row],[QTD.]]*IF(TABELA_CERCAMENTO[[#This Row],[PREÇO MÉDIO R$]]="SEM VALOR DE REFERÊNCIA","0",TABELA_CERCAMENTO[[#This Row],[PREÇO MÉDIO R$]]),"0")</f>
        <v>0</v>
      </c>
      <c r="J13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14" spans="2:10" x14ac:dyDescent="0.25">
      <c r="B14" s="23" t="str">
        <f>IF(TABELA_CERCAMENTO[[#This Row],[DESCRIÇÃO]]&lt;&gt;"",MAX($B$8:B13)+1,"")</f>
        <v/>
      </c>
      <c r="C14" s="41"/>
      <c r="D14" s="29" t="str">
        <f>IFERROR(VLOOKUP(TABELA_CERCAMENTO[[#This Row],[DESCRIÇÃO]],'TABELA MÃE'!D:E,2,FALSE),"")</f>
        <v/>
      </c>
      <c r="E14" s="29" t="str">
        <f>IFERROR(VLOOKUP(TABELA_CERCAMENTO[[#This Row],[DESCRIÇÃO]],'TABELA MÃE'!D:F,3,FALSE),"")</f>
        <v/>
      </c>
      <c r="F14" s="29"/>
      <c r="G14" s="24"/>
      <c r="H14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14" s="29" t="str">
        <f>IFERROR(TABELA_CERCAMENTO[[#This Row],[QTD.]]*IF(TABELA_CERCAMENTO[[#This Row],[PREÇO MÉDIO R$]]="SEM VALOR DE REFERÊNCIA","0",TABELA_CERCAMENTO[[#This Row],[PREÇO MÉDIO R$]]),"0")</f>
        <v>0</v>
      </c>
      <c r="J14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15" spans="2:10" x14ac:dyDescent="0.25">
      <c r="B15" s="23" t="str">
        <f>IF(TABELA_CERCAMENTO[[#This Row],[DESCRIÇÃO]]&lt;&gt;"",MAX($B$8:B14)+1,"")</f>
        <v/>
      </c>
      <c r="C15" s="41"/>
      <c r="D15" s="29" t="str">
        <f>IFERROR(VLOOKUP(TABELA_CERCAMENTO[[#This Row],[DESCRIÇÃO]],'TABELA MÃE'!D:E,2,FALSE),"")</f>
        <v/>
      </c>
      <c r="E15" s="29" t="str">
        <f>IFERROR(VLOOKUP(TABELA_CERCAMENTO[[#This Row],[DESCRIÇÃO]],'TABELA MÃE'!D:F,3,FALSE),"")</f>
        <v/>
      </c>
      <c r="F15" s="29"/>
      <c r="G15" s="24"/>
      <c r="H15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15" s="29" t="str">
        <f>IFERROR(TABELA_CERCAMENTO[[#This Row],[QTD.]]*IF(TABELA_CERCAMENTO[[#This Row],[PREÇO MÉDIO R$]]="SEM VALOR DE REFERÊNCIA","0",TABELA_CERCAMENTO[[#This Row],[PREÇO MÉDIO R$]]),"0")</f>
        <v>0</v>
      </c>
      <c r="J15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16" spans="2:10" x14ac:dyDescent="0.25">
      <c r="B16" s="23" t="str">
        <f>IF(TABELA_CERCAMENTO[[#This Row],[DESCRIÇÃO]]&lt;&gt;"",MAX($B$8:B15)+1,"")</f>
        <v/>
      </c>
      <c r="C16" s="41"/>
      <c r="D16" s="29" t="str">
        <f>IFERROR(VLOOKUP(TABELA_CERCAMENTO[[#This Row],[DESCRIÇÃO]],'TABELA MÃE'!D:E,2,FALSE),"")</f>
        <v/>
      </c>
      <c r="E16" s="29" t="str">
        <f>IFERROR(VLOOKUP(TABELA_CERCAMENTO[[#This Row],[DESCRIÇÃO]],'TABELA MÃE'!D:F,3,FALSE),"")</f>
        <v/>
      </c>
      <c r="F16" s="29"/>
      <c r="G16" s="24"/>
      <c r="H16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16" s="29" t="str">
        <f>IFERROR(TABELA_CERCAMENTO[[#This Row],[QTD.]]*IF(TABELA_CERCAMENTO[[#This Row],[PREÇO MÉDIO R$]]="SEM VALOR DE REFERÊNCIA","0",TABELA_CERCAMENTO[[#This Row],[PREÇO MÉDIO R$]]),"0")</f>
        <v>0</v>
      </c>
      <c r="J16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17" spans="2:10" x14ac:dyDescent="0.25">
      <c r="B17" s="23" t="str">
        <f>IF(TABELA_CERCAMENTO[[#This Row],[DESCRIÇÃO]]&lt;&gt;"",MAX($B$8:B16)+1,"")</f>
        <v/>
      </c>
      <c r="C17" s="41"/>
      <c r="D17" s="29" t="str">
        <f>IFERROR(VLOOKUP(TABELA_CERCAMENTO[[#This Row],[DESCRIÇÃO]],'TABELA MÃE'!D:E,2,FALSE),"")</f>
        <v/>
      </c>
      <c r="E17" s="29" t="str">
        <f>IFERROR(VLOOKUP(TABELA_CERCAMENTO[[#This Row],[DESCRIÇÃO]],'TABELA MÃE'!D:F,3,FALSE),"")</f>
        <v/>
      </c>
      <c r="F17" s="29"/>
      <c r="G17" s="24"/>
      <c r="H17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17" s="29" t="str">
        <f>IFERROR(TABELA_CERCAMENTO[[#This Row],[QTD.]]*IF(TABELA_CERCAMENTO[[#This Row],[PREÇO MÉDIO R$]]="SEM VALOR DE REFERÊNCIA","0",TABELA_CERCAMENTO[[#This Row],[PREÇO MÉDIO R$]]),"0")</f>
        <v>0</v>
      </c>
      <c r="J17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18" spans="2:10" x14ac:dyDescent="0.25">
      <c r="B18" s="23" t="str">
        <f>IF(TABELA_CERCAMENTO[[#This Row],[DESCRIÇÃO]]&lt;&gt;"",MAX($B$8:B17)+1,"")</f>
        <v/>
      </c>
      <c r="C18" s="41"/>
      <c r="D18" s="29" t="str">
        <f>IFERROR(VLOOKUP(TABELA_CERCAMENTO[[#This Row],[DESCRIÇÃO]],'TABELA MÃE'!D:E,2,FALSE),"")</f>
        <v/>
      </c>
      <c r="E18" s="29" t="str">
        <f>IFERROR(VLOOKUP(TABELA_CERCAMENTO[[#This Row],[DESCRIÇÃO]],'TABELA MÃE'!D:F,3,FALSE),"")</f>
        <v/>
      </c>
      <c r="F18" s="29"/>
      <c r="G18" s="24"/>
      <c r="H18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18" s="29" t="str">
        <f>IFERROR(TABELA_CERCAMENTO[[#This Row],[QTD.]]*IF(TABELA_CERCAMENTO[[#This Row],[PREÇO MÉDIO R$]]="SEM VALOR DE REFERÊNCIA","0",TABELA_CERCAMENTO[[#This Row],[PREÇO MÉDIO R$]]),"0")</f>
        <v>0</v>
      </c>
      <c r="J18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19" spans="2:10" x14ac:dyDescent="0.25">
      <c r="B19" s="23" t="str">
        <f>IF(TABELA_CERCAMENTO[[#This Row],[DESCRIÇÃO]]&lt;&gt;"",MAX($B$8:B18)+1,"")</f>
        <v/>
      </c>
      <c r="C19" s="41"/>
      <c r="D19" s="29" t="str">
        <f>IFERROR(VLOOKUP(TABELA_CERCAMENTO[[#This Row],[DESCRIÇÃO]],'TABELA MÃE'!D:E,2,FALSE),"")</f>
        <v/>
      </c>
      <c r="E19" s="29" t="str">
        <f>IFERROR(VLOOKUP(TABELA_CERCAMENTO[[#This Row],[DESCRIÇÃO]],'TABELA MÃE'!D:F,3,FALSE),"")</f>
        <v/>
      </c>
      <c r="F19" s="29"/>
      <c r="G19" s="24"/>
      <c r="H19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19" s="29" t="str">
        <f>IFERROR(TABELA_CERCAMENTO[[#This Row],[QTD.]]*IF(TABELA_CERCAMENTO[[#This Row],[PREÇO MÉDIO R$]]="SEM VALOR DE REFERÊNCIA","0",TABELA_CERCAMENTO[[#This Row],[PREÇO MÉDIO R$]]),"0")</f>
        <v>0</v>
      </c>
      <c r="J19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20" spans="2:10" x14ac:dyDescent="0.25">
      <c r="B20" s="23" t="str">
        <f>IF(TABELA_CERCAMENTO[[#This Row],[DESCRIÇÃO]]&lt;&gt;"",MAX($B$8:B19)+1,"")</f>
        <v/>
      </c>
      <c r="C20" s="41"/>
      <c r="D20" s="29" t="str">
        <f>IFERROR(VLOOKUP(TABELA_CERCAMENTO[[#This Row],[DESCRIÇÃO]],'TABELA MÃE'!D:E,2,FALSE),"")</f>
        <v/>
      </c>
      <c r="E20" s="29" t="str">
        <f>IFERROR(VLOOKUP(TABELA_CERCAMENTO[[#This Row],[DESCRIÇÃO]],'TABELA MÃE'!D:F,3,FALSE),"")</f>
        <v/>
      </c>
      <c r="F20" s="29"/>
      <c r="G20" s="24"/>
      <c r="H20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20" s="29" t="str">
        <f>IFERROR(TABELA_CERCAMENTO[[#This Row],[QTD.]]*IF(TABELA_CERCAMENTO[[#This Row],[PREÇO MÉDIO R$]]="SEM VALOR DE REFERÊNCIA","0",TABELA_CERCAMENTO[[#This Row],[PREÇO MÉDIO R$]]),"0")</f>
        <v>0</v>
      </c>
      <c r="J20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21" spans="2:10" x14ac:dyDescent="0.25">
      <c r="B21" s="23" t="str">
        <f>IF(TABELA_CERCAMENTO[[#This Row],[DESCRIÇÃO]]&lt;&gt;"",MAX($B$8:B20)+1,"")</f>
        <v/>
      </c>
      <c r="C21" s="41"/>
      <c r="D21" s="29" t="str">
        <f>IFERROR(VLOOKUP(TABELA_CERCAMENTO[[#This Row],[DESCRIÇÃO]],'TABELA MÃE'!D:E,2,FALSE),"")</f>
        <v/>
      </c>
      <c r="E21" s="29" t="str">
        <f>IFERROR(VLOOKUP(TABELA_CERCAMENTO[[#This Row],[DESCRIÇÃO]],'TABELA MÃE'!D:F,3,FALSE),"")</f>
        <v/>
      </c>
      <c r="F21" s="29"/>
      <c r="G21" s="24"/>
      <c r="H21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21" s="29" t="str">
        <f>IFERROR(TABELA_CERCAMENTO[[#This Row],[QTD.]]*IF(TABELA_CERCAMENTO[[#This Row],[PREÇO MÉDIO R$]]="SEM VALOR DE REFERÊNCIA","0",TABELA_CERCAMENTO[[#This Row],[PREÇO MÉDIO R$]]),"0")</f>
        <v>0</v>
      </c>
      <c r="J21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22" spans="2:10" x14ac:dyDescent="0.25">
      <c r="B22" s="23" t="str">
        <f>IF(TABELA_CERCAMENTO[[#This Row],[DESCRIÇÃO]]&lt;&gt;"",MAX($B$8:B21)+1,"")</f>
        <v/>
      </c>
      <c r="C22" s="41"/>
      <c r="D22" s="29" t="str">
        <f>IFERROR(VLOOKUP(TABELA_CERCAMENTO[[#This Row],[DESCRIÇÃO]],'TABELA MÃE'!D:E,2,FALSE),"")</f>
        <v/>
      </c>
      <c r="E22" s="29" t="str">
        <f>IFERROR(VLOOKUP(TABELA_CERCAMENTO[[#This Row],[DESCRIÇÃO]],'TABELA MÃE'!D:F,3,FALSE),"")</f>
        <v/>
      </c>
      <c r="F22" s="29"/>
      <c r="G22" s="24"/>
      <c r="H22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22" s="29" t="str">
        <f>IFERROR(TABELA_CERCAMENTO[[#This Row],[QTD.]]*IF(TABELA_CERCAMENTO[[#This Row],[PREÇO MÉDIO R$]]="SEM VALOR DE REFERÊNCIA","0",TABELA_CERCAMENTO[[#This Row],[PREÇO MÉDIO R$]]),"0")</f>
        <v>0</v>
      </c>
      <c r="J22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23" spans="2:10" x14ac:dyDescent="0.25">
      <c r="B23" s="23" t="str">
        <f>IF(TABELA_CERCAMENTO[[#This Row],[DESCRIÇÃO]]&lt;&gt;"",MAX($B$8:B22)+1,"")</f>
        <v/>
      </c>
      <c r="C23" s="41"/>
      <c r="D23" s="29" t="str">
        <f>IFERROR(VLOOKUP(TABELA_CERCAMENTO[[#This Row],[DESCRIÇÃO]],'TABELA MÃE'!D:E,2,FALSE),"")</f>
        <v/>
      </c>
      <c r="E23" s="29" t="str">
        <f>IFERROR(VLOOKUP(TABELA_CERCAMENTO[[#This Row],[DESCRIÇÃO]],'TABELA MÃE'!D:F,3,FALSE),"")</f>
        <v/>
      </c>
      <c r="F23" s="29"/>
      <c r="G23" s="24"/>
      <c r="H23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23" s="29" t="str">
        <f>IFERROR(TABELA_CERCAMENTO[[#This Row],[QTD.]]*IF(TABELA_CERCAMENTO[[#This Row],[PREÇO MÉDIO R$]]="SEM VALOR DE REFERÊNCIA","0",TABELA_CERCAMENTO[[#This Row],[PREÇO MÉDIO R$]]),"0")</f>
        <v>0</v>
      </c>
      <c r="J23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24" spans="2:10" x14ac:dyDescent="0.25">
      <c r="B24" s="23" t="str">
        <f>IF(TABELA_CERCAMENTO[[#This Row],[DESCRIÇÃO]]&lt;&gt;"",MAX($B$8:B23)+1,"")</f>
        <v/>
      </c>
      <c r="C24" s="41"/>
      <c r="D24" s="29" t="str">
        <f>IFERROR(VLOOKUP(TABELA_CERCAMENTO[[#This Row],[DESCRIÇÃO]],'TABELA MÃE'!D:E,2,FALSE),"")</f>
        <v/>
      </c>
      <c r="E24" s="29" t="str">
        <f>IFERROR(VLOOKUP(TABELA_CERCAMENTO[[#This Row],[DESCRIÇÃO]],'TABELA MÃE'!D:F,3,FALSE),"")</f>
        <v/>
      </c>
      <c r="F24" s="29"/>
      <c r="G24" s="24"/>
      <c r="H24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24" s="29" t="str">
        <f>IFERROR(TABELA_CERCAMENTO[[#This Row],[QTD.]]*IF(TABELA_CERCAMENTO[[#This Row],[PREÇO MÉDIO R$]]="SEM VALOR DE REFERÊNCIA","0",TABELA_CERCAMENTO[[#This Row],[PREÇO MÉDIO R$]]),"0")</f>
        <v>0</v>
      </c>
      <c r="J24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25" spans="2:10" x14ac:dyDescent="0.25">
      <c r="B25" s="23" t="str">
        <f>IF(TABELA_CERCAMENTO[[#This Row],[DESCRIÇÃO]]&lt;&gt;"",MAX($B$8:B24)+1,"")</f>
        <v/>
      </c>
      <c r="C25" s="41"/>
      <c r="D25" s="29" t="str">
        <f>IFERROR(VLOOKUP(TABELA_CERCAMENTO[[#This Row],[DESCRIÇÃO]],'TABELA MÃE'!D:E,2,FALSE),"")</f>
        <v/>
      </c>
      <c r="E25" s="29" t="str">
        <f>IFERROR(VLOOKUP(TABELA_CERCAMENTO[[#This Row],[DESCRIÇÃO]],'TABELA MÃE'!D:F,3,FALSE),"")</f>
        <v/>
      </c>
      <c r="F25" s="29"/>
      <c r="G25" s="24"/>
      <c r="H25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25" s="29" t="str">
        <f>IFERROR(TABELA_CERCAMENTO[[#This Row],[QTD.]]*IF(TABELA_CERCAMENTO[[#This Row],[PREÇO MÉDIO R$]]="SEM VALOR DE REFERÊNCIA","0",TABELA_CERCAMENTO[[#This Row],[PREÇO MÉDIO R$]]),"0")</f>
        <v>0</v>
      </c>
      <c r="J25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26" spans="2:10" x14ac:dyDescent="0.25">
      <c r="B26" s="23" t="str">
        <f>IF(TABELA_CERCAMENTO[[#This Row],[DESCRIÇÃO]]&lt;&gt;"",MAX($B$8:B25)+1,"")</f>
        <v/>
      </c>
      <c r="C26" s="41"/>
      <c r="D26" s="29" t="str">
        <f>IFERROR(VLOOKUP(TABELA_CERCAMENTO[[#This Row],[DESCRIÇÃO]],'TABELA MÃE'!D:E,2,FALSE),"")</f>
        <v/>
      </c>
      <c r="E26" s="29" t="str">
        <f>IFERROR(VLOOKUP(TABELA_CERCAMENTO[[#This Row],[DESCRIÇÃO]],'TABELA MÃE'!D:F,3,FALSE),"")</f>
        <v/>
      </c>
      <c r="F26" s="29"/>
      <c r="G26" s="24"/>
      <c r="H26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26" s="29" t="str">
        <f>IFERROR(TABELA_CERCAMENTO[[#This Row],[QTD.]]*IF(TABELA_CERCAMENTO[[#This Row],[PREÇO MÉDIO R$]]="SEM VALOR DE REFERÊNCIA","0",TABELA_CERCAMENTO[[#This Row],[PREÇO MÉDIO R$]]),"0")</f>
        <v>0</v>
      </c>
      <c r="J26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27" spans="2:10" x14ac:dyDescent="0.25">
      <c r="B27" s="23" t="str">
        <f>IF(TABELA_CERCAMENTO[[#This Row],[DESCRIÇÃO]]&lt;&gt;"",MAX($B$8:B26)+1,"")</f>
        <v/>
      </c>
      <c r="C27" s="41"/>
      <c r="D27" s="29" t="str">
        <f>IFERROR(VLOOKUP(TABELA_CERCAMENTO[[#This Row],[DESCRIÇÃO]],'TABELA MÃE'!D:E,2,FALSE),"")</f>
        <v/>
      </c>
      <c r="E27" s="29" t="str">
        <f>IFERROR(VLOOKUP(TABELA_CERCAMENTO[[#This Row],[DESCRIÇÃO]],'TABELA MÃE'!D:F,3,FALSE),"")</f>
        <v/>
      </c>
      <c r="F27" s="29"/>
      <c r="G27" s="24"/>
      <c r="H27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27" s="29" t="str">
        <f>IFERROR(TABELA_CERCAMENTO[[#This Row],[QTD.]]*IF(TABELA_CERCAMENTO[[#This Row],[PREÇO MÉDIO R$]]="SEM VALOR DE REFERÊNCIA","0",TABELA_CERCAMENTO[[#This Row],[PREÇO MÉDIO R$]]),"0")</f>
        <v>0</v>
      </c>
      <c r="J27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28" spans="2:10" x14ac:dyDescent="0.25">
      <c r="B28" s="23" t="str">
        <f>IF(TABELA_CERCAMENTO[[#This Row],[DESCRIÇÃO]]&lt;&gt;"",MAX($B$8:B27)+1,"")</f>
        <v/>
      </c>
      <c r="C28" s="41"/>
      <c r="D28" s="29" t="str">
        <f>IFERROR(VLOOKUP(TABELA_CERCAMENTO[[#This Row],[DESCRIÇÃO]],'TABELA MÃE'!D:E,2,FALSE),"")</f>
        <v/>
      </c>
      <c r="E28" s="29" t="str">
        <f>IFERROR(VLOOKUP(TABELA_CERCAMENTO[[#This Row],[DESCRIÇÃO]],'TABELA MÃE'!D:F,3,FALSE),"")</f>
        <v/>
      </c>
      <c r="F28" s="29"/>
      <c r="G28" s="24"/>
      <c r="H28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28" s="29" t="str">
        <f>IFERROR(TABELA_CERCAMENTO[[#This Row],[QTD.]]*IF(TABELA_CERCAMENTO[[#This Row],[PREÇO MÉDIO R$]]="SEM VALOR DE REFERÊNCIA","0",TABELA_CERCAMENTO[[#This Row],[PREÇO MÉDIO R$]]),"0")</f>
        <v>0</v>
      </c>
      <c r="J28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29" spans="2:10" x14ac:dyDescent="0.25">
      <c r="B29" s="23" t="str">
        <f>IF(TABELA_CERCAMENTO[[#This Row],[DESCRIÇÃO]]&lt;&gt;"",MAX($B$8:B28)+1,"")</f>
        <v/>
      </c>
      <c r="C29" s="41"/>
      <c r="D29" s="29" t="str">
        <f>IFERROR(VLOOKUP(TABELA_CERCAMENTO[[#This Row],[DESCRIÇÃO]],'TABELA MÃE'!D:E,2,FALSE),"")</f>
        <v/>
      </c>
      <c r="E29" s="29" t="str">
        <f>IFERROR(VLOOKUP(TABELA_CERCAMENTO[[#This Row],[DESCRIÇÃO]],'TABELA MÃE'!D:F,3,FALSE),"")</f>
        <v/>
      </c>
      <c r="F29" s="29"/>
      <c r="G29" s="24"/>
      <c r="H29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29" s="29" t="str">
        <f>IFERROR(TABELA_CERCAMENTO[[#This Row],[QTD.]]*IF(TABELA_CERCAMENTO[[#This Row],[PREÇO MÉDIO R$]]="SEM VALOR DE REFERÊNCIA","0",TABELA_CERCAMENTO[[#This Row],[PREÇO MÉDIO R$]]),"0")</f>
        <v>0</v>
      </c>
      <c r="J29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30" spans="2:10" x14ac:dyDescent="0.25">
      <c r="B30" s="23" t="str">
        <f>IF(TABELA_CERCAMENTO[[#This Row],[DESCRIÇÃO]]&lt;&gt;"",MAX($B$8:B29)+1,"")</f>
        <v/>
      </c>
      <c r="C30" s="41"/>
      <c r="D30" s="29" t="str">
        <f>IFERROR(VLOOKUP(TABELA_CERCAMENTO[[#This Row],[DESCRIÇÃO]],'TABELA MÃE'!D:E,2,FALSE),"")</f>
        <v/>
      </c>
      <c r="E30" s="29" t="str">
        <f>IFERROR(VLOOKUP(TABELA_CERCAMENTO[[#This Row],[DESCRIÇÃO]],'TABELA MÃE'!D:F,3,FALSE),"")</f>
        <v/>
      </c>
      <c r="F30" s="29"/>
      <c r="G30" s="24"/>
      <c r="H30" s="29" t="str">
        <f>IFERROR(IF(VLOOKUP(TABELA_CERCAMENTO[[#This Row],[DESCRIÇÃO]],'TABELA MÃE'!D:H,4,FALSE)&lt;&gt;0,VLOOKUP(TABELA_CERCAMENTO[[#This Row],[DESCRIÇÃO]],'TABELA MÃE'!D:H,4,FALSE),"SEM VALOR DE REFERÊNCIA"),"")</f>
        <v/>
      </c>
      <c r="I30" s="29" t="str">
        <f>IFERROR(TABELA_CERCAMENTO[[#This Row],[QTD.]]*IF(TABELA_CERCAMENTO[[#This Row],[PREÇO MÉDIO R$]]="SEM VALOR DE REFERÊNCIA","0",TABELA_CERCAMENTO[[#This Row],[PREÇO MÉDIO R$]]),"0")</f>
        <v>0</v>
      </c>
      <c r="J30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  <row r="31" spans="2:10" ht="15.75" thickBot="1" x14ac:dyDescent="0.3">
      <c r="B31" s="40" t="str">
        <f>IF(TABELA_CERCAMENTO[[#This Row],[DESCRIÇÃO]]&lt;&gt;"",MAX($B$8:B30)+1,"")</f>
        <v/>
      </c>
      <c r="C31" s="36"/>
      <c r="D31" s="31" t="str">
        <f>IFERROR(VLOOKUP(TABELA_CERCAMENTO[[#This Row],[DESCRIÇÃO]],'TABELA MÃE'!D:E,2,FALSE),"")</f>
        <v/>
      </c>
      <c r="E31" s="31" t="str">
        <f>IFERROR(VLOOKUP(TABELA_CERCAMENTO[[#This Row],[DESCRIÇÃO]],'TABELA MÃE'!D:F,3,FALSE),"")</f>
        <v/>
      </c>
      <c r="F31" s="31"/>
      <c r="G31" s="42"/>
      <c r="H31" s="31" t="str">
        <f>IFERROR(IF(VLOOKUP(TABELA_CERCAMENTO[[#This Row],[DESCRIÇÃO]],'TABELA MÃE'!D:H,4,FALSE)&lt;&gt;0,VLOOKUP(TABELA_CERCAMENTO[[#This Row],[DESCRIÇÃO]],'TABELA MÃE'!D:H,4,FALSE),"SEM VALOR DE REFERÊNCIA"),"")</f>
        <v/>
      </c>
      <c r="I31" s="31" t="str">
        <f>IFERROR(TABELA_CERCAMENTO[[#This Row],[QTD.]]*IF(TABELA_CERCAMENTO[[#This Row],[PREÇO MÉDIO R$]]="SEM VALOR DE REFERÊNCIA","0",TABELA_CERCAMENTO[[#This Row],[PREÇO MÉDIO R$]]),"0")</f>
        <v>0</v>
      </c>
      <c r="J31" s="24" t="str">
        <f>IFERROR(IF(VLOOKUP(TABELA_CERCAMENTO[[#This Row],[DESCRIÇÃO]],'TABELA MÃE'!D:H,5,FALSE)&lt;&gt;0,VLOOKUP(TABELA_CERCAMENTO[[#This Row],[DESCRIÇÃO]],'TABELA MÃE'!D:H,5,FALSE),"SEM VALOR DE REFERÊNCIA"),"")</f>
        <v/>
      </c>
    </row>
  </sheetData>
  <mergeCells count="5">
    <mergeCell ref="H6:J6"/>
    <mergeCell ref="F2:G5"/>
    <mergeCell ref="B6:G6"/>
    <mergeCell ref="H2:H5"/>
    <mergeCell ref="I2:J5"/>
  </mergeCells>
  <dataValidations count="1">
    <dataValidation type="list" allowBlank="1" showInputMessage="1" showErrorMessage="1" sqref="C2" xr:uid="{866B62B5-2C4A-4D2B-BA35-E0BC8E40E0E3}">
      <formula1>TABELA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806ECD-65CE-4822-B9E0-B7612F3BA1AF}">
          <x14:formula1>
            <xm:f>OFFSET('TABELA MÃE'!$D$2,MATCH($C$2,'TABELA MÃE'!$A:$A,0)-2,0,COUNTIF('TABELA MÃE'!$A:$A,$C$2),1)</xm:f>
          </x14:formula1>
          <xm:sqref>C8:C31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C1894-02C5-4DB4-B5FB-6FCC20FA7979}">
  <sheetPr codeName="Planilha9"/>
  <dimension ref="B1:J31"/>
  <sheetViews>
    <sheetView workbookViewId="0">
      <selection activeCell="C12" sqref="C12"/>
    </sheetView>
  </sheetViews>
  <sheetFormatPr defaultRowHeight="15" x14ac:dyDescent="0.25"/>
  <cols>
    <col min="2" max="2" width="15" bestFit="1" customWidth="1"/>
    <col min="3" max="3" width="100.7109375" customWidth="1"/>
    <col min="4" max="4" width="32.42578125" bestFit="1" customWidth="1"/>
    <col min="5" max="5" width="8.85546875" bestFit="1" customWidth="1"/>
    <col min="6" max="6" width="10" bestFit="1" customWidth="1"/>
    <col min="7" max="7" width="9.85546875" bestFit="1" customWidth="1"/>
    <col min="8" max="8" width="24.85546875" bestFit="1" customWidth="1"/>
    <col min="9" max="9" width="20.42578125" bestFit="1" customWidth="1"/>
    <col min="10" max="10" width="26.42578125" bestFit="1" customWidth="1"/>
    <col min="12" max="12" width="11.140625" bestFit="1" customWidth="1"/>
  </cols>
  <sheetData>
    <row r="1" spans="2:10" ht="15.75" thickBot="1" x14ac:dyDescent="0.3"/>
    <row r="2" spans="2:10" x14ac:dyDescent="0.25">
      <c r="B2" s="26" t="s">
        <v>163</v>
      </c>
      <c r="C2" s="20" t="s">
        <v>14</v>
      </c>
      <c r="D2" s="27"/>
      <c r="E2" s="27"/>
      <c r="F2" s="84" t="e" vm="1">
        <v>#VALUE!</v>
      </c>
      <c r="G2" s="85"/>
      <c r="H2" s="93" t="s">
        <v>145</v>
      </c>
      <c r="I2" s="164" cm="1">
        <f t="array" ref="I2">SUMPRODUCT(VALUE(IFERROR(TABELA_CFTV[VALOR TOTAL R$],0)))</f>
        <v>0</v>
      </c>
      <c r="J2" s="165"/>
    </row>
    <row r="3" spans="2:10" x14ac:dyDescent="0.25">
      <c r="B3" s="28" t="s">
        <v>133</v>
      </c>
      <c r="C3" s="37" t="str">
        <f>RIGHT('CAPA-LM'!B8,LEN('CAPA-LM'!B8)-4)</f>
        <v>XXXXX</v>
      </c>
      <c r="D3" s="29"/>
      <c r="E3" s="29"/>
      <c r="F3" s="86"/>
      <c r="G3" s="87"/>
      <c r="H3" s="94"/>
      <c r="I3" s="166"/>
      <c r="J3" s="167"/>
    </row>
    <row r="4" spans="2:10" x14ac:dyDescent="0.25">
      <c r="B4" s="28" t="s">
        <v>134</v>
      </c>
      <c r="C4" s="38">
        <f ca="1">TODAY()</f>
        <v>46170</v>
      </c>
      <c r="D4" s="29"/>
      <c r="E4" s="29"/>
      <c r="F4" s="86"/>
      <c r="G4" s="87"/>
      <c r="H4" s="94"/>
      <c r="I4" s="166"/>
      <c r="J4" s="167"/>
    </row>
    <row r="5" spans="2:10" ht="15.75" thickBot="1" x14ac:dyDescent="0.3">
      <c r="B5" s="30" t="s">
        <v>2</v>
      </c>
      <c r="C5" s="25" t="str">
        <f>'CAPA-LM'!C5</f>
        <v>ESTRADA VICINAL RURAL, 0 - ESTÂNCIA MR, ÁREA RURAL, COLIDER - MT</v>
      </c>
      <c r="D5" s="31"/>
      <c r="E5" s="31"/>
      <c r="F5" s="88"/>
      <c r="G5" s="89"/>
      <c r="H5" s="95"/>
      <c r="I5" s="168"/>
      <c r="J5" s="169"/>
    </row>
    <row r="6" spans="2:10" ht="15.75" thickBot="1" x14ac:dyDescent="0.3">
      <c r="B6" s="90" t="s">
        <v>135</v>
      </c>
      <c r="C6" s="91"/>
      <c r="D6" s="91"/>
      <c r="E6" s="91"/>
      <c r="F6" s="91"/>
      <c r="G6" s="92"/>
      <c r="H6" s="91" t="s">
        <v>141</v>
      </c>
      <c r="I6" s="91"/>
      <c r="J6" s="92"/>
    </row>
    <row r="7" spans="2:10" ht="15.75" thickBot="1" x14ac:dyDescent="0.3">
      <c r="B7" s="32" t="s">
        <v>8</v>
      </c>
      <c r="C7" s="33" t="s">
        <v>9</v>
      </c>
      <c r="D7" s="33" t="s">
        <v>29</v>
      </c>
      <c r="E7" s="33" t="s">
        <v>30</v>
      </c>
      <c r="F7" s="33" t="s">
        <v>31</v>
      </c>
      <c r="G7" s="34" t="s">
        <v>32</v>
      </c>
      <c r="H7" s="33" t="s">
        <v>49</v>
      </c>
      <c r="I7" s="33" t="s">
        <v>144</v>
      </c>
      <c r="J7" s="34" t="s">
        <v>33</v>
      </c>
    </row>
    <row r="8" spans="2:10" x14ac:dyDescent="0.25">
      <c r="B8" s="21" t="str">
        <f>IF(TABELA_CFTV[[#This Row],[DESCRIÇÃO]]&lt;&gt;"",1,"")</f>
        <v/>
      </c>
      <c r="C8" s="35"/>
      <c r="D8" s="27" t="str">
        <f>IFERROR(VLOOKUP(TABELA_CFTV[[#This Row],[DESCRIÇÃO]],'TABELA MÃE'!D:E,2,FALSE),"")</f>
        <v/>
      </c>
      <c r="E8" s="27" t="str">
        <f>IFERROR(VLOOKUP(TABELA_CFTV[[#This Row],[DESCRIÇÃO]],'TABELA MÃE'!D:F,3,FALSE),"")</f>
        <v/>
      </c>
      <c r="F8" s="27"/>
      <c r="G8" s="22"/>
      <c r="H8" s="27" t="str">
        <f>IFERROR(IF(VLOOKUP(TABELA_CFTV[[#This Row],[DESCRIÇÃO]],'TABELA MÃE'!D:H,4,FALSE)&lt;&gt;0,VLOOKUP(TABELA_CFTV[[#This Row],[DESCRIÇÃO]],'TABELA MÃE'!D:H,4,FALSE),"SEM VALOR DE REFERÊNCIA"),"")</f>
        <v/>
      </c>
      <c r="I8" s="27" t="str">
        <f>IFERROR(TABELA_CFTV[[#This Row],[QTD.]]*IF(TABELA_CFTV[[#This Row],[PREÇO MÉDIO R$]]="SEM VALOR DE REFERÊNCIA","0",TABELA_CFTV[[#This Row],[PREÇO MÉDIO R$]]),"0")</f>
        <v>0</v>
      </c>
      <c r="J8" s="22" t="str">
        <f>IFERROR(IF(VLOOKUP(TABELA_CFTV[[#This Row],[DESCRIÇÃO]],'TABELA MÃE'!D:H,5,FALSE)&lt;&gt;0,VLOOKUP(TABELA_CFTV[[#This Row],[DESCRIÇÃO]],'TABELA MÃE'!D:H,5,FALSE),"SEM VALOR DE REFERÊNCIA"),"")</f>
        <v/>
      </c>
    </row>
    <row r="9" spans="2:10" x14ac:dyDescent="0.25">
      <c r="B9" s="23" t="str">
        <f>IF(TABELA_CFTV[[#This Row],[DESCRIÇÃO]]&lt;&gt;"",MAX($B$8:B8)+1,"")</f>
        <v/>
      </c>
      <c r="C9" s="41"/>
      <c r="D9" s="29" t="str">
        <f>IFERROR(VLOOKUP(TABELA_CFTV[[#This Row],[DESCRIÇÃO]],'TABELA MÃE'!D:E,2,FALSE),"")</f>
        <v/>
      </c>
      <c r="E9" s="29" t="str">
        <f>IFERROR(VLOOKUP(TABELA_CFTV[[#This Row],[DESCRIÇÃO]],'TABELA MÃE'!D:F,3,FALSE),"")</f>
        <v/>
      </c>
      <c r="F9" s="29"/>
      <c r="G9" s="24"/>
      <c r="H9" s="29" t="str">
        <f>IFERROR(IF(VLOOKUP(TABELA_CFTV[[#This Row],[DESCRIÇÃO]],'TABELA MÃE'!D:H,4,FALSE)&lt;&gt;0,VLOOKUP(TABELA_CFTV[[#This Row],[DESCRIÇÃO]],'TABELA MÃE'!D:H,4,FALSE),"SEM VALOR DE REFERÊNCIA"),"")</f>
        <v/>
      </c>
      <c r="I9" s="29" t="str">
        <f>IFERROR(TABELA_CFTV[[#This Row],[QTD.]]*IF(TABELA_CFTV[[#This Row],[PREÇO MÉDIO R$]]="SEM VALOR DE REFERÊNCIA","0",TABELA_CFTV[[#This Row],[PREÇO MÉDIO R$]]),"0")</f>
        <v>0</v>
      </c>
      <c r="J9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10" spans="2:10" x14ac:dyDescent="0.25">
      <c r="B10" s="23" t="str">
        <f>IF(TABELA_CFTV[[#This Row],[DESCRIÇÃO]]&lt;&gt;"",MAX($B$8:B9)+1,"")</f>
        <v/>
      </c>
      <c r="C10" s="41"/>
      <c r="D10" s="29" t="str">
        <f>IFERROR(VLOOKUP(TABELA_CFTV[[#This Row],[DESCRIÇÃO]],'TABELA MÃE'!D:E,2,FALSE),"")</f>
        <v/>
      </c>
      <c r="E10" s="29" t="str">
        <f>IFERROR(VLOOKUP(TABELA_CFTV[[#This Row],[DESCRIÇÃO]],'TABELA MÃE'!D:F,3,FALSE),"")</f>
        <v/>
      </c>
      <c r="F10" s="29"/>
      <c r="G10" s="24"/>
      <c r="H10" s="29" t="str">
        <f>IFERROR(IF(VLOOKUP(TABELA_CFTV[[#This Row],[DESCRIÇÃO]],'TABELA MÃE'!D:H,4,FALSE)&lt;&gt;0,VLOOKUP(TABELA_CFTV[[#This Row],[DESCRIÇÃO]],'TABELA MÃE'!D:H,4,FALSE),"SEM VALOR DE REFERÊNCIA"),"")</f>
        <v/>
      </c>
      <c r="I10" s="29" t="str">
        <f>IFERROR(TABELA_CFTV[[#This Row],[QTD.]]*IF(TABELA_CFTV[[#This Row],[PREÇO MÉDIO R$]]="SEM VALOR DE REFERÊNCIA","0",TABELA_CFTV[[#This Row],[PREÇO MÉDIO R$]]),"0")</f>
        <v>0</v>
      </c>
      <c r="J10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11" spans="2:10" x14ac:dyDescent="0.25">
      <c r="B11" s="23" t="str">
        <f>IF(TABELA_CFTV[[#This Row],[DESCRIÇÃO]]&lt;&gt;"",MAX($B$8:B10)+1,"")</f>
        <v/>
      </c>
      <c r="C11" s="41"/>
      <c r="D11" s="29" t="str">
        <f>IFERROR(VLOOKUP(TABELA_CFTV[[#This Row],[DESCRIÇÃO]],'TABELA MÃE'!D:E,2,FALSE),"")</f>
        <v/>
      </c>
      <c r="E11" s="29" t="str">
        <f>IFERROR(VLOOKUP(TABELA_CFTV[[#This Row],[DESCRIÇÃO]],'TABELA MÃE'!D:F,3,FALSE),"")</f>
        <v/>
      </c>
      <c r="F11" s="29"/>
      <c r="G11" s="24"/>
      <c r="H11" s="29" t="str">
        <f>IFERROR(IF(VLOOKUP(TABELA_CFTV[[#This Row],[DESCRIÇÃO]],'TABELA MÃE'!D:H,4,FALSE)&lt;&gt;0,VLOOKUP(TABELA_CFTV[[#This Row],[DESCRIÇÃO]],'TABELA MÃE'!D:H,4,FALSE),"SEM VALOR DE REFERÊNCIA"),"")</f>
        <v/>
      </c>
      <c r="I11" s="29" t="str">
        <f>IFERROR(TABELA_CFTV[[#This Row],[QTD.]]*IF(TABELA_CFTV[[#This Row],[PREÇO MÉDIO R$]]="SEM VALOR DE REFERÊNCIA","0",TABELA_CFTV[[#This Row],[PREÇO MÉDIO R$]]),"0")</f>
        <v>0</v>
      </c>
      <c r="J11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12" spans="2:10" x14ac:dyDescent="0.25">
      <c r="B12" s="23" t="str">
        <f>IF(TABELA_CFTV[[#This Row],[DESCRIÇÃO]]&lt;&gt;"",MAX($B$8:B11)+1,"")</f>
        <v/>
      </c>
      <c r="C12" s="41"/>
      <c r="D12" s="29" t="str">
        <f>IFERROR(VLOOKUP(TABELA_CFTV[[#This Row],[DESCRIÇÃO]],'TABELA MÃE'!D:E,2,FALSE),"")</f>
        <v/>
      </c>
      <c r="E12" s="29" t="str">
        <f>IFERROR(VLOOKUP(TABELA_CFTV[[#This Row],[DESCRIÇÃO]],'TABELA MÃE'!D:F,3,FALSE),"")</f>
        <v/>
      </c>
      <c r="F12" s="29"/>
      <c r="G12" s="24"/>
      <c r="H12" s="29" t="str">
        <f>IFERROR(IF(VLOOKUP(TABELA_CFTV[[#This Row],[DESCRIÇÃO]],'TABELA MÃE'!D:H,4,FALSE)&lt;&gt;0,VLOOKUP(TABELA_CFTV[[#This Row],[DESCRIÇÃO]],'TABELA MÃE'!D:H,4,FALSE),"SEM VALOR DE REFERÊNCIA"),"")</f>
        <v/>
      </c>
      <c r="I12" s="29" t="str">
        <f>IFERROR(TABELA_CFTV[[#This Row],[QTD.]]*IF(TABELA_CFTV[[#This Row],[PREÇO MÉDIO R$]]="SEM VALOR DE REFERÊNCIA","0",TABELA_CFTV[[#This Row],[PREÇO MÉDIO R$]]),"0")</f>
        <v>0</v>
      </c>
      <c r="J12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13" spans="2:10" x14ac:dyDescent="0.25">
      <c r="B13" s="23" t="str">
        <f>IF(TABELA_CFTV[[#This Row],[DESCRIÇÃO]]&lt;&gt;"",MAX($B$8:B12)+1,"")</f>
        <v/>
      </c>
      <c r="C13" s="41"/>
      <c r="D13" s="29" t="str">
        <f>IFERROR(VLOOKUP(TABELA_CFTV[[#This Row],[DESCRIÇÃO]],'TABELA MÃE'!D:E,2,FALSE),"")</f>
        <v/>
      </c>
      <c r="E13" s="29" t="str">
        <f>IFERROR(VLOOKUP(TABELA_CFTV[[#This Row],[DESCRIÇÃO]],'TABELA MÃE'!D:F,3,FALSE),"")</f>
        <v/>
      </c>
      <c r="F13" s="29"/>
      <c r="G13" s="24"/>
      <c r="H13" s="29" t="str">
        <f>IFERROR(IF(VLOOKUP(TABELA_CFTV[[#This Row],[DESCRIÇÃO]],'TABELA MÃE'!D:H,4,FALSE)&lt;&gt;0,VLOOKUP(TABELA_CFTV[[#This Row],[DESCRIÇÃO]],'TABELA MÃE'!D:H,4,FALSE),"SEM VALOR DE REFERÊNCIA"),"")</f>
        <v/>
      </c>
      <c r="I13" s="29" t="str">
        <f>IFERROR(TABELA_CFTV[[#This Row],[QTD.]]*IF(TABELA_CFTV[[#This Row],[PREÇO MÉDIO R$]]="SEM VALOR DE REFERÊNCIA","0",TABELA_CFTV[[#This Row],[PREÇO MÉDIO R$]]),"0")</f>
        <v>0</v>
      </c>
      <c r="J13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14" spans="2:10" x14ac:dyDescent="0.25">
      <c r="B14" s="23" t="str">
        <f>IF(TABELA_CFTV[[#This Row],[DESCRIÇÃO]]&lt;&gt;"",MAX($B$8:B13)+1,"")</f>
        <v/>
      </c>
      <c r="C14" s="41"/>
      <c r="D14" s="29" t="str">
        <f>IFERROR(VLOOKUP(TABELA_CFTV[[#This Row],[DESCRIÇÃO]],'TABELA MÃE'!D:E,2,FALSE),"")</f>
        <v/>
      </c>
      <c r="E14" s="29" t="str">
        <f>IFERROR(VLOOKUP(TABELA_CFTV[[#This Row],[DESCRIÇÃO]],'TABELA MÃE'!D:F,3,FALSE),"")</f>
        <v/>
      </c>
      <c r="F14" s="29"/>
      <c r="G14" s="24"/>
      <c r="H14" s="29" t="str">
        <f>IFERROR(IF(VLOOKUP(TABELA_CFTV[[#This Row],[DESCRIÇÃO]],'TABELA MÃE'!D:H,4,FALSE)&lt;&gt;0,VLOOKUP(TABELA_CFTV[[#This Row],[DESCRIÇÃO]],'TABELA MÃE'!D:H,4,FALSE),"SEM VALOR DE REFERÊNCIA"),"")</f>
        <v/>
      </c>
      <c r="I14" s="29" t="str">
        <f>IFERROR(TABELA_CFTV[[#This Row],[QTD.]]*IF(TABELA_CFTV[[#This Row],[PREÇO MÉDIO R$]]="SEM VALOR DE REFERÊNCIA","0",TABELA_CFTV[[#This Row],[PREÇO MÉDIO R$]]),"0")</f>
        <v>0</v>
      </c>
      <c r="J14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15" spans="2:10" x14ac:dyDescent="0.25">
      <c r="B15" s="23" t="str">
        <f>IF(TABELA_CFTV[[#This Row],[DESCRIÇÃO]]&lt;&gt;"",MAX($B$8:B14)+1,"")</f>
        <v/>
      </c>
      <c r="C15" s="41"/>
      <c r="D15" s="29" t="str">
        <f>IFERROR(VLOOKUP(TABELA_CFTV[[#This Row],[DESCRIÇÃO]],'TABELA MÃE'!D:E,2,FALSE),"")</f>
        <v/>
      </c>
      <c r="E15" s="29" t="str">
        <f>IFERROR(VLOOKUP(TABELA_CFTV[[#This Row],[DESCRIÇÃO]],'TABELA MÃE'!D:F,3,FALSE),"")</f>
        <v/>
      </c>
      <c r="F15" s="29"/>
      <c r="G15" s="24"/>
      <c r="H15" s="29" t="str">
        <f>IFERROR(IF(VLOOKUP(TABELA_CFTV[[#This Row],[DESCRIÇÃO]],'TABELA MÃE'!D:H,4,FALSE)&lt;&gt;0,VLOOKUP(TABELA_CFTV[[#This Row],[DESCRIÇÃO]],'TABELA MÃE'!D:H,4,FALSE),"SEM VALOR DE REFERÊNCIA"),"")</f>
        <v/>
      </c>
      <c r="I15" s="29" t="str">
        <f>IFERROR(TABELA_CFTV[[#This Row],[QTD.]]*IF(TABELA_CFTV[[#This Row],[PREÇO MÉDIO R$]]="SEM VALOR DE REFERÊNCIA","0",TABELA_CFTV[[#This Row],[PREÇO MÉDIO R$]]),"0")</f>
        <v>0</v>
      </c>
      <c r="J15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16" spans="2:10" x14ac:dyDescent="0.25">
      <c r="B16" s="23" t="str">
        <f>IF(TABELA_CFTV[[#This Row],[DESCRIÇÃO]]&lt;&gt;"",MAX($B$8:B15)+1,"")</f>
        <v/>
      </c>
      <c r="C16" s="41"/>
      <c r="D16" s="29" t="str">
        <f>IFERROR(VLOOKUP(TABELA_CFTV[[#This Row],[DESCRIÇÃO]],'TABELA MÃE'!D:E,2,FALSE),"")</f>
        <v/>
      </c>
      <c r="E16" s="29" t="str">
        <f>IFERROR(VLOOKUP(TABELA_CFTV[[#This Row],[DESCRIÇÃO]],'TABELA MÃE'!D:F,3,FALSE),"")</f>
        <v/>
      </c>
      <c r="F16" s="29"/>
      <c r="G16" s="24"/>
      <c r="H16" s="29" t="str">
        <f>IFERROR(IF(VLOOKUP(TABELA_CFTV[[#This Row],[DESCRIÇÃO]],'TABELA MÃE'!D:H,4,FALSE)&lt;&gt;0,VLOOKUP(TABELA_CFTV[[#This Row],[DESCRIÇÃO]],'TABELA MÃE'!D:H,4,FALSE),"SEM VALOR DE REFERÊNCIA"),"")</f>
        <v/>
      </c>
      <c r="I16" s="29" t="str">
        <f>IFERROR(TABELA_CFTV[[#This Row],[QTD.]]*IF(TABELA_CFTV[[#This Row],[PREÇO MÉDIO R$]]="SEM VALOR DE REFERÊNCIA","0",TABELA_CFTV[[#This Row],[PREÇO MÉDIO R$]]),"0")</f>
        <v>0</v>
      </c>
      <c r="J16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17" spans="2:10" x14ac:dyDescent="0.25">
      <c r="B17" s="23" t="str">
        <f>IF(TABELA_CFTV[[#This Row],[DESCRIÇÃO]]&lt;&gt;"",MAX($B$8:B16)+1,"")</f>
        <v/>
      </c>
      <c r="C17" s="41"/>
      <c r="D17" s="29" t="str">
        <f>IFERROR(VLOOKUP(TABELA_CFTV[[#This Row],[DESCRIÇÃO]],'TABELA MÃE'!D:E,2,FALSE),"")</f>
        <v/>
      </c>
      <c r="E17" s="29" t="str">
        <f>IFERROR(VLOOKUP(TABELA_CFTV[[#This Row],[DESCRIÇÃO]],'TABELA MÃE'!D:F,3,FALSE),"")</f>
        <v/>
      </c>
      <c r="F17" s="29"/>
      <c r="G17" s="24"/>
      <c r="H17" s="29" t="str">
        <f>IFERROR(IF(VLOOKUP(TABELA_CFTV[[#This Row],[DESCRIÇÃO]],'TABELA MÃE'!D:H,4,FALSE)&lt;&gt;0,VLOOKUP(TABELA_CFTV[[#This Row],[DESCRIÇÃO]],'TABELA MÃE'!D:H,4,FALSE),"SEM VALOR DE REFERÊNCIA"),"")</f>
        <v/>
      </c>
      <c r="I17" s="29" t="str">
        <f>IFERROR(TABELA_CFTV[[#This Row],[QTD.]]*IF(TABELA_CFTV[[#This Row],[PREÇO MÉDIO R$]]="SEM VALOR DE REFERÊNCIA","0",TABELA_CFTV[[#This Row],[PREÇO MÉDIO R$]]),"0")</f>
        <v>0</v>
      </c>
      <c r="J17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18" spans="2:10" x14ac:dyDescent="0.25">
      <c r="B18" s="23" t="str">
        <f>IF(TABELA_CFTV[[#This Row],[DESCRIÇÃO]]&lt;&gt;"",MAX($B$8:B17)+1,"")</f>
        <v/>
      </c>
      <c r="C18" s="41"/>
      <c r="D18" s="29" t="str">
        <f>IFERROR(VLOOKUP(TABELA_CFTV[[#This Row],[DESCRIÇÃO]],'TABELA MÃE'!D:E,2,FALSE),"")</f>
        <v/>
      </c>
      <c r="E18" s="29" t="str">
        <f>IFERROR(VLOOKUP(TABELA_CFTV[[#This Row],[DESCRIÇÃO]],'TABELA MÃE'!D:F,3,FALSE),"")</f>
        <v/>
      </c>
      <c r="F18" s="29"/>
      <c r="G18" s="24"/>
      <c r="H18" s="29" t="str">
        <f>IFERROR(IF(VLOOKUP(TABELA_CFTV[[#This Row],[DESCRIÇÃO]],'TABELA MÃE'!D:H,4,FALSE)&lt;&gt;0,VLOOKUP(TABELA_CFTV[[#This Row],[DESCRIÇÃO]],'TABELA MÃE'!D:H,4,FALSE),"SEM VALOR DE REFERÊNCIA"),"")</f>
        <v/>
      </c>
      <c r="I18" s="29" t="str">
        <f>IFERROR(TABELA_CFTV[[#This Row],[QTD.]]*IF(TABELA_CFTV[[#This Row],[PREÇO MÉDIO R$]]="SEM VALOR DE REFERÊNCIA","0",TABELA_CFTV[[#This Row],[PREÇO MÉDIO R$]]),"0")</f>
        <v>0</v>
      </c>
      <c r="J18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19" spans="2:10" x14ac:dyDescent="0.25">
      <c r="B19" s="23" t="str">
        <f>IF(TABELA_CFTV[[#This Row],[DESCRIÇÃO]]&lt;&gt;"",MAX($B$8:B18)+1,"")</f>
        <v/>
      </c>
      <c r="C19" s="41"/>
      <c r="D19" s="29" t="str">
        <f>IFERROR(VLOOKUP(TABELA_CFTV[[#This Row],[DESCRIÇÃO]],'TABELA MÃE'!D:E,2,FALSE),"")</f>
        <v/>
      </c>
      <c r="E19" s="29" t="str">
        <f>IFERROR(VLOOKUP(TABELA_CFTV[[#This Row],[DESCRIÇÃO]],'TABELA MÃE'!D:F,3,FALSE),"")</f>
        <v/>
      </c>
      <c r="F19" s="29"/>
      <c r="G19" s="24"/>
      <c r="H19" s="29" t="str">
        <f>IFERROR(IF(VLOOKUP(TABELA_CFTV[[#This Row],[DESCRIÇÃO]],'TABELA MÃE'!D:H,4,FALSE)&lt;&gt;0,VLOOKUP(TABELA_CFTV[[#This Row],[DESCRIÇÃO]],'TABELA MÃE'!D:H,4,FALSE),"SEM VALOR DE REFERÊNCIA"),"")</f>
        <v/>
      </c>
      <c r="I19" s="29" t="str">
        <f>IFERROR(TABELA_CFTV[[#This Row],[QTD.]]*IF(TABELA_CFTV[[#This Row],[PREÇO MÉDIO R$]]="SEM VALOR DE REFERÊNCIA","0",TABELA_CFTV[[#This Row],[PREÇO MÉDIO R$]]),"0")</f>
        <v>0</v>
      </c>
      <c r="J19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20" spans="2:10" x14ac:dyDescent="0.25">
      <c r="B20" s="23" t="str">
        <f>IF(TABELA_CFTV[[#This Row],[DESCRIÇÃO]]&lt;&gt;"",MAX($B$8:B19)+1,"")</f>
        <v/>
      </c>
      <c r="C20" s="41"/>
      <c r="D20" s="29" t="str">
        <f>IFERROR(VLOOKUP(TABELA_CFTV[[#This Row],[DESCRIÇÃO]],'TABELA MÃE'!D:E,2,FALSE),"")</f>
        <v/>
      </c>
      <c r="E20" s="29" t="str">
        <f>IFERROR(VLOOKUP(TABELA_CFTV[[#This Row],[DESCRIÇÃO]],'TABELA MÃE'!D:F,3,FALSE),"")</f>
        <v/>
      </c>
      <c r="F20" s="29"/>
      <c r="G20" s="24"/>
      <c r="H20" s="29" t="str">
        <f>IFERROR(IF(VLOOKUP(TABELA_CFTV[[#This Row],[DESCRIÇÃO]],'TABELA MÃE'!D:H,4,FALSE)&lt;&gt;0,VLOOKUP(TABELA_CFTV[[#This Row],[DESCRIÇÃO]],'TABELA MÃE'!D:H,4,FALSE),"SEM VALOR DE REFERÊNCIA"),"")</f>
        <v/>
      </c>
      <c r="I20" s="29" t="str">
        <f>IFERROR(TABELA_CFTV[[#This Row],[QTD.]]*IF(TABELA_CFTV[[#This Row],[PREÇO MÉDIO R$]]="SEM VALOR DE REFERÊNCIA","0",TABELA_CFTV[[#This Row],[PREÇO MÉDIO R$]]),"0")</f>
        <v>0</v>
      </c>
      <c r="J20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21" spans="2:10" x14ac:dyDescent="0.25">
      <c r="B21" s="23" t="str">
        <f>IF(TABELA_CFTV[[#This Row],[DESCRIÇÃO]]&lt;&gt;"",MAX($B$8:B20)+1,"")</f>
        <v/>
      </c>
      <c r="C21" s="41"/>
      <c r="D21" s="29" t="str">
        <f>IFERROR(VLOOKUP(TABELA_CFTV[[#This Row],[DESCRIÇÃO]],'TABELA MÃE'!D:E,2,FALSE),"")</f>
        <v/>
      </c>
      <c r="E21" s="29" t="str">
        <f>IFERROR(VLOOKUP(TABELA_CFTV[[#This Row],[DESCRIÇÃO]],'TABELA MÃE'!D:F,3,FALSE),"")</f>
        <v/>
      </c>
      <c r="F21" s="29"/>
      <c r="G21" s="24"/>
      <c r="H21" s="29" t="str">
        <f>IFERROR(IF(VLOOKUP(TABELA_CFTV[[#This Row],[DESCRIÇÃO]],'TABELA MÃE'!D:H,4,FALSE)&lt;&gt;0,VLOOKUP(TABELA_CFTV[[#This Row],[DESCRIÇÃO]],'TABELA MÃE'!D:H,4,FALSE),"SEM VALOR DE REFERÊNCIA"),"")</f>
        <v/>
      </c>
      <c r="I21" s="29" t="str">
        <f>IFERROR(TABELA_CFTV[[#This Row],[QTD.]]*IF(TABELA_CFTV[[#This Row],[PREÇO MÉDIO R$]]="SEM VALOR DE REFERÊNCIA","0",TABELA_CFTV[[#This Row],[PREÇO MÉDIO R$]]),"0")</f>
        <v>0</v>
      </c>
      <c r="J21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22" spans="2:10" x14ac:dyDescent="0.25">
      <c r="B22" s="23" t="str">
        <f>IF(TABELA_CFTV[[#This Row],[DESCRIÇÃO]]&lt;&gt;"",MAX($B$8:B21)+1,"")</f>
        <v/>
      </c>
      <c r="C22" s="41"/>
      <c r="D22" s="29" t="str">
        <f>IFERROR(VLOOKUP(TABELA_CFTV[[#This Row],[DESCRIÇÃO]],'TABELA MÃE'!D:E,2,FALSE),"")</f>
        <v/>
      </c>
      <c r="E22" s="29" t="str">
        <f>IFERROR(VLOOKUP(TABELA_CFTV[[#This Row],[DESCRIÇÃO]],'TABELA MÃE'!D:F,3,FALSE),"")</f>
        <v/>
      </c>
      <c r="F22" s="29"/>
      <c r="G22" s="24"/>
      <c r="H22" s="29" t="str">
        <f>IFERROR(IF(VLOOKUP(TABELA_CFTV[[#This Row],[DESCRIÇÃO]],'TABELA MÃE'!D:H,4,FALSE)&lt;&gt;0,VLOOKUP(TABELA_CFTV[[#This Row],[DESCRIÇÃO]],'TABELA MÃE'!D:H,4,FALSE),"SEM VALOR DE REFERÊNCIA"),"")</f>
        <v/>
      </c>
      <c r="I22" s="29" t="str">
        <f>IFERROR(TABELA_CFTV[[#This Row],[QTD.]]*IF(TABELA_CFTV[[#This Row],[PREÇO MÉDIO R$]]="SEM VALOR DE REFERÊNCIA","0",TABELA_CFTV[[#This Row],[PREÇO MÉDIO R$]]),"0")</f>
        <v>0</v>
      </c>
      <c r="J22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23" spans="2:10" x14ac:dyDescent="0.25">
      <c r="B23" s="23" t="str">
        <f>IF(TABELA_CFTV[[#This Row],[DESCRIÇÃO]]&lt;&gt;"",MAX($B$8:B22)+1,"")</f>
        <v/>
      </c>
      <c r="C23" s="41"/>
      <c r="D23" s="29" t="str">
        <f>IFERROR(VLOOKUP(TABELA_CFTV[[#This Row],[DESCRIÇÃO]],'TABELA MÃE'!D:E,2,FALSE),"")</f>
        <v/>
      </c>
      <c r="E23" s="29" t="str">
        <f>IFERROR(VLOOKUP(TABELA_CFTV[[#This Row],[DESCRIÇÃO]],'TABELA MÃE'!D:F,3,FALSE),"")</f>
        <v/>
      </c>
      <c r="F23" s="29"/>
      <c r="G23" s="24"/>
      <c r="H23" s="29" t="str">
        <f>IFERROR(IF(VLOOKUP(TABELA_CFTV[[#This Row],[DESCRIÇÃO]],'TABELA MÃE'!D:H,4,FALSE)&lt;&gt;0,VLOOKUP(TABELA_CFTV[[#This Row],[DESCRIÇÃO]],'TABELA MÃE'!D:H,4,FALSE),"SEM VALOR DE REFERÊNCIA"),"")</f>
        <v/>
      </c>
      <c r="I23" s="29" t="str">
        <f>IFERROR(TABELA_CFTV[[#This Row],[QTD.]]*IF(TABELA_CFTV[[#This Row],[PREÇO MÉDIO R$]]="SEM VALOR DE REFERÊNCIA","0",TABELA_CFTV[[#This Row],[PREÇO MÉDIO R$]]),"0")</f>
        <v>0</v>
      </c>
      <c r="J23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24" spans="2:10" x14ac:dyDescent="0.25">
      <c r="B24" s="23" t="str">
        <f>IF(TABELA_CFTV[[#This Row],[DESCRIÇÃO]]&lt;&gt;"",MAX($B$8:B23)+1,"")</f>
        <v/>
      </c>
      <c r="C24" s="41"/>
      <c r="D24" s="29" t="str">
        <f>IFERROR(VLOOKUP(TABELA_CFTV[[#This Row],[DESCRIÇÃO]],'TABELA MÃE'!D:E,2,FALSE),"")</f>
        <v/>
      </c>
      <c r="E24" s="29" t="str">
        <f>IFERROR(VLOOKUP(TABELA_CFTV[[#This Row],[DESCRIÇÃO]],'TABELA MÃE'!D:F,3,FALSE),"")</f>
        <v/>
      </c>
      <c r="F24" s="29"/>
      <c r="G24" s="24"/>
      <c r="H24" s="29" t="str">
        <f>IFERROR(IF(VLOOKUP(TABELA_CFTV[[#This Row],[DESCRIÇÃO]],'TABELA MÃE'!D:H,4,FALSE)&lt;&gt;0,VLOOKUP(TABELA_CFTV[[#This Row],[DESCRIÇÃO]],'TABELA MÃE'!D:H,4,FALSE),"SEM VALOR DE REFERÊNCIA"),"")</f>
        <v/>
      </c>
      <c r="I24" s="29" t="str">
        <f>IFERROR(TABELA_CFTV[[#This Row],[QTD.]]*IF(TABELA_CFTV[[#This Row],[PREÇO MÉDIO R$]]="SEM VALOR DE REFERÊNCIA","0",TABELA_CFTV[[#This Row],[PREÇO MÉDIO R$]]),"0")</f>
        <v>0</v>
      </c>
      <c r="J24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25" spans="2:10" x14ac:dyDescent="0.25">
      <c r="B25" s="23" t="str">
        <f>IF(TABELA_CFTV[[#This Row],[DESCRIÇÃO]]&lt;&gt;"",MAX($B$8:B24)+1,"")</f>
        <v/>
      </c>
      <c r="C25" s="41"/>
      <c r="D25" s="29" t="str">
        <f>IFERROR(VLOOKUP(TABELA_CFTV[[#This Row],[DESCRIÇÃO]],'TABELA MÃE'!D:E,2,FALSE),"")</f>
        <v/>
      </c>
      <c r="E25" s="29" t="str">
        <f>IFERROR(VLOOKUP(TABELA_CFTV[[#This Row],[DESCRIÇÃO]],'TABELA MÃE'!D:F,3,FALSE),"")</f>
        <v/>
      </c>
      <c r="F25" s="29"/>
      <c r="G25" s="24"/>
      <c r="H25" s="29" t="str">
        <f>IFERROR(IF(VLOOKUP(TABELA_CFTV[[#This Row],[DESCRIÇÃO]],'TABELA MÃE'!D:H,4,FALSE)&lt;&gt;0,VLOOKUP(TABELA_CFTV[[#This Row],[DESCRIÇÃO]],'TABELA MÃE'!D:H,4,FALSE),"SEM VALOR DE REFERÊNCIA"),"")</f>
        <v/>
      </c>
      <c r="I25" s="29" t="str">
        <f>IFERROR(TABELA_CFTV[[#This Row],[QTD.]]*IF(TABELA_CFTV[[#This Row],[PREÇO MÉDIO R$]]="SEM VALOR DE REFERÊNCIA","0",TABELA_CFTV[[#This Row],[PREÇO MÉDIO R$]]),"0")</f>
        <v>0</v>
      </c>
      <c r="J25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26" spans="2:10" x14ac:dyDescent="0.25">
      <c r="B26" s="23" t="str">
        <f>IF(TABELA_CFTV[[#This Row],[DESCRIÇÃO]]&lt;&gt;"",MAX($B$8:B25)+1,"")</f>
        <v/>
      </c>
      <c r="C26" s="41"/>
      <c r="D26" s="29" t="str">
        <f>IFERROR(VLOOKUP(TABELA_CFTV[[#This Row],[DESCRIÇÃO]],'TABELA MÃE'!D:E,2,FALSE),"")</f>
        <v/>
      </c>
      <c r="E26" s="29" t="str">
        <f>IFERROR(VLOOKUP(TABELA_CFTV[[#This Row],[DESCRIÇÃO]],'TABELA MÃE'!D:F,3,FALSE),"")</f>
        <v/>
      </c>
      <c r="F26" s="29"/>
      <c r="G26" s="24"/>
      <c r="H26" s="29" t="str">
        <f>IFERROR(IF(VLOOKUP(TABELA_CFTV[[#This Row],[DESCRIÇÃO]],'TABELA MÃE'!D:H,4,FALSE)&lt;&gt;0,VLOOKUP(TABELA_CFTV[[#This Row],[DESCRIÇÃO]],'TABELA MÃE'!D:H,4,FALSE),"SEM VALOR DE REFERÊNCIA"),"")</f>
        <v/>
      </c>
      <c r="I26" s="29" t="str">
        <f>IFERROR(TABELA_CFTV[[#This Row],[QTD.]]*IF(TABELA_CFTV[[#This Row],[PREÇO MÉDIO R$]]="SEM VALOR DE REFERÊNCIA","0",TABELA_CFTV[[#This Row],[PREÇO MÉDIO R$]]),"0")</f>
        <v>0</v>
      </c>
      <c r="J26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27" spans="2:10" x14ac:dyDescent="0.25">
      <c r="B27" s="23" t="str">
        <f>IF(TABELA_CFTV[[#This Row],[DESCRIÇÃO]]&lt;&gt;"",MAX($B$8:B26)+1,"")</f>
        <v/>
      </c>
      <c r="C27" s="41"/>
      <c r="D27" s="29" t="str">
        <f>IFERROR(VLOOKUP(TABELA_CFTV[[#This Row],[DESCRIÇÃO]],'TABELA MÃE'!D:E,2,FALSE),"")</f>
        <v/>
      </c>
      <c r="E27" s="29" t="str">
        <f>IFERROR(VLOOKUP(TABELA_CFTV[[#This Row],[DESCRIÇÃO]],'TABELA MÃE'!D:F,3,FALSE),"")</f>
        <v/>
      </c>
      <c r="F27" s="29"/>
      <c r="G27" s="24"/>
      <c r="H27" s="29" t="str">
        <f>IFERROR(IF(VLOOKUP(TABELA_CFTV[[#This Row],[DESCRIÇÃO]],'TABELA MÃE'!D:H,4,FALSE)&lt;&gt;0,VLOOKUP(TABELA_CFTV[[#This Row],[DESCRIÇÃO]],'TABELA MÃE'!D:H,4,FALSE),"SEM VALOR DE REFERÊNCIA"),"")</f>
        <v/>
      </c>
      <c r="I27" s="29" t="str">
        <f>IFERROR(TABELA_CFTV[[#This Row],[QTD.]]*IF(TABELA_CFTV[[#This Row],[PREÇO MÉDIO R$]]="SEM VALOR DE REFERÊNCIA","0",TABELA_CFTV[[#This Row],[PREÇO MÉDIO R$]]),"0")</f>
        <v>0</v>
      </c>
      <c r="J27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28" spans="2:10" x14ac:dyDescent="0.25">
      <c r="B28" s="23" t="str">
        <f>IF(TABELA_CFTV[[#This Row],[DESCRIÇÃO]]&lt;&gt;"",MAX($B$8:B27)+1,"")</f>
        <v/>
      </c>
      <c r="C28" s="41"/>
      <c r="D28" s="29" t="str">
        <f>IFERROR(VLOOKUP(TABELA_CFTV[[#This Row],[DESCRIÇÃO]],'TABELA MÃE'!D:E,2,FALSE),"")</f>
        <v/>
      </c>
      <c r="E28" s="29" t="str">
        <f>IFERROR(VLOOKUP(TABELA_CFTV[[#This Row],[DESCRIÇÃO]],'TABELA MÃE'!D:F,3,FALSE),"")</f>
        <v/>
      </c>
      <c r="F28" s="29"/>
      <c r="G28" s="24"/>
      <c r="H28" s="29" t="str">
        <f>IFERROR(IF(VLOOKUP(TABELA_CFTV[[#This Row],[DESCRIÇÃO]],'TABELA MÃE'!D:H,4,FALSE)&lt;&gt;0,VLOOKUP(TABELA_CFTV[[#This Row],[DESCRIÇÃO]],'TABELA MÃE'!D:H,4,FALSE),"SEM VALOR DE REFERÊNCIA"),"")</f>
        <v/>
      </c>
      <c r="I28" s="29" t="str">
        <f>IFERROR(TABELA_CFTV[[#This Row],[QTD.]]*IF(TABELA_CFTV[[#This Row],[PREÇO MÉDIO R$]]="SEM VALOR DE REFERÊNCIA","0",TABELA_CFTV[[#This Row],[PREÇO MÉDIO R$]]),"0")</f>
        <v>0</v>
      </c>
      <c r="J28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29" spans="2:10" x14ac:dyDescent="0.25">
      <c r="B29" s="23" t="str">
        <f>IF(TABELA_CFTV[[#This Row],[DESCRIÇÃO]]&lt;&gt;"",MAX($B$8:B28)+1,"")</f>
        <v/>
      </c>
      <c r="C29" s="41"/>
      <c r="D29" s="29" t="str">
        <f>IFERROR(VLOOKUP(TABELA_CFTV[[#This Row],[DESCRIÇÃO]],'TABELA MÃE'!D:E,2,FALSE),"")</f>
        <v/>
      </c>
      <c r="E29" s="29" t="str">
        <f>IFERROR(VLOOKUP(TABELA_CFTV[[#This Row],[DESCRIÇÃO]],'TABELA MÃE'!D:F,3,FALSE),"")</f>
        <v/>
      </c>
      <c r="F29" s="29"/>
      <c r="G29" s="24"/>
      <c r="H29" s="29" t="str">
        <f>IFERROR(IF(VLOOKUP(TABELA_CFTV[[#This Row],[DESCRIÇÃO]],'TABELA MÃE'!D:H,4,FALSE)&lt;&gt;0,VLOOKUP(TABELA_CFTV[[#This Row],[DESCRIÇÃO]],'TABELA MÃE'!D:H,4,FALSE),"SEM VALOR DE REFERÊNCIA"),"")</f>
        <v/>
      </c>
      <c r="I29" s="29" t="str">
        <f>IFERROR(TABELA_CFTV[[#This Row],[QTD.]]*IF(TABELA_CFTV[[#This Row],[PREÇO MÉDIO R$]]="SEM VALOR DE REFERÊNCIA","0",TABELA_CFTV[[#This Row],[PREÇO MÉDIO R$]]),"0")</f>
        <v>0</v>
      </c>
      <c r="J29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30" spans="2:10" x14ac:dyDescent="0.25">
      <c r="B30" s="23" t="str">
        <f>IF(TABELA_CFTV[[#This Row],[DESCRIÇÃO]]&lt;&gt;"",MAX($B$8:B29)+1,"")</f>
        <v/>
      </c>
      <c r="C30" s="41"/>
      <c r="D30" s="29" t="str">
        <f>IFERROR(VLOOKUP(TABELA_CFTV[[#This Row],[DESCRIÇÃO]],'TABELA MÃE'!D:E,2,FALSE),"")</f>
        <v/>
      </c>
      <c r="E30" s="29" t="str">
        <f>IFERROR(VLOOKUP(TABELA_CFTV[[#This Row],[DESCRIÇÃO]],'TABELA MÃE'!D:F,3,FALSE),"")</f>
        <v/>
      </c>
      <c r="F30" s="29"/>
      <c r="G30" s="24"/>
      <c r="H30" s="29" t="str">
        <f>IFERROR(IF(VLOOKUP(TABELA_CFTV[[#This Row],[DESCRIÇÃO]],'TABELA MÃE'!D:H,4,FALSE)&lt;&gt;0,VLOOKUP(TABELA_CFTV[[#This Row],[DESCRIÇÃO]],'TABELA MÃE'!D:H,4,FALSE),"SEM VALOR DE REFERÊNCIA"),"")</f>
        <v/>
      </c>
      <c r="I30" s="29" t="str">
        <f>IFERROR(TABELA_CFTV[[#This Row],[QTD.]]*IF(TABELA_CFTV[[#This Row],[PREÇO MÉDIO R$]]="SEM VALOR DE REFERÊNCIA","0",TABELA_CFTV[[#This Row],[PREÇO MÉDIO R$]]),"0")</f>
        <v>0</v>
      </c>
      <c r="J30" s="24" t="str">
        <f>IFERROR(IF(VLOOKUP(TABELA_CFTV[[#This Row],[DESCRIÇÃO]],'TABELA MÃE'!D:H,5,FALSE)&lt;&gt;0,VLOOKUP(TABELA_CFTV[[#This Row],[DESCRIÇÃO]],'TABELA MÃE'!D:H,5,FALSE),"SEM VALOR DE REFERÊNCIA"),"")</f>
        <v/>
      </c>
    </row>
    <row r="31" spans="2:10" ht="15.75" thickBot="1" x14ac:dyDescent="0.3">
      <c r="B31" s="40" t="str">
        <f>IF(TABELA_CFTV[[#This Row],[DESCRIÇÃO]]&lt;&gt;"",MAX($B$8:B30)+1,"")</f>
        <v/>
      </c>
      <c r="C31" s="41"/>
      <c r="D31" s="31" t="str">
        <f>IFERROR(VLOOKUP(TABELA_CFTV[[#This Row],[DESCRIÇÃO]],'TABELA MÃE'!D:E,2,FALSE),"")</f>
        <v/>
      </c>
      <c r="E31" s="31" t="str">
        <f>IFERROR(VLOOKUP(TABELA_CFTV[[#This Row],[DESCRIÇÃO]],'TABELA MÃE'!D:F,3,FALSE),"")</f>
        <v/>
      </c>
      <c r="F31" s="31"/>
      <c r="G31" s="42"/>
      <c r="H31" s="31" t="str">
        <f>IFERROR(IF(VLOOKUP(TABELA_CFTV[[#This Row],[DESCRIÇÃO]],'TABELA MÃE'!D:H,4,FALSE)&lt;&gt;0,VLOOKUP(TABELA_CFTV[[#This Row],[DESCRIÇÃO]],'TABELA MÃE'!D:H,4,FALSE),"SEM VALOR DE REFERÊNCIA"),"")</f>
        <v/>
      </c>
      <c r="I31" s="31" t="str">
        <f>IFERROR(TABELA_CFTV[[#This Row],[QTD.]]*IF(TABELA_CFTV[[#This Row],[PREÇO MÉDIO R$]]="SEM VALOR DE REFERÊNCIA","0",TABELA_CFTV[[#This Row],[PREÇO MÉDIO R$]]),"0")</f>
        <v>0</v>
      </c>
      <c r="J31" s="24" t="str">
        <f>IFERROR(IF(VLOOKUP(TABELA_CFTV[[#This Row],[DESCRIÇÃO]],'TABELA MÃE'!D:H,5,FALSE)&lt;&gt;0,VLOOKUP(TABELA_CFTV[[#This Row],[DESCRIÇÃO]],'TABELA MÃE'!D:H,5,FALSE),"SEM VALOR DE REFERÊNCIA"),"")</f>
        <v/>
      </c>
    </row>
  </sheetData>
  <mergeCells count="5">
    <mergeCell ref="F2:G5"/>
    <mergeCell ref="B6:G6"/>
    <mergeCell ref="H6:J6"/>
    <mergeCell ref="H2:H5"/>
    <mergeCell ref="I2:J5"/>
  </mergeCells>
  <phoneticPr fontId="2" type="noConversion"/>
  <dataValidations count="1">
    <dataValidation type="list" allowBlank="1" showInputMessage="1" showErrorMessage="1" sqref="C2" xr:uid="{344B52DF-F36B-4AE4-8147-43742D29181A}">
      <formula1>TABELA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146374-5011-4645-87E1-90E629D7E550}">
          <x14:formula1>
            <xm:f>OFFSET('TABELA MÃE'!$D$2,MATCH($C$2,'TABELA MÃE'!$A:$A,0)-2,0,COUNTIF('TABELA MÃE'!$A:$A,$C$2),1)</xm:f>
          </x14:formula1>
          <xm:sqref>C8:C31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81C1-468A-4B70-994D-AC4C51E216ED}">
  <sheetPr codeName="Planilha10"/>
  <dimension ref="B1:J31"/>
  <sheetViews>
    <sheetView workbookViewId="0">
      <selection activeCell="C33" sqref="C33"/>
    </sheetView>
  </sheetViews>
  <sheetFormatPr defaultRowHeight="15" x14ac:dyDescent="0.25"/>
  <cols>
    <col min="2" max="2" width="15" bestFit="1" customWidth="1"/>
    <col min="3" max="3" width="100.7109375" customWidth="1"/>
    <col min="4" max="4" width="32.42578125" bestFit="1" customWidth="1"/>
    <col min="5" max="5" width="8.85546875" bestFit="1" customWidth="1"/>
    <col min="6" max="6" width="10" bestFit="1" customWidth="1"/>
    <col min="7" max="7" width="9.85546875" bestFit="1" customWidth="1"/>
    <col min="8" max="8" width="24.85546875" bestFit="1" customWidth="1"/>
    <col min="9" max="9" width="20.42578125" bestFit="1" customWidth="1"/>
    <col min="10" max="10" width="26.42578125" bestFit="1" customWidth="1"/>
    <col min="12" max="12" width="11.140625" bestFit="1" customWidth="1"/>
  </cols>
  <sheetData>
    <row r="1" spans="2:10" ht="15.75" thickBot="1" x14ac:dyDescent="0.3"/>
    <row r="2" spans="2:10" x14ac:dyDescent="0.25">
      <c r="B2" s="26" t="s">
        <v>163</v>
      </c>
      <c r="C2" s="20" t="s">
        <v>21</v>
      </c>
      <c r="D2" s="27"/>
      <c r="E2" s="27"/>
      <c r="F2" s="84" t="e" vm="1">
        <v>#VALUE!</v>
      </c>
      <c r="G2" s="85"/>
      <c r="H2" s="93" t="s">
        <v>145</v>
      </c>
      <c r="I2" s="164" cm="1">
        <f t="array" ref="I2">SUMPRODUCT(VALUE(IFERROR(TABELA_CIVIL[VALOR TOTAL R$],0)))</f>
        <v>0</v>
      </c>
      <c r="J2" s="165"/>
    </row>
    <row r="3" spans="2:10" x14ac:dyDescent="0.25">
      <c r="B3" s="28" t="s">
        <v>133</v>
      </c>
      <c r="C3" s="37" t="str">
        <f>RIGHT('CAPA-LM'!B8,LEN('CAPA-LM'!B8)-4)</f>
        <v>XXXXX</v>
      </c>
      <c r="D3" s="29"/>
      <c r="E3" s="29"/>
      <c r="F3" s="86"/>
      <c r="G3" s="87"/>
      <c r="H3" s="94"/>
      <c r="I3" s="166"/>
      <c r="J3" s="167"/>
    </row>
    <row r="4" spans="2:10" x14ac:dyDescent="0.25">
      <c r="B4" s="28" t="s">
        <v>134</v>
      </c>
      <c r="C4" s="38">
        <f ca="1">TODAY()</f>
        <v>46170</v>
      </c>
      <c r="D4" s="29"/>
      <c r="E4" s="29"/>
      <c r="F4" s="86"/>
      <c r="G4" s="87"/>
      <c r="H4" s="94"/>
      <c r="I4" s="166"/>
      <c r="J4" s="167"/>
    </row>
    <row r="5" spans="2:10" ht="15.75" thickBot="1" x14ac:dyDescent="0.3">
      <c r="B5" s="30" t="s">
        <v>2</v>
      </c>
      <c r="C5" s="25" t="str">
        <f>'CAPA-LM'!C5</f>
        <v>ESTRADA VICINAL RURAL, 0 - ESTÂNCIA MR, ÁREA RURAL, COLIDER - MT</v>
      </c>
      <c r="D5" s="31"/>
      <c r="E5" s="31"/>
      <c r="F5" s="88"/>
      <c r="G5" s="89"/>
      <c r="H5" s="95"/>
      <c r="I5" s="168"/>
      <c r="J5" s="169"/>
    </row>
    <row r="6" spans="2:10" ht="15.75" thickBot="1" x14ac:dyDescent="0.3">
      <c r="B6" s="90" t="s">
        <v>135</v>
      </c>
      <c r="C6" s="91"/>
      <c r="D6" s="91"/>
      <c r="E6" s="91"/>
      <c r="F6" s="91"/>
      <c r="G6" s="92"/>
      <c r="H6" s="91" t="s">
        <v>141</v>
      </c>
      <c r="I6" s="91"/>
      <c r="J6" s="92"/>
    </row>
    <row r="7" spans="2:10" ht="15.75" thickBot="1" x14ac:dyDescent="0.3">
      <c r="B7" s="32" t="s">
        <v>8</v>
      </c>
      <c r="C7" s="33" t="s">
        <v>9</v>
      </c>
      <c r="D7" s="33" t="s">
        <v>29</v>
      </c>
      <c r="E7" s="33" t="s">
        <v>30</v>
      </c>
      <c r="F7" s="33" t="s">
        <v>31</v>
      </c>
      <c r="G7" s="34" t="s">
        <v>32</v>
      </c>
      <c r="H7" s="33" t="s">
        <v>49</v>
      </c>
      <c r="I7" s="33" t="s">
        <v>144</v>
      </c>
      <c r="J7" s="34" t="s">
        <v>33</v>
      </c>
    </row>
    <row r="8" spans="2:10" x14ac:dyDescent="0.25">
      <c r="B8" s="21" t="str">
        <f>IF(TABELA_CIVIL[[#This Row],[DESCRIÇÃO]]&lt;&gt;"",1,"")</f>
        <v/>
      </c>
      <c r="C8" s="35"/>
      <c r="D8" s="27" t="str">
        <f>IFERROR(VLOOKUP(TABELA_CIVIL[[#This Row],[DESCRIÇÃO]],'TABELA MÃE'!D:E,2,FALSE),"")</f>
        <v/>
      </c>
      <c r="E8" s="27" t="str">
        <f>IFERROR(VLOOKUP(TABELA_CIVIL[[#This Row],[DESCRIÇÃO]],'TABELA MÃE'!D:F,3,FALSE),"")</f>
        <v/>
      </c>
      <c r="F8" s="27"/>
      <c r="G8" s="22"/>
      <c r="H8" s="27" t="str">
        <f>IFERROR(IF(VLOOKUP(TABELA_CIVIL[[#This Row],[DESCRIÇÃO]],'TABELA MÃE'!D:H,4,FALSE)&lt;&gt;0,VLOOKUP(TABELA_CIVIL[[#This Row],[DESCRIÇÃO]],'TABELA MÃE'!D:H,4,FALSE),"SEM VALOR DE REFERÊNCIA"),"")</f>
        <v/>
      </c>
      <c r="I8" s="27" t="str">
        <f>IFERROR(TABELA_CIVIL[[#This Row],[QTD.]]*IF(TABELA_CIVIL[[#This Row],[PREÇO MÉDIO R$]]="SEM VALOR DE REFERÊNCIA","0",TABELA_CIVIL[[#This Row],[PREÇO MÉDIO R$]]),"0")</f>
        <v>0</v>
      </c>
      <c r="J8" s="22" t="str">
        <f>IFERROR(IF(VLOOKUP(TABELA_CIVIL[[#This Row],[DESCRIÇÃO]],'TABELA MÃE'!D:H,5,FALSE)&lt;&gt;0,VLOOKUP(TABELA_CIVIL[[#This Row],[DESCRIÇÃO]],'TABELA MÃE'!D:H,5,FALSE),"SEM VALOR DE REFERÊNCIA"),"")</f>
        <v/>
      </c>
    </row>
    <row r="9" spans="2:10" x14ac:dyDescent="0.25">
      <c r="B9" s="23" t="str">
        <f>IF(TABELA_CIVIL[[#This Row],[DESCRIÇÃO]]&lt;&gt;"",MAX($B$8:B8)+1,"")</f>
        <v/>
      </c>
      <c r="C9" s="41"/>
      <c r="D9" s="29" t="str">
        <f>IFERROR(VLOOKUP(TABELA_CIVIL[[#This Row],[DESCRIÇÃO]],'TABELA MÃE'!D:E,2,FALSE),"")</f>
        <v/>
      </c>
      <c r="E9" s="29" t="str">
        <f>IFERROR(VLOOKUP(TABELA_CIVIL[[#This Row],[DESCRIÇÃO]],'TABELA MÃE'!D:F,3,FALSE),"")</f>
        <v/>
      </c>
      <c r="F9" s="29"/>
      <c r="G9" s="24"/>
      <c r="H9" s="29" t="str">
        <f>IFERROR(IF(VLOOKUP(TABELA_CIVIL[[#This Row],[DESCRIÇÃO]],'TABELA MÃE'!D:H,4,FALSE)&lt;&gt;0,VLOOKUP(TABELA_CIVIL[[#This Row],[DESCRIÇÃO]],'TABELA MÃE'!D:H,4,FALSE),"SEM VALOR DE REFERÊNCIA"),"")</f>
        <v/>
      </c>
      <c r="I9" s="29" t="str">
        <f>IFERROR(TABELA_CIVIL[[#This Row],[QTD.]]*IF(TABELA_CIVIL[[#This Row],[PREÇO MÉDIO R$]]="SEM VALOR DE REFERÊNCIA","0",TABELA_CIVIL[[#This Row],[PREÇO MÉDIO R$]]),"0")</f>
        <v>0</v>
      </c>
      <c r="J9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10" spans="2:10" x14ac:dyDescent="0.25">
      <c r="B10" s="23" t="str">
        <f>IF(TABELA_CIVIL[[#This Row],[DESCRIÇÃO]]&lt;&gt;"",MAX($B$8:B9)+1,"")</f>
        <v/>
      </c>
      <c r="C10" s="41"/>
      <c r="D10" s="29" t="str">
        <f>IFERROR(VLOOKUP(TABELA_CIVIL[[#This Row],[DESCRIÇÃO]],'TABELA MÃE'!D:E,2,FALSE),"")</f>
        <v/>
      </c>
      <c r="E10" s="29" t="str">
        <f>IFERROR(VLOOKUP(TABELA_CIVIL[[#This Row],[DESCRIÇÃO]],'TABELA MÃE'!D:F,3,FALSE),"")</f>
        <v/>
      </c>
      <c r="F10" s="29"/>
      <c r="G10" s="24"/>
      <c r="H10" s="29" t="str">
        <f>IFERROR(IF(VLOOKUP(TABELA_CIVIL[[#This Row],[DESCRIÇÃO]],'TABELA MÃE'!D:H,4,FALSE)&lt;&gt;0,VLOOKUP(TABELA_CIVIL[[#This Row],[DESCRIÇÃO]],'TABELA MÃE'!D:H,4,FALSE),"SEM VALOR DE REFERÊNCIA"),"")</f>
        <v/>
      </c>
      <c r="I10" s="29" t="str">
        <f>IFERROR(TABELA_CIVIL[[#This Row],[QTD.]]*IF(TABELA_CIVIL[[#This Row],[PREÇO MÉDIO R$]]="SEM VALOR DE REFERÊNCIA","0",TABELA_CIVIL[[#This Row],[PREÇO MÉDIO R$]]),"0")</f>
        <v>0</v>
      </c>
      <c r="J10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11" spans="2:10" x14ac:dyDescent="0.25">
      <c r="B11" s="23" t="str">
        <f>IF(TABELA_CIVIL[[#This Row],[DESCRIÇÃO]]&lt;&gt;"",MAX($B$8:B10)+1,"")</f>
        <v/>
      </c>
      <c r="C11" s="41"/>
      <c r="D11" s="29" t="str">
        <f>IFERROR(VLOOKUP(TABELA_CIVIL[[#This Row],[DESCRIÇÃO]],'TABELA MÃE'!D:E,2,FALSE),"")</f>
        <v/>
      </c>
      <c r="E11" s="29" t="str">
        <f>IFERROR(VLOOKUP(TABELA_CIVIL[[#This Row],[DESCRIÇÃO]],'TABELA MÃE'!D:F,3,FALSE),"")</f>
        <v/>
      </c>
      <c r="F11" s="29"/>
      <c r="G11" s="24"/>
      <c r="H11" s="29" t="str">
        <f>IFERROR(IF(VLOOKUP(TABELA_CIVIL[[#This Row],[DESCRIÇÃO]],'TABELA MÃE'!D:H,4,FALSE)&lt;&gt;0,VLOOKUP(TABELA_CIVIL[[#This Row],[DESCRIÇÃO]],'TABELA MÃE'!D:H,4,FALSE),"SEM VALOR DE REFERÊNCIA"),"")</f>
        <v/>
      </c>
      <c r="I11" s="29" t="str">
        <f>IFERROR(TABELA_CIVIL[[#This Row],[QTD.]]*IF(TABELA_CIVIL[[#This Row],[PREÇO MÉDIO R$]]="SEM VALOR DE REFERÊNCIA","0",TABELA_CIVIL[[#This Row],[PREÇO MÉDIO R$]]),"0")</f>
        <v>0</v>
      </c>
      <c r="J11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12" spans="2:10" x14ac:dyDescent="0.25">
      <c r="B12" s="23" t="str">
        <f>IF(TABELA_CIVIL[[#This Row],[DESCRIÇÃO]]&lt;&gt;"",MAX($B$8:B11)+1,"")</f>
        <v/>
      </c>
      <c r="C12" s="41"/>
      <c r="D12" s="29" t="str">
        <f>IFERROR(VLOOKUP(TABELA_CIVIL[[#This Row],[DESCRIÇÃO]],'TABELA MÃE'!D:E,2,FALSE),"")</f>
        <v/>
      </c>
      <c r="E12" s="29" t="str">
        <f>IFERROR(VLOOKUP(TABELA_CIVIL[[#This Row],[DESCRIÇÃO]],'TABELA MÃE'!D:F,3,FALSE),"")</f>
        <v/>
      </c>
      <c r="F12" s="29"/>
      <c r="G12" s="24"/>
      <c r="H12" s="29" t="str">
        <f>IFERROR(IF(VLOOKUP(TABELA_CIVIL[[#This Row],[DESCRIÇÃO]],'TABELA MÃE'!D:H,4,FALSE)&lt;&gt;0,VLOOKUP(TABELA_CIVIL[[#This Row],[DESCRIÇÃO]],'TABELA MÃE'!D:H,4,FALSE),"SEM VALOR DE REFERÊNCIA"),"")</f>
        <v/>
      </c>
      <c r="I12" s="29" t="str">
        <f>IFERROR(TABELA_CIVIL[[#This Row],[QTD.]]*IF(TABELA_CIVIL[[#This Row],[PREÇO MÉDIO R$]]="SEM VALOR DE REFERÊNCIA","0",TABELA_CIVIL[[#This Row],[PREÇO MÉDIO R$]]),"0")</f>
        <v>0</v>
      </c>
      <c r="J12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13" spans="2:10" x14ac:dyDescent="0.25">
      <c r="B13" s="23" t="str">
        <f>IF(TABELA_CIVIL[[#This Row],[DESCRIÇÃO]]&lt;&gt;"",MAX($B$8:B12)+1,"")</f>
        <v/>
      </c>
      <c r="C13" s="41"/>
      <c r="D13" s="29" t="str">
        <f>IFERROR(VLOOKUP(TABELA_CIVIL[[#This Row],[DESCRIÇÃO]],'TABELA MÃE'!D:E,2,FALSE),"")</f>
        <v/>
      </c>
      <c r="E13" s="29" t="str">
        <f>IFERROR(VLOOKUP(TABELA_CIVIL[[#This Row],[DESCRIÇÃO]],'TABELA MÃE'!D:F,3,FALSE),"")</f>
        <v/>
      </c>
      <c r="F13" s="29"/>
      <c r="G13" s="24"/>
      <c r="H13" s="29" t="str">
        <f>IFERROR(IF(VLOOKUP(TABELA_CIVIL[[#This Row],[DESCRIÇÃO]],'TABELA MÃE'!D:H,4,FALSE)&lt;&gt;0,VLOOKUP(TABELA_CIVIL[[#This Row],[DESCRIÇÃO]],'TABELA MÃE'!D:H,4,FALSE),"SEM VALOR DE REFERÊNCIA"),"")</f>
        <v/>
      </c>
      <c r="I13" s="29" t="str">
        <f>IFERROR(TABELA_CIVIL[[#This Row],[QTD.]]*IF(TABELA_CIVIL[[#This Row],[PREÇO MÉDIO R$]]="SEM VALOR DE REFERÊNCIA","0",TABELA_CIVIL[[#This Row],[PREÇO MÉDIO R$]]),"0")</f>
        <v>0</v>
      </c>
      <c r="J13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14" spans="2:10" x14ac:dyDescent="0.25">
      <c r="B14" s="23" t="str">
        <f>IF(TABELA_CIVIL[[#This Row],[DESCRIÇÃO]]&lt;&gt;"",MAX($B$8:B13)+1,"")</f>
        <v/>
      </c>
      <c r="C14" s="41"/>
      <c r="D14" s="29" t="str">
        <f>IFERROR(VLOOKUP(TABELA_CIVIL[[#This Row],[DESCRIÇÃO]],'TABELA MÃE'!D:E,2,FALSE),"")</f>
        <v/>
      </c>
      <c r="E14" s="29" t="str">
        <f>IFERROR(VLOOKUP(TABELA_CIVIL[[#This Row],[DESCRIÇÃO]],'TABELA MÃE'!D:F,3,FALSE),"")</f>
        <v/>
      </c>
      <c r="F14" s="29"/>
      <c r="G14" s="24"/>
      <c r="H14" s="29" t="str">
        <f>IFERROR(IF(VLOOKUP(TABELA_CIVIL[[#This Row],[DESCRIÇÃO]],'TABELA MÃE'!D:H,4,FALSE)&lt;&gt;0,VLOOKUP(TABELA_CIVIL[[#This Row],[DESCRIÇÃO]],'TABELA MÃE'!D:H,4,FALSE),"SEM VALOR DE REFERÊNCIA"),"")</f>
        <v/>
      </c>
      <c r="I14" s="29" t="str">
        <f>IFERROR(TABELA_CIVIL[[#This Row],[QTD.]]*IF(TABELA_CIVIL[[#This Row],[PREÇO MÉDIO R$]]="SEM VALOR DE REFERÊNCIA","0",TABELA_CIVIL[[#This Row],[PREÇO MÉDIO R$]]),"0")</f>
        <v>0</v>
      </c>
      <c r="J14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15" spans="2:10" x14ac:dyDescent="0.25">
      <c r="B15" s="23" t="str">
        <f>IF(TABELA_CIVIL[[#This Row],[DESCRIÇÃO]]&lt;&gt;"",MAX($B$8:B14)+1,"")</f>
        <v/>
      </c>
      <c r="C15" s="41"/>
      <c r="D15" s="29" t="str">
        <f>IFERROR(VLOOKUP(TABELA_CIVIL[[#This Row],[DESCRIÇÃO]],'TABELA MÃE'!D:E,2,FALSE),"")</f>
        <v/>
      </c>
      <c r="E15" s="29" t="str">
        <f>IFERROR(VLOOKUP(TABELA_CIVIL[[#This Row],[DESCRIÇÃO]],'TABELA MÃE'!D:F,3,FALSE),"")</f>
        <v/>
      </c>
      <c r="F15" s="29"/>
      <c r="G15" s="24"/>
      <c r="H15" s="29" t="str">
        <f>IFERROR(IF(VLOOKUP(TABELA_CIVIL[[#This Row],[DESCRIÇÃO]],'TABELA MÃE'!D:H,4,FALSE)&lt;&gt;0,VLOOKUP(TABELA_CIVIL[[#This Row],[DESCRIÇÃO]],'TABELA MÃE'!D:H,4,FALSE),"SEM VALOR DE REFERÊNCIA"),"")</f>
        <v/>
      </c>
      <c r="I15" s="29" t="str">
        <f>IFERROR(TABELA_CIVIL[[#This Row],[QTD.]]*IF(TABELA_CIVIL[[#This Row],[PREÇO MÉDIO R$]]="SEM VALOR DE REFERÊNCIA","0",TABELA_CIVIL[[#This Row],[PREÇO MÉDIO R$]]),"0")</f>
        <v>0</v>
      </c>
      <c r="J15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16" spans="2:10" x14ac:dyDescent="0.25">
      <c r="B16" s="23" t="str">
        <f>IF(TABELA_CIVIL[[#This Row],[DESCRIÇÃO]]&lt;&gt;"",MAX($B$8:B15)+1,"")</f>
        <v/>
      </c>
      <c r="C16" s="41"/>
      <c r="D16" s="29" t="str">
        <f>IFERROR(VLOOKUP(TABELA_CIVIL[[#This Row],[DESCRIÇÃO]],'TABELA MÃE'!D:E,2,FALSE),"")</f>
        <v/>
      </c>
      <c r="E16" s="29" t="str">
        <f>IFERROR(VLOOKUP(TABELA_CIVIL[[#This Row],[DESCRIÇÃO]],'TABELA MÃE'!D:F,3,FALSE),"")</f>
        <v/>
      </c>
      <c r="F16" s="29"/>
      <c r="G16" s="24"/>
      <c r="H16" s="29" t="str">
        <f>IFERROR(IF(VLOOKUP(TABELA_CIVIL[[#This Row],[DESCRIÇÃO]],'TABELA MÃE'!D:H,4,FALSE)&lt;&gt;0,VLOOKUP(TABELA_CIVIL[[#This Row],[DESCRIÇÃO]],'TABELA MÃE'!D:H,4,FALSE),"SEM VALOR DE REFERÊNCIA"),"")</f>
        <v/>
      </c>
      <c r="I16" s="29" t="str">
        <f>IFERROR(TABELA_CIVIL[[#This Row],[QTD.]]*IF(TABELA_CIVIL[[#This Row],[PREÇO MÉDIO R$]]="SEM VALOR DE REFERÊNCIA","0",TABELA_CIVIL[[#This Row],[PREÇO MÉDIO R$]]),"0")</f>
        <v>0</v>
      </c>
      <c r="J16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17" spans="2:10" x14ac:dyDescent="0.25">
      <c r="B17" s="23" t="str">
        <f>IF(TABELA_CIVIL[[#This Row],[DESCRIÇÃO]]&lt;&gt;"",MAX($B$8:B16)+1,"")</f>
        <v/>
      </c>
      <c r="C17" s="41"/>
      <c r="D17" s="29" t="str">
        <f>IFERROR(VLOOKUP(TABELA_CIVIL[[#This Row],[DESCRIÇÃO]],'TABELA MÃE'!D:E,2,FALSE),"")</f>
        <v/>
      </c>
      <c r="E17" s="29" t="str">
        <f>IFERROR(VLOOKUP(TABELA_CIVIL[[#This Row],[DESCRIÇÃO]],'TABELA MÃE'!D:F,3,FALSE),"")</f>
        <v/>
      </c>
      <c r="F17" s="29"/>
      <c r="G17" s="24"/>
      <c r="H17" s="29" t="str">
        <f>IFERROR(IF(VLOOKUP(TABELA_CIVIL[[#This Row],[DESCRIÇÃO]],'TABELA MÃE'!D:H,4,FALSE)&lt;&gt;0,VLOOKUP(TABELA_CIVIL[[#This Row],[DESCRIÇÃO]],'TABELA MÃE'!D:H,4,FALSE),"SEM VALOR DE REFERÊNCIA"),"")</f>
        <v/>
      </c>
      <c r="I17" s="29" t="str">
        <f>IFERROR(TABELA_CIVIL[[#This Row],[QTD.]]*IF(TABELA_CIVIL[[#This Row],[PREÇO MÉDIO R$]]="SEM VALOR DE REFERÊNCIA","0",TABELA_CIVIL[[#This Row],[PREÇO MÉDIO R$]]),"0")</f>
        <v>0</v>
      </c>
      <c r="J17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18" spans="2:10" x14ac:dyDescent="0.25">
      <c r="B18" s="23" t="str">
        <f>IF(TABELA_CIVIL[[#This Row],[DESCRIÇÃO]]&lt;&gt;"",MAX($B$8:B17)+1,"")</f>
        <v/>
      </c>
      <c r="C18" s="41"/>
      <c r="D18" s="29" t="str">
        <f>IFERROR(VLOOKUP(TABELA_CIVIL[[#This Row],[DESCRIÇÃO]],'TABELA MÃE'!D:E,2,FALSE),"")</f>
        <v/>
      </c>
      <c r="E18" s="29" t="str">
        <f>IFERROR(VLOOKUP(TABELA_CIVIL[[#This Row],[DESCRIÇÃO]],'TABELA MÃE'!D:F,3,FALSE),"")</f>
        <v/>
      </c>
      <c r="F18" s="29"/>
      <c r="G18" s="24"/>
      <c r="H18" s="29" t="str">
        <f>IFERROR(IF(VLOOKUP(TABELA_CIVIL[[#This Row],[DESCRIÇÃO]],'TABELA MÃE'!D:H,4,FALSE)&lt;&gt;0,VLOOKUP(TABELA_CIVIL[[#This Row],[DESCRIÇÃO]],'TABELA MÃE'!D:H,4,FALSE),"SEM VALOR DE REFERÊNCIA"),"")</f>
        <v/>
      </c>
      <c r="I18" s="29" t="str">
        <f>IFERROR(TABELA_CIVIL[[#This Row],[QTD.]]*IF(TABELA_CIVIL[[#This Row],[PREÇO MÉDIO R$]]="SEM VALOR DE REFERÊNCIA","0",TABELA_CIVIL[[#This Row],[PREÇO MÉDIO R$]]),"0")</f>
        <v>0</v>
      </c>
      <c r="J18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19" spans="2:10" x14ac:dyDescent="0.25">
      <c r="B19" s="23" t="str">
        <f>IF(TABELA_CIVIL[[#This Row],[DESCRIÇÃO]]&lt;&gt;"",MAX($B$8:B18)+1,"")</f>
        <v/>
      </c>
      <c r="C19" s="41"/>
      <c r="D19" s="29" t="str">
        <f>IFERROR(VLOOKUP(TABELA_CIVIL[[#This Row],[DESCRIÇÃO]],'TABELA MÃE'!D:E,2,FALSE),"")</f>
        <v/>
      </c>
      <c r="E19" s="29" t="str">
        <f>IFERROR(VLOOKUP(TABELA_CIVIL[[#This Row],[DESCRIÇÃO]],'TABELA MÃE'!D:F,3,FALSE),"")</f>
        <v/>
      </c>
      <c r="F19" s="29"/>
      <c r="G19" s="24"/>
      <c r="H19" s="29" t="str">
        <f>IFERROR(IF(VLOOKUP(TABELA_CIVIL[[#This Row],[DESCRIÇÃO]],'TABELA MÃE'!D:H,4,FALSE)&lt;&gt;0,VLOOKUP(TABELA_CIVIL[[#This Row],[DESCRIÇÃO]],'TABELA MÃE'!D:H,4,FALSE),"SEM VALOR DE REFERÊNCIA"),"")</f>
        <v/>
      </c>
      <c r="I19" s="29" t="str">
        <f>IFERROR(TABELA_CIVIL[[#This Row],[QTD.]]*IF(TABELA_CIVIL[[#This Row],[PREÇO MÉDIO R$]]="SEM VALOR DE REFERÊNCIA","0",TABELA_CIVIL[[#This Row],[PREÇO MÉDIO R$]]),"0")</f>
        <v>0</v>
      </c>
      <c r="J19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20" spans="2:10" x14ac:dyDescent="0.25">
      <c r="B20" s="23" t="str">
        <f>IF(TABELA_CIVIL[[#This Row],[DESCRIÇÃO]]&lt;&gt;"",MAX($B$8:B19)+1,"")</f>
        <v/>
      </c>
      <c r="C20" s="41"/>
      <c r="D20" s="29" t="str">
        <f>IFERROR(VLOOKUP(TABELA_CIVIL[[#This Row],[DESCRIÇÃO]],'TABELA MÃE'!D:E,2,FALSE),"")</f>
        <v/>
      </c>
      <c r="E20" s="29" t="str">
        <f>IFERROR(VLOOKUP(TABELA_CIVIL[[#This Row],[DESCRIÇÃO]],'TABELA MÃE'!D:F,3,FALSE),"")</f>
        <v/>
      </c>
      <c r="F20" s="29"/>
      <c r="G20" s="24"/>
      <c r="H20" s="29" t="str">
        <f>IFERROR(IF(VLOOKUP(TABELA_CIVIL[[#This Row],[DESCRIÇÃO]],'TABELA MÃE'!D:H,4,FALSE)&lt;&gt;0,VLOOKUP(TABELA_CIVIL[[#This Row],[DESCRIÇÃO]],'TABELA MÃE'!D:H,4,FALSE),"SEM VALOR DE REFERÊNCIA"),"")</f>
        <v/>
      </c>
      <c r="I20" s="29" t="str">
        <f>IFERROR(TABELA_CIVIL[[#This Row],[QTD.]]*IF(TABELA_CIVIL[[#This Row],[PREÇO MÉDIO R$]]="SEM VALOR DE REFERÊNCIA","0",TABELA_CIVIL[[#This Row],[PREÇO MÉDIO R$]]),"0")</f>
        <v>0</v>
      </c>
      <c r="J20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21" spans="2:10" x14ac:dyDescent="0.25">
      <c r="B21" s="23" t="str">
        <f>IF(TABELA_CIVIL[[#This Row],[DESCRIÇÃO]]&lt;&gt;"",MAX($B$8:B20)+1,"")</f>
        <v/>
      </c>
      <c r="C21" s="41"/>
      <c r="D21" s="29" t="str">
        <f>IFERROR(VLOOKUP(TABELA_CIVIL[[#This Row],[DESCRIÇÃO]],'TABELA MÃE'!D:E,2,FALSE),"")</f>
        <v/>
      </c>
      <c r="E21" s="29" t="str">
        <f>IFERROR(VLOOKUP(TABELA_CIVIL[[#This Row],[DESCRIÇÃO]],'TABELA MÃE'!D:F,3,FALSE),"")</f>
        <v/>
      </c>
      <c r="F21" s="29"/>
      <c r="G21" s="24"/>
      <c r="H21" s="29" t="str">
        <f>IFERROR(IF(VLOOKUP(TABELA_CIVIL[[#This Row],[DESCRIÇÃO]],'TABELA MÃE'!D:H,4,FALSE)&lt;&gt;0,VLOOKUP(TABELA_CIVIL[[#This Row],[DESCRIÇÃO]],'TABELA MÃE'!D:H,4,FALSE),"SEM VALOR DE REFERÊNCIA"),"")</f>
        <v/>
      </c>
      <c r="I21" s="29" t="str">
        <f>IFERROR(TABELA_CIVIL[[#This Row],[QTD.]]*IF(TABELA_CIVIL[[#This Row],[PREÇO MÉDIO R$]]="SEM VALOR DE REFERÊNCIA","0",TABELA_CIVIL[[#This Row],[PREÇO MÉDIO R$]]),"0")</f>
        <v>0</v>
      </c>
      <c r="J21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22" spans="2:10" x14ac:dyDescent="0.25">
      <c r="B22" s="23" t="str">
        <f>IF(TABELA_CIVIL[[#This Row],[DESCRIÇÃO]]&lt;&gt;"",MAX($B$8:B21)+1,"")</f>
        <v/>
      </c>
      <c r="C22" s="41"/>
      <c r="D22" s="29" t="str">
        <f>IFERROR(VLOOKUP(TABELA_CIVIL[[#This Row],[DESCRIÇÃO]],'TABELA MÃE'!D:E,2,FALSE),"")</f>
        <v/>
      </c>
      <c r="E22" s="29" t="str">
        <f>IFERROR(VLOOKUP(TABELA_CIVIL[[#This Row],[DESCRIÇÃO]],'TABELA MÃE'!D:F,3,FALSE),"")</f>
        <v/>
      </c>
      <c r="F22" s="29"/>
      <c r="G22" s="24"/>
      <c r="H22" s="29" t="str">
        <f>IFERROR(IF(VLOOKUP(TABELA_CIVIL[[#This Row],[DESCRIÇÃO]],'TABELA MÃE'!D:H,4,FALSE)&lt;&gt;0,VLOOKUP(TABELA_CIVIL[[#This Row],[DESCRIÇÃO]],'TABELA MÃE'!D:H,4,FALSE),"SEM VALOR DE REFERÊNCIA"),"")</f>
        <v/>
      </c>
      <c r="I22" s="29" t="str">
        <f>IFERROR(TABELA_CIVIL[[#This Row],[QTD.]]*IF(TABELA_CIVIL[[#This Row],[PREÇO MÉDIO R$]]="SEM VALOR DE REFERÊNCIA","0",TABELA_CIVIL[[#This Row],[PREÇO MÉDIO R$]]),"0")</f>
        <v>0</v>
      </c>
      <c r="J22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23" spans="2:10" x14ac:dyDescent="0.25">
      <c r="B23" s="23" t="str">
        <f>IF(TABELA_CIVIL[[#This Row],[DESCRIÇÃO]]&lt;&gt;"",MAX($B$8:B22)+1,"")</f>
        <v/>
      </c>
      <c r="C23" s="41"/>
      <c r="D23" s="29" t="str">
        <f>IFERROR(VLOOKUP(TABELA_CIVIL[[#This Row],[DESCRIÇÃO]],'TABELA MÃE'!D:E,2,FALSE),"")</f>
        <v/>
      </c>
      <c r="E23" s="29" t="str">
        <f>IFERROR(VLOOKUP(TABELA_CIVIL[[#This Row],[DESCRIÇÃO]],'TABELA MÃE'!D:F,3,FALSE),"")</f>
        <v/>
      </c>
      <c r="F23" s="29"/>
      <c r="G23" s="24"/>
      <c r="H23" s="29" t="str">
        <f>IFERROR(IF(VLOOKUP(TABELA_CIVIL[[#This Row],[DESCRIÇÃO]],'TABELA MÃE'!D:H,4,FALSE)&lt;&gt;0,VLOOKUP(TABELA_CIVIL[[#This Row],[DESCRIÇÃO]],'TABELA MÃE'!D:H,4,FALSE),"SEM VALOR DE REFERÊNCIA"),"")</f>
        <v/>
      </c>
      <c r="I23" s="29" t="str">
        <f>IFERROR(TABELA_CIVIL[[#This Row],[QTD.]]*IF(TABELA_CIVIL[[#This Row],[PREÇO MÉDIO R$]]="SEM VALOR DE REFERÊNCIA","0",TABELA_CIVIL[[#This Row],[PREÇO MÉDIO R$]]),"0")</f>
        <v>0</v>
      </c>
      <c r="J23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24" spans="2:10" x14ac:dyDescent="0.25">
      <c r="B24" s="23" t="str">
        <f>IF(TABELA_CIVIL[[#This Row],[DESCRIÇÃO]]&lt;&gt;"",MAX($B$8:B23)+1,"")</f>
        <v/>
      </c>
      <c r="C24" s="41"/>
      <c r="D24" s="29" t="str">
        <f>IFERROR(VLOOKUP(TABELA_CIVIL[[#This Row],[DESCRIÇÃO]],'TABELA MÃE'!D:E,2,FALSE),"")</f>
        <v/>
      </c>
      <c r="E24" s="29" t="str">
        <f>IFERROR(VLOOKUP(TABELA_CIVIL[[#This Row],[DESCRIÇÃO]],'TABELA MÃE'!D:F,3,FALSE),"")</f>
        <v/>
      </c>
      <c r="F24" s="29"/>
      <c r="G24" s="24"/>
      <c r="H24" s="29" t="str">
        <f>IFERROR(IF(VLOOKUP(TABELA_CIVIL[[#This Row],[DESCRIÇÃO]],'TABELA MÃE'!D:H,4,FALSE)&lt;&gt;0,VLOOKUP(TABELA_CIVIL[[#This Row],[DESCRIÇÃO]],'TABELA MÃE'!D:H,4,FALSE),"SEM VALOR DE REFERÊNCIA"),"")</f>
        <v/>
      </c>
      <c r="I24" s="29" t="str">
        <f>IFERROR(TABELA_CIVIL[[#This Row],[QTD.]]*IF(TABELA_CIVIL[[#This Row],[PREÇO MÉDIO R$]]="SEM VALOR DE REFERÊNCIA","0",TABELA_CIVIL[[#This Row],[PREÇO MÉDIO R$]]),"0")</f>
        <v>0</v>
      </c>
      <c r="J24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25" spans="2:10" x14ac:dyDescent="0.25">
      <c r="B25" s="23" t="str">
        <f>IF(TABELA_CIVIL[[#This Row],[DESCRIÇÃO]]&lt;&gt;"",MAX($B$8:B24)+1,"")</f>
        <v/>
      </c>
      <c r="C25" s="41"/>
      <c r="D25" s="29" t="str">
        <f>IFERROR(VLOOKUP(TABELA_CIVIL[[#This Row],[DESCRIÇÃO]],'TABELA MÃE'!D:E,2,FALSE),"")</f>
        <v/>
      </c>
      <c r="E25" s="29" t="str">
        <f>IFERROR(VLOOKUP(TABELA_CIVIL[[#This Row],[DESCRIÇÃO]],'TABELA MÃE'!D:F,3,FALSE),"")</f>
        <v/>
      </c>
      <c r="F25" s="29"/>
      <c r="G25" s="24"/>
      <c r="H25" s="29" t="str">
        <f>IFERROR(IF(VLOOKUP(TABELA_CIVIL[[#This Row],[DESCRIÇÃO]],'TABELA MÃE'!D:H,4,FALSE)&lt;&gt;0,VLOOKUP(TABELA_CIVIL[[#This Row],[DESCRIÇÃO]],'TABELA MÃE'!D:H,4,FALSE),"SEM VALOR DE REFERÊNCIA"),"")</f>
        <v/>
      </c>
      <c r="I25" s="29" t="str">
        <f>IFERROR(TABELA_CIVIL[[#This Row],[QTD.]]*IF(TABELA_CIVIL[[#This Row],[PREÇO MÉDIO R$]]="SEM VALOR DE REFERÊNCIA","0",TABELA_CIVIL[[#This Row],[PREÇO MÉDIO R$]]),"0")</f>
        <v>0</v>
      </c>
      <c r="J25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26" spans="2:10" x14ac:dyDescent="0.25">
      <c r="B26" s="23" t="str">
        <f>IF(TABELA_CIVIL[[#This Row],[DESCRIÇÃO]]&lt;&gt;"",MAX($B$8:B25)+1,"")</f>
        <v/>
      </c>
      <c r="C26" s="41"/>
      <c r="D26" s="29" t="str">
        <f>IFERROR(VLOOKUP(TABELA_CIVIL[[#This Row],[DESCRIÇÃO]],'TABELA MÃE'!D:E,2,FALSE),"")</f>
        <v/>
      </c>
      <c r="E26" s="29" t="str">
        <f>IFERROR(VLOOKUP(TABELA_CIVIL[[#This Row],[DESCRIÇÃO]],'TABELA MÃE'!D:F,3,FALSE),"")</f>
        <v/>
      </c>
      <c r="F26" s="29"/>
      <c r="G26" s="24"/>
      <c r="H26" s="29" t="str">
        <f>IFERROR(IF(VLOOKUP(TABELA_CIVIL[[#This Row],[DESCRIÇÃO]],'TABELA MÃE'!D:H,4,FALSE)&lt;&gt;0,VLOOKUP(TABELA_CIVIL[[#This Row],[DESCRIÇÃO]],'TABELA MÃE'!D:H,4,FALSE),"SEM VALOR DE REFERÊNCIA"),"")</f>
        <v/>
      </c>
      <c r="I26" s="29" t="str">
        <f>IFERROR(TABELA_CIVIL[[#This Row],[QTD.]]*IF(TABELA_CIVIL[[#This Row],[PREÇO MÉDIO R$]]="SEM VALOR DE REFERÊNCIA","0",TABELA_CIVIL[[#This Row],[PREÇO MÉDIO R$]]),"0")</f>
        <v>0</v>
      </c>
      <c r="J26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27" spans="2:10" x14ac:dyDescent="0.25">
      <c r="B27" s="23" t="str">
        <f>IF(TABELA_CIVIL[[#This Row],[DESCRIÇÃO]]&lt;&gt;"",MAX($B$8:B26)+1,"")</f>
        <v/>
      </c>
      <c r="C27" s="41"/>
      <c r="D27" s="29" t="str">
        <f>IFERROR(VLOOKUP(TABELA_CIVIL[[#This Row],[DESCRIÇÃO]],'TABELA MÃE'!D:E,2,FALSE),"")</f>
        <v/>
      </c>
      <c r="E27" s="29" t="str">
        <f>IFERROR(VLOOKUP(TABELA_CIVIL[[#This Row],[DESCRIÇÃO]],'TABELA MÃE'!D:F,3,FALSE),"")</f>
        <v/>
      </c>
      <c r="F27" s="29"/>
      <c r="G27" s="24"/>
      <c r="H27" s="29" t="str">
        <f>IFERROR(IF(VLOOKUP(TABELA_CIVIL[[#This Row],[DESCRIÇÃO]],'TABELA MÃE'!D:H,4,FALSE)&lt;&gt;0,VLOOKUP(TABELA_CIVIL[[#This Row],[DESCRIÇÃO]],'TABELA MÃE'!D:H,4,FALSE),"SEM VALOR DE REFERÊNCIA"),"")</f>
        <v/>
      </c>
      <c r="I27" s="29" t="str">
        <f>IFERROR(TABELA_CIVIL[[#This Row],[QTD.]]*IF(TABELA_CIVIL[[#This Row],[PREÇO MÉDIO R$]]="SEM VALOR DE REFERÊNCIA","0",TABELA_CIVIL[[#This Row],[PREÇO MÉDIO R$]]),"0")</f>
        <v>0</v>
      </c>
      <c r="J27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28" spans="2:10" x14ac:dyDescent="0.25">
      <c r="B28" s="23" t="str">
        <f>IF(TABELA_CIVIL[[#This Row],[DESCRIÇÃO]]&lt;&gt;"",MAX($B$8:B27)+1,"")</f>
        <v/>
      </c>
      <c r="C28" s="41"/>
      <c r="D28" s="29" t="str">
        <f>IFERROR(VLOOKUP(TABELA_CIVIL[[#This Row],[DESCRIÇÃO]],'TABELA MÃE'!D:E,2,FALSE),"")</f>
        <v/>
      </c>
      <c r="E28" s="29" t="str">
        <f>IFERROR(VLOOKUP(TABELA_CIVIL[[#This Row],[DESCRIÇÃO]],'TABELA MÃE'!D:F,3,FALSE),"")</f>
        <v/>
      </c>
      <c r="F28" s="29"/>
      <c r="G28" s="24"/>
      <c r="H28" s="29" t="str">
        <f>IFERROR(IF(VLOOKUP(TABELA_CIVIL[[#This Row],[DESCRIÇÃO]],'TABELA MÃE'!D:H,4,FALSE)&lt;&gt;0,VLOOKUP(TABELA_CIVIL[[#This Row],[DESCRIÇÃO]],'TABELA MÃE'!D:H,4,FALSE),"SEM VALOR DE REFERÊNCIA"),"")</f>
        <v/>
      </c>
      <c r="I28" s="29" t="str">
        <f>IFERROR(TABELA_CIVIL[[#This Row],[QTD.]]*IF(TABELA_CIVIL[[#This Row],[PREÇO MÉDIO R$]]="SEM VALOR DE REFERÊNCIA","0",TABELA_CIVIL[[#This Row],[PREÇO MÉDIO R$]]),"0")</f>
        <v>0</v>
      </c>
      <c r="J28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29" spans="2:10" x14ac:dyDescent="0.25">
      <c r="B29" s="23" t="str">
        <f>IF(TABELA_CIVIL[[#This Row],[DESCRIÇÃO]]&lt;&gt;"",MAX($B$8:B28)+1,"")</f>
        <v/>
      </c>
      <c r="C29" s="41"/>
      <c r="D29" s="29" t="str">
        <f>IFERROR(VLOOKUP(TABELA_CIVIL[[#This Row],[DESCRIÇÃO]],'TABELA MÃE'!D:E,2,FALSE),"")</f>
        <v/>
      </c>
      <c r="E29" s="29" t="str">
        <f>IFERROR(VLOOKUP(TABELA_CIVIL[[#This Row],[DESCRIÇÃO]],'TABELA MÃE'!D:F,3,FALSE),"")</f>
        <v/>
      </c>
      <c r="F29" s="29"/>
      <c r="G29" s="24"/>
      <c r="H29" s="29" t="str">
        <f>IFERROR(IF(VLOOKUP(TABELA_CIVIL[[#This Row],[DESCRIÇÃO]],'TABELA MÃE'!D:H,4,FALSE)&lt;&gt;0,VLOOKUP(TABELA_CIVIL[[#This Row],[DESCRIÇÃO]],'TABELA MÃE'!D:H,4,FALSE),"SEM VALOR DE REFERÊNCIA"),"")</f>
        <v/>
      </c>
      <c r="I29" s="29" t="str">
        <f>IFERROR(TABELA_CIVIL[[#This Row],[QTD.]]*IF(TABELA_CIVIL[[#This Row],[PREÇO MÉDIO R$]]="SEM VALOR DE REFERÊNCIA","0",TABELA_CIVIL[[#This Row],[PREÇO MÉDIO R$]]),"0")</f>
        <v>0</v>
      </c>
      <c r="J29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30" spans="2:10" x14ac:dyDescent="0.25">
      <c r="B30" s="23" t="str">
        <f>IF(TABELA_CIVIL[[#This Row],[DESCRIÇÃO]]&lt;&gt;"",MAX($B$8:B29)+1,"")</f>
        <v/>
      </c>
      <c r="C30" s="41"/>
      <c r="D30" s="29" t="str">
        <f>IFERROR(VLOOKUP(TABELA_CIVIL[[#This Row],[DESCRIÇÃO]],'TABELA MÃE'!D:E,2,FALSE),"")</f>
        <v/>
      </c>
      <c r="E30" s="29" t="str">
        <f>IFERROR(VLOOKUP(TABELA_CIVIL[[#This Row],[DESCRIÇÃO]],'TABELA MÃE'!D:F,3,FALSE),"")</f>
        <v/>
      </c>
      <c r="F30" s="29"/>
      <c r="G30" s="24"/>
      <c r="H30" s="29" t="str">
        <f>IFERROR(IF(VLOOKUP(TABELA_CIVIL[[#This Row],[DESCRIÇÃO]],'TABELA MÃE'!D:H,4,FALSE)&lt;&gt;0,VLOOKUP(TABELA_CIVIL[[#This Row],[DESCRIÇÃO]],'TABELA MÃE'!D:H,4,FALSE),"SEM VALOR DE REFERÊNCIA"),"")</f>
        <v/>
      </c>
      <c r="I30" s="29" t="str">
        <f>IFERROR(TABELA_CIVIL[[#This Row],[QTD.]]*IF(TABELA_CIVIL[[#This Row],[PREÇO MÉDIO R$]]="SEM VALOR DE REFERÊNCIA","0",TABELA_CIVIL[[#This Row],[PREÇO MÉDIO R$]]),"0")</f>
        <v>0</v>
      </c>
      <c r="J30" s="24" t="str">
        <f>IFERROR(IF(VLOOKUP(TABELA_CIVIL[[#This Row],[DESCRIÇÃO]],'TABELA MÃE'!D:H,5,FALSE)&lt;&gt;0,VLOOKUP(TABELA_CIVIL[[#This Row],[DESCRIÇÃO]],'TABELA MÃE'!D:H,5,FALSE),"SEM VALOR DE REFERÊNCIA"),"")</f>
        <v/>
      </c>
    </row>
    <row r="31" spans="2:10" ht="15.75" thickBot="1" x14ac:dyDescent="0.3">
      <c r="B31" s="40" t="str">
        <f>IF(TABELA_CIVIL[[#This Row],[DESCRIÇÃO]]&lt;&gt;"",MAX($B$8:B30)+1,"")</f>
        <v/>
      </c>
      <c r="C31" s="36"/>
      <c r="D31" s="31" t="str">
        <f>IFERROR(VLOOKUP(TABELA_CIVIL[[#This Row],[DESCRIÇÃO]],'TABELA MÃE'!D:E,2,FALSE),"")</f>
        <v/>
      </c>
      <c r="E31" s="31" t="str">
        <f>IFERROR(VLOOKUP(TABELA_CIVIL[[#This Row],[DESCRIÇÃO]],'TABELA MÃE'!D:F,3,FALSE),"")</f>
        <v/>
      </c>
      <c r="F31" s="31"/>
      <c r="G31" s="42"/>
      <c r="H31" s="31" t="str">
        <f>IFERROR(IF(VLOOKUP(TABELA_CIVIL[[#This Row],[DESCRIÇÃO]],'TABELA MÃE'!D:H,4,FALSE)&lt;&gt;0,VLOOKUP(TABELA_CIVIL[[#This Row],[DESCRIÇÃO]],'TABELA MÃE'!D:H,4,FALSE),"SEM VALOR DE REFERÊNCIA"),"")</f>
        <v/>
      </c>
      <c r="I31" s="31" t="str">
        <f>IFERROR(TABELA_CIVIL[[#This Row],[QTD.]]*IF(TABELA_CIVIL[[#This Row],[PREÇO MÉDIO R$]]="SEM VALOR DE REFERÊNCIA","0",TABELA_CIVIL[[#This Row],[PREÇO MÉDIO R$]]),"0")</f>
        <v>0</v>
      </c>
      <c r="J31" s="24" t="str">
        <f>IFERROR(IF(VLOOKUP(TABELA_CIVIL[[#This Row],[DESCRIÇÃO]],'TABELA MÃE'!D:H,5,FALSE)&lt;&gt;0,VLOOKUP(TABELA_CIVIL[[#This Row],[DESCRIÇÃO]],'TABELA MÃE'!D:H,5,FALSE),"SEM VALOR DE REFERÊNCIA"),"")</f>
        <v/>
      </c>
    </row>
  </sheetData>
  <mergeCells count="5">
    <mergeCell ref="F2:G5"/>
    <mergeCell ref="B6:G6"/>
    <mergeCell ref="H6:J6"/>
    <mergeCell ref="H2:H5"/>
    <mergeCell ref="I2:J5"/>
  </mergeCells>
  <dataValidations count="1">
    <dataValidation type="list" allowBlank="1" showInputMessage="1" showErrorMessage="1" sqref="C2" xr:uid="{DD28610C-CEA2-4564-BF93-7B3E1C633D70}">
      <formula1>TABELA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A89E0C8-20D6-4C9A-8CC2-4F9E7EBBA150}">
          <x14:formula1>
            <xm:f>OFFSET('TABELA MÃE'!$D$2,MATCH($C$2,'TABELA MÃE'!$A:$A,0)-2,0,COUNTIF('TABELA MÃE'!$A:$A,$C$2),1)</xm:f>
          </x14:formula1>
          <xm:sqref>C8:C31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2B16F-EB12-4623-BD81-C32C3C442869}">
  <sheetPr codeName="Planilha11"/>
  <dimension ref="B1:S31"/>
  <sheetViews>
    <sheetView zoomScaleNormal="100" workbookViewId="0">
      <selection activeCell="C12" sqref="C12"/>
    </sheetView>
  </sheetViews>
  <sheetFormatPr defaultRowHeight="15" x14ac:dyDescent="0.25"/>
  <cols>
    <col min="2" max="2" width="15" bestFit="1" customWidth="1"/>
    <col min="3" max="3" width="63" bestFit="1" customWidth="1"/>
    <col min="4" max="4" width="32.42578125" customWidth="1"/>
    <col min="5" max="5" width="8.85546875" bestFit="1" customWidth="1"/>
    <col min="6" max="6" width="10" customWidth="1"/>
    <col min="7" max="7" width="9.85546875" customWidth="1"/>
    <col min="8" max="8" width="24.85546875" bestFit="1" customWidth="1"/>
    <col min="9" max="9" width="20.42578125" customWidth="1"/>
    <col min="10" max="10" width="26.42578125" customWidth="1"/>
    <col min="12" max="12" width="27.5703125" bestFit="1" customWidth="1"/>
    <col min="13" max="13" width="15.85546875" bestFit="1" customWidth="1"/>
    <col min="15" max="15" width="20.5703125" bestFit="1" customWidth="1"/>
    <col min="16" max="17" width="35" bestFit="1" customWidth="1"/>
    <col min="18" max="19" width="36" bestFit="1" customWidth="1"/>
  </cols>
  <sheetData>
    <row r="1" spans="2:19" ht="15.75" thickBot="1" x14ac:dyDescent="0.3"/>
    <row r="2" spans="2:19" x14ac:dyDescent="0.25">
      <c r="B2" s="26" t="s">
        <v>163</v>
      </c>
      <c r="C2" s="20" t="s">
        <v>131</v>
      </c>
      <c r="D2" s="27"/>
      <c r="E2" s="27"/>
      <c r="F2" s="84" t="e" vm="1">
        <v>#VALUE!</v>
      </c>
      <c r="G2" s="85"/>
      <c r="H2" s="93" t="s">
        <v>145</v>
      </c>
      <c r="I2" s="164" cm="1">
        <f t="array" ref="I2">SUMPRODUCT(VALUE(IFERROR(TABELA_MISCELÂNEA[VALOR TOTAL R$],0)))</f>
        <v>102.34</v>
      </c>
      <c r="J2" s="165"/>
      <c r="L2" s="43" t="s">
        <v>155</v>
      </c>
      <c r="M2" s="43" t="s">
        <v>156</v>
      </c>
      <c r="O2" t="s">
        <v>131</v>
      </c>
      <c r="P2" t="s">
        <v>149</v>
      </c>
      <c r="Q2" t="s">
        <v>148</v>
      </c>
      <c r="R2" t="s">
        <v>146</v>
      </c>
      <c r="S2" t="s">
        <v>147</v>
      </c>
    </row>
    <row r="3" spans="2:19" x14ac:dyDescent="0.25">
      <c r="B3" s="28" t="s">
        <v>133</v>
      </c>
      <c r="C3" s="37" t="str">
        <f>RIGHT('CAPA-LM'!B8,LEN('CAPA-LM'!B8)-4)</f>
        <v>XXXXX</v>
      </c>
      <c r="D3" s="29"/>
      <c r="E3" s="29"/>
      <c r="F3" s="86"/>
      <c r="G3" s="87"/>
      <c r="H3" s="94"/>
      <c r="I3" s="166"/>
      <c r="J3" s="167"/>
      <c r="L3" t="s">
        <v>149</v>
      </c>
      <c r="M3" s="44" t="b">
        <v>1</v>
      </c>
      <c r="O3" t="s">
        <v>150</v>
      </c>
      <c r="P3" t="str">
        <f>IF($M$3=TRUE,"ARRUELA AÇO INOX - M6","")</f>
        <v>ARRUELA AÇO INOX - M6</v>
      </c>
      <c r="Q3" t="str">
        <f>IF($M$4=TRUE,"ARRUELA AÇO INOX - M8","")</f>
        <v/>
      </c>
      <c r="R3" t="str">
        <f>IF($M$5=TRUE,"ARRUELA AÇO INOX - M10","")</f>
        <v>ARRUELA AÇO INOX - M10</v>
      </c>
      <c r="S3" t="str">
        <f>IF($M$6=TRUE,"ARRUELA AÇO INOX - M12","")</f>
        <v/>
      </c>
    </row>
    <row r="4" spans="2:19" x14ac:dyDescent="0.25">
      <c r="B4" s="28" t="s">
        <v>134</v>
      </c>
      <c r="C4" s="38">
        <f ca="1">TODAY()</f>
        <v>46170</v>
      </c>
      <c r="D4" s="29"/>
      <c r="E4" s="29"/>
      <c r="F4" s="86"/>
      <c r="G4" s="87"/>
      <c r="H4" s="94"/>
      <c r="I4" s="166"/>
      <c r="J4" s="167"/>
      <c r="L4" t="s">
        <v>148</v>
      </c>
      <c r="M4" s="44" t="b">
        <v>0</v>
      </c>
      <c r="O4" t="s">
        <v>151</v>
      </c>
      <c r="P4" t="str">
        <f>IF($M$3=TRUE,"ARRUELA DE PRESSÃO - AÇO INOX - M6","")</f>
        <v>ARRUELA DE PRESSÃO - AÇO INOX - M6</v>
      </c>
      <c r="Q4" t="str">
        <f>IF($M$4=TRUE,"ARRUELA DE PRESSÃO - AÇO INOX - M8","")</f>
        <v/>
      </c>
      <c r="R4" t="str">
        <f>IF($M$5=TRUE,"ARRUELA DE PRESSÃO - AÇO INOX - M10","")</f>
        <v>ARRUELA DE PRESSÃO - AÇO INOX - M10</v>
      </c>
      <c r="S4" t="str">
        <f>IF($M$6=TRUE,"ARRUELA DE PRESSÃO - AÇO INOX - M12","")</f>
        <v/>
      </c>
    </row>
    <row r="5" spans="2:19" ht="15.75" thickBot="1" x14ac:dyDescent="0.3">
      <c r="B5" s="30" t="s">
        <v>2</v>
      </c>
      <c r="C5" s="25" t="str">
        <f>'CAPA-LM'!C5</f>
        <v>ESTRADA VICINAL RURAL, 0 - ESTÂNCIA MR, ÁREA RURAL, COLIDER - MT</v>
      </c>
      <c r="D5" s="31"/>
      <c r="E5" s="31"/>
      <c r="F5" s="88"/>
      <c r="G5" s="89"/>
      <c r="H5" s="95"/>
      <c r="I5" s="168"/>
      <c r="J5" s="169"/>
      <c r="L5" t="s">
        <v>146</v>
      </c>
      <c r="M5" s="44" t="b">
        <v>1</v>
      </c>
      <c r="O5" t="s">
        <v>152</v>
      </c>
      <c r="P5" t="str">
        <f>IF($M$3=TRUE,"PARAFUSO AÇO INOX - 25mm - M6","")</f>
        <v>PARAFUSO AÇO INOX - 25mm - M6</v>
      </c>
      <c r="Q5" t="str">
        <f>IF($M$4=TRUE,"PARAFUSO AÇO INOX - 25mm - M8","")</f>
        <v/>
      </c>
      <c r="R5" t="str">
        <f>IF($M$5=TRUE,"PARAFUSO AÇO INOX - 25mm - M10","")</f>
        <v>PARAFUSO AÇO INOX - 25mm - M10</v>
      </c>
      <c r="S5" t="str">
        <f>IF($M$6=TRUE,"PARAFUSO AÇO INOX - 25mm - M12","")</f>
        <v/>
      </c>
    </row>
    <row r="6" spans="2:19" ht="15.75" thickBot="1" x14ac:dyDescent="0.3">
      <c r="B6" s="90" t="s">
        <v>135</v>
      </c>
      <c r="C6" s="91"/>
      <c r="D6" s="91"/>
      <c r="E6" s="91"/>
      <c r="F6" s="91"/>
      <c r="G6" s="92"/>
      <c r="H6" s="91" t="s">
        <v>141</v>
      </c>
      <c r="I6" s="91"/>
      <c r="J6" s="92"/>
      <c r="L6" t="s">
        <v>147</v>
      </c>
      <c r="M6" s="44" t="b">
        <v>0</v>
      </c>
      <c r="O6" t="s">
        <v>153</v>
      </c>
      <c r="P6" t="str">
        <f>IF($M$3=TRUE,"PORCA DE AÇO INOX - M6","")</f>
        <v>PORCA DE AÇO INOX - M6</v>
      </c>
      <c r="Q6" t="str">
        <f>IF($M$4=TRUE,"PORCA DE AÇO INOX - M8","")</f>
        <v/>
      </c>
      <c r="R6" t="str">
        <f>IF($M$5=TRUE,"PORCA DE AÇO INOX - M10","")</f>
        <v>PORCA DE AÇO INOX - M10</v>
      </c>
      <c r="S6" t="str">
        <f>IF($M$6=TRUE,"PORCA DE AÇO INOX - M12","")</f>
        <v/>
      </c>
    </row>
    <row r="7" spans="2:19" ht="15.75" thickBot="1" x14ac:dyDescent="0.3">
      <c r="B7" s="32" t="s">
        <v>8</v>
      </c>
      <c r="C7" s="33" t="s">
        <v>9</v>
      </c>
      <c r="D7" s="33" t="s">
        <v>29</v>
      </c>
      <c r="E7" s="33" t="s">
        <v>30</v>
      </c>
      <c r="F7" s="33" t="s">
        <v>31</v>
      </c>
      <c r="G7" s="34" t="s">
        <v>32</v>
      </c>
      <c r="H7" s="33" t="s">
        <v>49</v>
      </c>
      <c r="I7" s="33" t="s">
        <v>144</v>
      </c>
      <c r="J7" s="34" t="s">
        <v>33</v>
      </c>
    </row>
    <row r="8" spans="2:19" ht="30" x14ac:dyDescent="0.25">
      <c r="B8" s="21">
        <f>IF(TABELA_MISCELÂNEA[[#This Row],[DESCRIÇÃO]]&lt;&gt;"",1,"")</f>
        <v>1</v>
      </c>
      <c r="C8" s="41" t="s">
        <v>2326</v>
      </c>
      <c r="D8" s="27" t="str">
        <f>IFERROR(VLOOKUP(TABELA_MISCELÂNEA[[#This Row],[DESCRIÇÃO]],'TABELA MÃE'!D:E,2,FALSE),"")</f>
        <v>-</v>
      </c>
      <c r="E8" s="27" t="str">
        <f>IFERROR(VLOOKUP(TABELA_MISCELÂNEA[[#This Row],[DESCRIÇÃO]],'TABELA MÃE'!D:F,3,FALSE),"")</f>
        <v>un.</v>
      </c>
      <c r="F8" s="27">
        <v>34</v>
      </c>
      <c r="G8" s="22"/>
      <c r="H8" s="27">
        <f>IFERROR(IF(VLOOKUP(TABELA_MISCELÂNEA[[#This Row],[DESCRIÇÃO]],'TABELA MÃE'!D:H,4,FALSE)&lt;&gt;0,VLOOKUP(TABELA_MISCELÂNEA[[#This Row],[DESCRIÇÃO]],'TABELA MÃE'!D:H,4,FALSE),"SEM VALOR DE REFERÊNCIA"),"")</f>
        <v>1.97</v>
      </c>
      <c r="I8" s="27">
        <f>IFERROR(TABELA_MISCELÂNEA[[#This Row],[QTD.]]*IF(TABELA_MISCELÂNEA[[#This Row],[PREÇO MÉDIO R$]]="SEM VALOR DE REFERÊNCIA","0",TABELA_MISCELÂNEA[[#This Row],[PREÇO MÉDIO R$]]),"0")</f>
        <v>66.98</v>
      </c>
      <c r="J8" s="22" t="str">
        <f>IFERROR(IF(VLOOKUP(TABELA_MISCELÂNEA[[#This Row],[DESCRIÇÃO]],'TABELA MÃE'!D:H,5,FALSE)&lt;&gt;0,VLOOKUP(TABELA_MISCELÂNEA[[#This Row],[DESCRIÇÃO]],'TABELA MÃE'!D:H,5,FALSE),"SEM VALOR DE REFERÊNCIA"),"")</f>
        <v>12/2024</v>
      </c>
    </row>
    <row r="9" spans="2:19" x14ac:dyDescent="0.25">
      <c r="B9" s="23">
        <f>IF(TABELA_MISCELÂNEA[[#This Row],[DESCRIÇÃO]]&lt;&gt;"",MAX($B$8:B8)+1,"")</f>
        <v>2</v>
      </c>
      <c r="C9" s="41" t="s">
        <v>1108</v>
      </c>
      <c r="D9" s="29" t="str">
        <f>IFERROR(VLOOKUP(TABELA_MISCELÂNEA[[#This Row],[DESCRIÇÃO]],'TABELA MÃE'!D:E,2,FALSE),"")</f>
        <v>CISER</v>
      </c>
      <c r="E9" s="29" t="str">
        <f>IFERROR(VLOOKUP(TABELA_MISCELÂNEA[[#This Row],[DESCRIÇÃO]],'TABELA MÃE'!D:F,3,FALSE),"")</f>
        <v>un.</v>
      </c>
      <c r="F9" s="29">
        <f>F8*2</f>
        <v>68</v>
      </c>
      <c r="G9" s="24"/>
      <c r="H9" s="29">
        <f>IFERROR(IF(VLOOKUP(TABELA_MISCELÂNEA[[#This Row],[DESCRIÇÃO]],'TABELA MÃE'!D:H,4,FALSE)&lt;&gt;0,VLOOKUP(TABELA_MISCELÂNEA[[#This Row],[DESCRIÇÃO]],'TABELA MÃE'!D:H,4,FALSE),"SEM VALOR DE REFERÊNCIA"),"")</f>
        <v>0.08</v>
      </c>
      <c r="I9" s="29">
        <f>IFERROR(TABELA_MISCELÂNEA[[#This Row],[QTD.]]*IF(TABELA_MISCELÂNEA[[#This Row],[PREÇO MÉDIO R$]]="SEM VALOR DE REFERÊNCIA","0",TABELA_MISCELÂNEA[[#This Row],[PREÇO MÉDIO R$]]),"0")</f>
        <v>5.44</v>
      </c>
      <c r="J9" s="24" t="str">
        <f>IFERROR(IF(VLOOKUP(TABELA_MISCELÂNEA[[#This Row],[DESCRIÇÃO]],'TABELA MÃE'!D:H,5,FALSE)&lt;&gt;0,VLOOKUP(TABELA_MISCELÂNEA[[#This Row],[DESCRIÇÃO]],'TABELA MÃE'!D:H,5,FALSE),"SEM VALOR DE REFERÊNCIA"),"")</f>
        <v>16/12/2025</v>
      </c>
    </row>
    <row r="10" spans="2:19" x14ac:dyDescent="0.25">
      <c r="B10" s="23">
        <f>IF(TABELA_MISCELÂNEA[[#This Row],[DESCRIÇÃO]]&lt;&gt;"",MAX($B$8:B9)+1,"")</f>
        <v>3</v>
      </c>
      <c r="C10" s="41" t="s">
        <v>1656</v>
      </c>
      <c r="D10" s="29" t="str">
        <f>IFERROR(VLOOKUP(TABELA_MISCELÂNEA[[#This Row],[DESCRIÇÃO]],'TABELA MÃE'!D:E,2,FALSE),"")</f>
        <v>CISER</v>
      </c>
      <c r="E10" s="29" t="str">
        <f>IFERROR(VLOOKUP(TABELA_MISCELÂNEA[[#This Row],[DESCRIÇÃO]],'TABELA MÃE'!D:F,3,FALSE),"")</f>
        <v>un.</v>
      </c>
      <c r="F10" s="29">
        <f>F8</f>
        <v>34</v>
      </c>
      <c r="G10" s="24"/>
      <c r="H10" s="29">
        <f>IFERROR(IF(VLOOKUP(TABELA_MISCELÂNEA[[#This Row],[DESCRIÇÃO]],'TABELA MÃE'!D:H,4,FALSE)&lt;&gt;0,VLOOKUP(TABELA_MISCELÂNEA[[#This Row],[DESCRIÇÃO]],'TABELA MÃE'!D:H,4,FALSE),"SEM VALOR DE REFERÊNCIA"),"")</f>
        <v>0.18</v>
      </c>
      <c r="I10" s="29">
        <f>IFERROR(TABELA_MISCELÂNEA[[#This Row],[QTD.]]*IF(TABELA_MISCELÂNEA[[#This Row],[PREÇO MÉDIO R$]]="SEM VALOR DE REFERÊNCIA","0",TABELA_MISCELÂNEA[[#This Row],[PREÇO MÉDIO R$]]),"0")</f>
        <v>6.12</v>
      </c>
      <c r="J10" s="24" t="str">
        <f>IFERROR(IF(VLOOKUP(TABELA_MISCELÂNEA[[#This Row],[DESCRIÇÃO]],'TABELA MÃE'!D:H,5,FALSE)&lt;&gt;0,VLOOKUP(TABELA_MISCELÂNEA[[#This Row],[DESCRIÇÃO]],'TABELA MÃE'!D:H,5,FALSE),"SEM VALOR DE REFERÊNCIA"),"")</f>
        <v>16/12/2025</v>
      </c>
    </row>
    <row r="11" spans="2:19" x14ac:dyDescent="0.25">
      <c r="B11" s="23">
        <f>IF(TABELA_MISCELÂNEA[[#This Row],[DESCRIÇÃO]]&lt;&gt;"",MAX($B$8:B10)+1,"")</f>
        <v>4</v>
      </c>
      <c r="C11" s="41" t="s">
        <v>1382</v>
      </c>
      <c r="D11" s="29" t="str">
        <f>IFERROR(VLOOKUP(TABELA_MISCELÂNEA[[#This Row],[DESCRIÇÃO]],'TABELA MÃE'!D:E,2,FALSE),"")</f>
        <v>-</v>
      </c>
      <c r="E11" s="29" t="str">
        <f>IFERROR(VLOOKUP(TABELA_MISCELÂNEA[[#This Row],[DESCRIÇÃO]],'TABELA MÃE'!D:F,3,FALSE),"")</f>
        <v>un.</v>
      </c>
      <c r="F11" s="29">
        <f>F8</f>
        <v>34</v>
      </c>
      <c r="G11" s="24"/>
      <c r="H11" s="29">
        <f>IFERROR(IF(VLOOKUP(TABELA_MISCELÂNEA[[#This Row],[DESCRIÇÃO]],'TABELA MÃE'!D:H,4,FALSE)&lt;&gt;0,VLOOKUP(TABELA_MISCELÂNEA[[#This Row],[DESCRIÇÃO]],'TABELA MÃE'!D:H,4,FALSE),"SEM VALOR DE REFERÊNCIA"),"")</f>
        <v>0.7</v>
      </c>
      <c r="I11" s="29">
        <f>IFERROR(TABELA_MISCELÂNEA[[#This Row],[QTD.]]*IF(TABELA_MISCELÂNEA[[#This Row],[PREÇO MÉDIO R$]]="SEM VALOR DE REFERÊNCIA","0",TABELA_MISCELÂNEA[[#This Row],[PREÇO MÉDIO R$]]),"0")</f>
        <v>23.799999999999997</v>
      </c>
      <c r="J11" s="24" t="str">
        <f>IFERROR(IF(VLOOKUP(TABELA_MISCELÂNEA[[#This Row],[DESCRIÇÃO]],'TABELA MÃE'!D:H,5,FALSE)&lt;&gt;0,VLOOKUP(TABELA_MISCELÂNEA[[#This Row],[DESCRIÇÃO]],'TABELA MÃE'!D:H,5,FALSE),"SEM VALOR DE REFERÊNCIA"),"")</f>
        <v>12/01/2026</v>
      </c>
    </row>
    <row r="12" spans="2:19" x14ac:dyDescent="0.25">
      <c r="B12" s="23" t="str">
        <f>IF(TABELA_MISCELÂNEA[[#This Row],[DESCRIÇÃO]]&lt;&gt;"",MAX($B$8:B11)+1,"")</f>
        <v/>
      </c>
      <c r="C12" s="41"/>
      <c r="D12" s="29" t="str">
        <f>IFERROR(VLOOKUP(TABELA_MISCELÂNEA[[#This Row],[DESCRIÇÃO]],'TABELA MÃE'!D:E,2,FALSE),"")</f>
        <v/>
      </c>
      <c r="E12" s="29" t="str">
        <f>IFERROR(VLOOKUP(TABELA_MISCELÂNEA[[#This Row],[DESCRIÇÃO]],'TABELA MÃE'!D:F,3,FALSE),"")</f>
        <v/>
      </c>
      <c r="F12" s="29"/>
      <c r="G12" s="24"/>
      <c r="H12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12" s="29" t="str">
        <f>IFERROR(TABELA_MISCELÂNEA[[#This Row],[QTD.]]*IF(TABELA_MISCELÂNEA[[#This Row],[PREÇO MÉDIO R$]]="SEM VALOR DE REFERÊNCIA","0",TABELA_MISCELÂNEA[[#This Row],[PREÇO MÉDIO R$]]),"0")</f>
        <v>0</v>
      </c>
      <c r="J12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13" spans="2:19" x14ac:dyDescent="0.25">
      <c r="B13" s="23" t="str">
        <f>IF(TABELA_MISCELÂNEA[[#This Row],[DESCRIÇÃO]]&lt;&gt;"",MAX($B$8:B12)+1,"")</f>
        <v/>
      </c>
      <c r="C13" s="41"/>
      <c r="D13" s="29" t="str">
        <f>IFERROR(VLOOKUP(TABELA_MISCELÂNEA[[#This Row],[DESCRIÇÃO]],'TABELA MÃE'!D:E,2,FALSE),"")</f>
        <v/>
      </c>
      <c r="E13" s="29" t="str">
        <f>IFERROR(VLOOKUP(TABELA_MISCELÂNEA[[#This Row],[DESCRIÇÃO]],'TABELA MÃE'!D:F,3,FALSE),"")</f>
        <v/>
      </c>
      <c r="F13" s="29"/>
      <c r="G13" s="24"/>
      <c r="H13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13" s="29" t="str">
        <f>IFERROR(TABELA_MISCELÂNEA[[#This Row],[QTD.]]*IF(TABELA_MISCELÂNEA[[#This Row],[PREÇO MÉDIO R$]]="SEM VALOR DE REFERÊNCIA","0",TABELA_MISCELÂNEA[[#This Row],[PREÇO MÉDIO R$]]),"0")</f>
        <v>0</v>
      </c>
      <c r="J13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14" spans="2:19" x14ac:dyDescent="0.25">
      <c r="B14" s="23" t="str">
        <f>IF(TABELA_MISCELÂNEA[[#This Row],[DESCRIÇÃO]]&lt;&gt;"",MAX($B$8:B13)+1,"")</f>
        <v/>
      </c>
      <c r="C14" s="41"/>
      <c r="D14" s="29" t="str">
        <f>IFERROR(VLOOKUP(TABELA_MISCELÂNEA[[#This Row],[DESCRIÇÃO]],'TABELA MÃE'!D:E,2,FALSE),"")</f>
        <v/>
      </c>
      <c r="E14" s="29" t="str">
        <f>IFERROR(VLOOKUP(TABELA_MISCELÂNEA[[#This Row],[DESCRIÇÃO]],'TABELA MÃE'!D:F,3,FALSE),"")</f>
        <v/>
      </c>
      <c r="F14" s="29"/>
      <c r="G14" s="24"/>
      <c r="H14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14" s="29" t="str">
        <f>IFERROR(TABELA_MISCELÂNEA[[#This Row],[QTD.]]*IF(TABELA_MISCELÂNEA[[#This Row],[PREÇO MÉDIO R$]]="SEM VALOR DE REFERÊNCIA","0",TABELA_MISCELÂNEA[[#This Row],[PREÇO MÉDIO R$]]),"0")</f>
        <v>0</v>
      </c>
      <c r="J14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15" spans="2:19" x14ac:dyDescent="0.25">
      <c r="B15" s="23" t="str">
        <f>IF(TABELA_MISCELÂNEA[[#This Row],[DESCRIÇÃO]]&lt;&gt;"",MAX($B$8:B14)+1,"")</f>
        <v/>
      </c>
      <c r="C15" s="41"/>
      <c r="D15" s="29" t="str">
        <f>IFERROR(VLOOKUP(TABELA_MISCELÂNEA[[#This Row],[DESCRIÇÃO]],'TABELA MÃE'!D:E,2,FALSE),"")</f>
        <v/>
      </c>
      <c r="E15" s="29" t="str">
        <f>IFERROR(VLOOKUP(TABELA_MISCELÂNEA[[#This Row],[DESCRIÇÃO]],'TABELA MÃE'!D:F,3,FALSE),"")</f>
        <v/>
      </c>
      <c r="F15" s="29"/>
      <c r="G15" s="24"/>
      <c r="H15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15" s="29" t="str">
        <f>IFERROR(TABELA_MISCELÂNEA[[#This Row],[QTD.]]*IF(TABELA_MISCELÂNEA[[#This Row],[PREÇO MÉDIO R$]]="SEM VALOR DE REFERÊNCIA","0",TABELA_MISCELÂNEA[[#This Row],[PREÇO MÉDIO R$]]),"0")</f>
        <v>0</v>
      </c>
      <c r="J15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16" spans="2:19" x14ac:dyDescent="0.25">
      <c r="B16" s="23" t="str">
        <f>IF(TABELA_MISCELÂNEA[[#This Row],[DESCRIÇÃO]]&lt;&gt;"",MAX($B$8:B15)+1,"")</f>
        <v/>
      </c>
      <c r="C16" s="41"/>
      <c r="D16" s="29" t="str">
        <f>IFERROR(VLOOKUP(TABELA_MISCELÂNEA[[#This Row],[DESCRIÇÃO]],'TABELA MÃE'!D:E,2,FALSE),"")</f>
        <v/>
      </c>
      <c r="E16" s="29" t="str">
        <f>IFERROR(VLOOKUP(TABELA_MISCELÂNEA[[#This Row],[DESCRIÇÃO]],'TABELA MÃE'!D:F,3,FALSE),"")</f>
        <v/>
      </c>
      <c r="F16" s="29"/>
      <c r="G16" s="24"/>
      <c r="H16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16" s="29" t="str">
        <f>IFERROR(TABELA_MISCELÂNEA[[#This Row],[QTD.]]*IF(TABELA_MISCELÂNEA[[#This Row],[PREÇO MÉDIO R$]]="SEM VALOR DE REFERÊNCIA","0",TABELA_MISCELÂNEA[[#This Row],[PREÇO MÉDIO R$]]),"0")</f>
        <v>0</v>
      </c>
      <c r="J16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17" spans="2:10" x14ac:dyDescent="0.25">
      <c r="B17" s="23" t="str">
        <f>IF(TABELA_MISCELÂNEA[[#This Row],[DESCRIÇÃO]]&lt;&gt;"",MAX($B$8:B16)+1,"")</f>
        <v/>
      </c>
      <c r="C17" s="41"/>
      <c r="D17" s="29" t="str">
        <f>IFERROR(VLOOKUP(TABELA_MISCELÂNEA[[#This Row],[DESCRIÇÃO]],'TABELA MÃE'!D:E,2,FALSE),"")</f>
        <v/>
      </c>
      <c r="E17" s="29" t="str">
        <f>IFERROR(VLOOKUP(TABELA_MISCELÂNEA[[#This Row],[DESCRIÇÃO]],'TABELA MÃE'!D:F,3,FALSE),"")</f>
        <v/>
      </c>
      <c r="F17" s="29"/>
      <c r="G17" s="24"/>
      <c r="H17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17" s="29" t="str">
        <f>IFERROR(TABELA_MISCELÂNEA[[#This Row],[QTD.]]*IF(TABELA_MISCELÂNEA[[#This Row],[PREÇO MÉDIO R$]]="SEM VALOR DE REFERÊNCIA","0",TABELA_MISCELÂNEA[[#This Row],[PREÇO MÉDIO R$]]),"0")</f>
        <v>0</v>
      </c>
      <c r="J17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18" spans="2:10" x14ac:dyDescent="0.25">
      <c r="B18" s="23" t="str">
        <f>IF(TABELA_MISCELÂNEA[[#This Row],[DESCRIÇÃO]]&lt;&gt;"",MAX($B$8:B17)+1,"")</f>
        <v/>
      </c>
      <c r="C18" s="41"/>
      <c r="D18" s="29" t="str">
        <f>IFERROR(VLOOKUP(TABELA_MISCELÂNEA[[#This Row],[DESCRIÇÃO]],'TABELA MÃE'!D:E,2,FALSE),"")</f>
        <v/>
      </c>
      <c r="E18" s="29" t="str">
        <f>IFERROR(VLOOKUP(TABELA_MISCELÂNEA[[#This Row],[DESCRIÇÃO]],'TABELA MÃE'!D:F,3,FALSE),"")</f>
        <v/>
      </c>
      <c r="F18" s="29"/>
      <c r="G18" s="24"/>
      <c r="H18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18" s="29" t="str">
        <f>IFERROR(TABELA_MISCELÂNEA[[#This Row],[QTD.]]*IF(TABELA_MISCELÂNEA[[#This Row],[PREÇO MÉDIO R$]]="SEM VALOR DE REFERÊNCIA","0",TABELA_MISCELÂNEA[[#This Row],[PREÇO MÉDIO R$]]),"0")</f>
        <v>0</v>
      </c>
      <c r="J18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19" spans="2:10" x14ac:dyDescent="0.25">
      <c r="B19" s="23" t="str">
        <f>IF(TABELA_MISCELÂNEA[[#This Row],[DESCRIÇÃO]]&lt;&gt;"",MAX($B$8:B18)+1,"")</f>
        <v/>
      </c>
      <c r="C19" s="41"/>
      <c r="D19" s="29" t="str">
        <f>IFERROR(VLOOKUP(TABELA_MISCELÂNEA[[#This Row],[DESCRIÇÃO]],'TABELA MÃE'!D:E,2,FALSE),"")</f>
        <v/>
      </c>
      <c r="E19" s="29" t="str">
        <f>IFERROR(VLOOKUP(TABELA_MISCELÂNEA[[#This Row],[DESCRIÇÃO]],'TABELA MÃE'!D:F,3,FALSE),"")</f>
        <v/>
      </c>
      <c r="F19" s="29"/>
      <c r="G19" s="24"/>
      <c r="H19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19" s="29" t="str">
        <f>IFERROR(TABELA_MISCELÂNEA[[#This Row],[QTD.]]*IF(TABELA_MISCELÂNEA[[#This Row],[PREÇO MÉDIO R$]]="SEM VALOR DE REFERÊNCIA","0",TABELA_MISCELÂNEA[[#This Row],[PREÇO MÉDIO R$]]),"0")</f>
        <v>0</v>
      </c>
      <c r="J19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20" spans="2:10" x14ac:dyDescent="0.25">
      <c r="B20" s="23" t="str">
        <f>IF(TABELA_MISCELÂNEA[[#This Row],[DESCRIÇÃO]]&lt;&gt;"",MAX($B$8:B19)+1,"")</f>
        <v/>
      </c>
      <c r="C20" s="41"/>
      <c r="D20" s="29" t="str">
        <f>IFERROR(VLOOKUP(TABELA_MISCELÂNEA[[#This Row],[DESCRIÇÃO]],'TABELA MÃE'!D:E,2,FALSE),"")</f>
        <v/>
      </c>
      <c r="E20" s="29" t="str">
        <f>IFERROR(VLOOKUP(TABELA_MISCELÂNEA[[#This Row],[DESCRIÇÃO]],'TABELA MÃE'!D:F,3,FALSE),"")</f>
        <v/>
      </c>
      <c r="F20" s="29"/>
      <c r="G20" s="24"/>
      <c r="H20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20" s="29" t="str">
        <f>IFERROR(TABELA_MISCELÂNEA[[#This Row],[QTD.]]*IF(TABELA_MISCELÂNEA[[#This Row],[PREÇO MÉDIO R$]]="SEM VALOR DE REFERÊNCIA","0",TABELA_MISCELÂNEA[[#This Row],[PREÇO MÉDIO R$]]),"0")</f>
        <v>0</v>
      </c>
      <c r="J20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21" spans="2:10" x14ac:dyDescent="0.25">
      <c r="B21" s="23" t="str">
        <f>IF(TABELA_MISCELÂNEA[[#This Row],[DESCRIÇÃO]]&lt;&gt;"",MAX($B$8:B20)+1,"")</f>
        <v/>
      </c>
      <c r="C21" s="41"/>
      <c r="D21" s="29" t="str">
        <f>IFERROR(VLOOKUP(TABELA_MISCELÂNEA[[#This Row],[DESCRIÇÃO]],'TABELA MÃE'!D:E,2,FALSE),"")</f>
        <v/>
      </c>
      <c r="E21" s="29" t="str">
        <f>IFERROR(VLOOKUP(TABELA_MISCELÂNEA[[#This Row],[DESCRIÇÃO]],'TABELA MÃE'!D:F,3,FALSE),"")</f>
        <v/>
      </c>
      <c r="F21" s="29"/>
      <c r="G21" s="24"/>
      <c r="H21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21" s="29" t="str">
        <f>IFERROR(TABELA_MISCELÂNEA[[#This Row],[QTD.]]*IF(TABELA_MISCELÂNEA[[#This Row],[PREÇO MÉDIO R$]]="SEM VALOR DE REFERÊNCIA","0",TABELA_MISCELÂNEA[[#This Row],[PREÇO MÉDIO R$]]),"0")</f>
        <v>0</v>
      </c>
      <c r="J21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22" spans="2:10" x14ac:dyDescent="0.25">
      <c r="B22" s="23" t="str">
        <f>IF(TABELA_MISCELÂNEA[[#This Row],[DESCRIÇÃO]]&lt;&gt;"",MAX($B$8:B21)+1,"")</f>
        <v/>
      </c>
      <c r="C22" s="41"/>
      <c r="D22" s="29" t="str">
        <f>IFERROR(VLOOKUP(TABELA_MISCELÂNEA[[#This Row],[DESCRIÇÃO]],'TABELA MÃE'!D:E,2,FALSE),"")</f>
        <v/>
      </c>
      <c r="E22" s="29" t="str">
        <f>IFERROR(VLOOKUP(TABELA_MISCELÂNEA[[#This Row],[DESCRIÇÃO]],'TABELA MÃE'!D:F,3,FALSE),"")</f>
        <v/>
      </c>
      <c r="F22" s="29"/>
      <c r="G22" s="24"/>
      <c r="H22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22" s="29" t="str">
        <f>IFERROR(TABELA_MISCELÂNEA[[#This Row],[QTD.]]*IF(TABELA_MISCELÂNEA[[#This Row],[PREÇO MÉDIO R$]]="SEM VALOR DE REFERÊNCIA","0",TABELA_MISCELÂNEA[[#This Row],[PREÇO MÉDIO R$]]),"0")</f>
        <v>0</v>
      </c>
      <c r="J22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23" spans="2:10" x14ac:dyDescent="0.25">
      <c r="B23" s="23" t="str">
        <f>IF(TABELA_MISCELÂNEA[[#This Row],[DESCRIÇÃO]]&lt;&gt;"",MAX($B$8:B22)+1,"")</f>
        <v/>
      </c>
      <c r="C23" s="41"/>
      <c r="D23" s="29" t="str">
        <f>IFERROR(VLOOKUP(TABELA_MISCELÂNEA[[#This Row],[DESCRIÇÃO]],'TABELA MÃE'!D:E,2,FALSE),"")</f>
        <v/>
      </c>
      <c r="E23" s="29" t="str">
        <f>IFERROR(VLOOKUP(TABELA_MISCELÂNEA[[#This Row],[DESCRIÇÃO]],'TABELA MÃE'!D:F,3,FALSE),"")</f>
        <v/>
      </c>
      <c r="F23" s="29"/>
      <c r="G23" s="24"/>
      <c r="H23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23" s="29" t="str">
        <f>IFERROR(TABELA_MISCELÂNEA[[#This Row],[QTD.]]*IF(TABELA_MISCELÂNEA[[#This Row],[PREÇO MÉDIO R$]]="SEM VALOR DE REFERÊNCIA","0",TABELA_MISCELÂNEA[[#This Row],[PREÇO MÉDIO R$]]),"0")</f>
        <v>0</v>
      </c>
      <c r="J23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24" spans="2:10" x14ac:dyDescent="0.25">
      <c r="B24" s="23" t="str">
        <f>IF(TABELA_MISCELÂNEA[[#This Row],[DESCRIÇÃO]]&lt;&gt;"",MAX($B$8:B23)+1,"")</f>
        <v/>
      </c>
      <c r="C24" s="41"/>
      <c r="D24" s="29" t="str">
        <f>IFERROR(VLOOKUP(TABELA_MISCELÂNEA[[#This Row],[DESCRIÇÃO]],'TABELA MÃE'!D:E,2,FALSE),"")</f>
        <v/>
      </c>
      <c r="E24" s="29" t="str">
        <f>IFERROR(VLOOKUP(TABELA_MISCELÂNEA[[#This Row],[DESCRIÇÃO]],'TABELA MÃE'!D:F,3,FALSE),"")</f>
        <v/>
      </c>
      <c r="F24" s="29"/>
      <c r="G24" s="24"/>
      <c r="H24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24" s="29" t="str">
        <f>IFERROR(TABELA_MISCELÂNEA[[#This Row],[QTD.]]*IF(TABELA_MISCELÂNEA[[#This Row],[PREÇO MÉDIO R$]]="SEM VALOR DE REFERÊNCIA","0",TABELA_MISCELÂNEA[[#This Row],[PREÇO MÉDIO R$]]),"0")</f>
        <v>0</v>
      </c>
      <c r="J24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25" spans="2:10" x14ac:dyDescent="0.25">
      <c r="B25" s="23" t="str">
        <f>IF(TABELA_MISCELÂNEA[[#This Row],[DESCRIÇÃO]]&lt;&gt;"",MAX($B$8:B24)+1,"")</f>
        <v/>
      </c>
      <c r="C25" s="41"/>
      <c r="D25" s="29" t="str">
        <f>IFERROR(VLOOKUP(TABELA_MISCELÂNEA[[#This Row],[DESCRIÇÃO]],'TABELA MÃE'!D:E,2,FALSE),"")</f>
        <v/>
      </c>
      <c r="E25" s="29" t="str">
        <f>IFERROR(VLOOKUP(TABELA_MISCELÂNEA[[#This Row],[DESCRIÇÃO]],'TABELA MÃE'!D:F,3,FALSE),"")</f>
        <v/>
      </c>
      <c r="F25" s="29"/>
      <c r="G25" s="24"/>
      <c r="H25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25" s="29" t="str">
        <f>IFERROR(TABELA_MISCELÂNEA[[#This Row],[QTD.]]*IF(TABELA_MISCELÂNEA[[#This Row],[PREÇO MÉDIO R$]]="SEM VALOR DE REFERÊNCIA","0",TABELA_MISCELÂNEA[[#This Row],[PREÇO MÉDIO R$]]),"0")</f>
        <v>0</v>
      </c>
      <c r="J25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26" spans="2:10" x14ac:dyDescent="0.25">
      <c r="B26" s="23" t="str">
        <f>IF(TABELA_MISCELÂNEA[[#This Row],[DESCRIÇÃO]]&lt;&gt;"",MAX($B$8:B25)+1,"")</f>
        <v/>
      </c>
      <c r="C26" s="41"/>
      <c r="D26" s="29" t="str">
        <f>IFERROR(VLOOKUP(TABELA_MISCELÂNEA[[#This Row],[DESCRIÇÃO]],'TABELA MÃE'!D:E,2,FALSE),"")</f>
        <v/>
      </c>
      <c r="E26" s="29" t="str">
        <f>IFERROR(VLOOKUP(TABELA_MISCELÂNEA[[#This Row],[DESCRIÇÃO]],'TABELA MÃE'!D:F,3,FALSE),"")</f>
        <v/>
      </c>
      <c r="F26" s="29"/>
      <c r="G26" s="24"/>
      <c r="H26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26" s="29" t="str">
        <f>IFERROR(TABELA_MISCELÂNEA[[#This Row],[QTD.]]*IF(TABELA_MISCELÂNEA[[#This Row],[PREÇO MÉDIO R$]]="SEM VALOR DE REFERÊNCIA","0",TABELA_MISCELÂNEA[[#This Row],[PREÇO MÉDIO R$]]),"0")</f>
        <v>0</v>
      </c>
      <c r="J26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27" spans="2:10" x14ac:dyDescent="0.25">
      <c r="B27" s="23" t="str">
        <f>IF(TABELA_MISCELÂNEA[[#This Row],[DESCRIÇÃO]]&lt;&gt;"",MAX($B$8:B26)+1,"")</f>
        <v/>
      </c>
      <c r="C27" s="41"/>
      <c r="D27" s="29" t="str">
        <f>IFERROR(VLOOKUP(TABELA_MISCELÂNEA[[#This Row],[DESCRIÇÃO]],'TABELA MÃE'!D:E,2,FALSE),"")</f>
        <v/>
      </c>
      <c r="E27" s="29" t="str">
        <f>IFERROR(VLOOKUP(TABELA_MISCELÂNEA[[#This Row],[DESCRIÇÃO]],'TABELA MÃE'!D:F,3,FALSE),"")</f>
        <v/>
      </c>
      <c r="F27" s="29"/>
      <c r="G27" s="24"/>
      <c r="H27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27" s="29" t="str">
        <f>IFERROR(TABELA_MISCELÂNEA[[#This Row],[QTD.]]*IF(TABELA_MISCELÂNEA[[#This Row],[PREÇO MÉDIO R$]]="SEM VALOR DE REFERÊNCIA","0",TABELA_MISCELÂNEA[[#This Row],[PREÇO MÉDIO R$]]),"0")</f>
        <v>0</v>
      </c>
      <c r="J27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28" spans="2:10" x14ac:dyDescent="0.25">
      <c r="B28" s="23" t="str">
        <f>IF(TABELA_MISCELÂNEA[[#This Row],[DESCRIÇÃO]]&lt;&gt;"",MAX($B$8:B27)+1,"")</f>
        <v/>
      </c>
      <c r="C28" s="41"/>
      <c r="D28" s="29" t="str">
        <f>IFERROR(VLOOKUP(TABELA_MISCELÂNEA[[#This Row],[DESCRIÇÃO]],'TABELA MÃE'!D:E,2,FALSE),"")</f>
        <v/>
      </c>
      <c r="E28" s="29" t="str">
        <f>IFERROR(VLOOKUP(TABELA_MISCELÂNEA[[#This Row],[DESCRIÇÃO]],'TABELA MÃE'!D:F,3,FALSE),"")</f>
        <v/>
      </c>
      <c r="F28" s="29"/>
      <c r="G28" s="24"/>
      <c r="H28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28" s="29" t="str">
        <f>IFERROR(TABELA_MISCELÂNEA[[#This Row],[QTD.]]*IF(TABELA_MISCELÂNEA[[#This Row],[PREÇO MÉDIO R$]]="SEM VALOR DE REFERÊNCIA","0",TABELA_MISCELÂNEA[[#This Row],[PREÇO MÉDIO R$]]),"0")</f>
        <v>0</v>
      </c>
      <c r="J28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29" spans="2:10" x14ac:dyDescent="0.25">
      <c r="B29" s="23" t="str">
        <f>IF(TABELA_MISCELÂNEA[[#This Row],[DESCRIÇÃO]]&lt;&gt;"",MAX($B$8:B28)+1,"")</f>
        <v/>
      </c>
      <c r="C29" s="41"/>
      <c r="D29" s="29" t="str">
        <f>IFERROR(VLOOKUP(TABELA_MISCELÂNEA[[#This Row],[DESCRIÇÃO]],'TABELA MÃE'!D:E,2,FALSE),"")</f>
        <v/>
      </c>
      <c r="E29" s="29" t="str">
        <f>IFERROR(VLOOKUP(TABELA_MISCELÂNEA[[#This Row],[DESCRIÇÃO]],'TABELA MÃE'!D:F,3,FALSE),"")</f>
        <v/>
      </c>
      <c r="F29" s="29"/>
      <c r="G29" s="24"/>
      <c r="H29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29" s="29" t="str">
        <f>IFERROR(TABELA_MISCELÂNEA[[#This Row],[QTD.]]*IF(TABELA_MISCELÂNEA[[#This Row],[PREÇO MÉDIO R$]]="SEM VALOR DE REFERÊNCIA","0",TABELA_MISCELÂNEA[[#This Row],[PREÇO MÉDIO R$]]),"0")</f>
        <v>0</v>
      </c>
      <c r="J29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30" spans="2:10" x14ac:dyDescent="0.25">
      <c r="B30" s="23" t="str">
        <f>IF(TABELA_MISCELÂNEA[[#This Row],[DESCRIÇÃO]]&lt;&gt;"",MAX($B$8:B29)+1,"")</f>
        <v/>
      </c>
      <c r="C30" s="41"/>
      <c r="D30" s="29" t="str">
        <f>IFERROR(VLOOKUP(TABELA_MISCELÂNEA[[#This Row],[DESCRIÇÃO]],'TABELA MÃE'!D:E,2,FALSE),"")</f>
        <v/>
      </c>
      <c r="E30" s="29" t="str">
        <f>IFERROR(VLOOKUP(TABELA_MISCELÂNEA[[#This Row],[DESCRIÇÃO]],'TABELA MÃE'!D:F,3,FALSE),"")</f>
        <v/>
      </c>
      <c r="F30" s="29"/>
      <c r="G30" s="24"/>
      <c r="H30" s="29" t="str">
        <f>IFERROR(IF(VLOOKUP(TABELA_MISCELÂNEA[[#This Row],[DESCRIÇÃO]],'TABELA MÃE'!D:H,4,FALSE)&lt;&gt;0,VLOOKUP(TABELA_MISCELÂNEA[[#This Row],[DESCRIÇÃO]],'TABELA MÃE'!D:H,4,FALSE),"SEM VALOR DE REFERÊNCIA"),"")</f>
        <v/>
      </c>
      <c r="I30" s="29" t="str">
        <f>IFERROR(TABELA_MISCELÂNEA[[#This Row],[QTD.]]*IF(TABELA_MISCELÂNEA[[#This Row],[PREÇO MÉDIO R$]]="SEM VALOR DE REFERÊNCIA","0",TABELA_MISCELÂNEA[[#This Row],[PREÇO MÉDIO R$]]),"0")</f>
        <v>0</v>
      </c>
      <c r="J30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  <row r="31" spans="2:10" ht="15.75" thickBot="1" x14ac:dyDescent="0.3">
      <c r="B31" s="40" t="str">
        <f>IF(TABELA_MISCELÂNEA[[#This Row],[DESCRIÇÃO]]&lt;&gt;"",MAX($B$8:B30)+1,"")</f>
        <v/>
      </c>
      <c r="C31" s="36"/>
      <c r="D31" s="31" t="str">
        <f>IFERROR(VLOOKUP(TABELA_MISCELÂNEA[[#This Row],[DESCRIÇÃO]],'TABELA MÃE'!D:E,2,FALSE),"")</f>
        <v/>
      </c>
      <c r="E31" s="31" t="str">
        <f>IFERROR(VLOOKUP(TABELA_MISCELÂNEA[[#This Row],[DESCRIÇÃO]],'TABELA MÃE'!D:F,3,FALSE),"")</f>
        <v/>
      </c>
      <c r="F31" s="31"/>
      <c r="G31" s="42"/>
      <c r="H31" s="31" t="str">
        <f>IFERROR(IF(VLOOKUP(TABELA_MISCELÂNEA[[#This Row],[DESCRIÇÃO]],'TABELA MÃE'!D:H,4,FALSE)&lt;&gt;0,VLOOKUP(TABELA_MISCELÂNEA[[#This Row],[DESCRIÇÃO]],'TABELA MÃE'!D:H,4,FALSE),"SEM VALOR DE REFERÊNCIA"),"")</f>
        <v/>
      </c>
      <c r="I31" s="31" t="str">
        <f>IFERROR(TABELA_MISCELÂNEA[[#This Row],[QTD.]]*IF(TABELA_MISCELÂNEA[[#This Row],[PREÇO MÉDIO R$]]="SEM VALOR DE REFERÊNCIA","0",TABELA_MISCELÂNEA[[#This Row],[PREÇO MÉDIO R$]]),"0")</f>
        <v>0</v>
      </c>
      <c r="J31" s="24" t="str">
        <f>IFERROR(IF(VLOOKUP(TABELA_MISCELÂNEA[[#This Row],[DESCRIÇÃO]],'TABELA MÃE'!D:H,5,FALSE)&lt;&gt;0,VLOOKUP(TABELA_MISCELÂNEA[[#This Row],[DESCRIÇÃO]],'TABELA MÃE'!D:H,5,FALSE),"SEM VALOR DE REFERÊNCIA"),"")</f>
        <v/>
      </c>
    </row>
  </sheetData>
  <mergeCells count="5">
    <mergeCell ref="H6:J6"/>
    <mergeCell ref="H2:H5"/>
    <mergeCell ref="I2:J5"/>
    <mergeCell ref="F2:G5"/>
    <mergeCell ref="B6:G6"/>
  </mergeCells>
  <phoneticPr fontId="2" type="noConversion"/>
  <dataValidations count="1">
    <dataValidation type="list" allowBlank="1" showInputMessage="1" showErrorMessage="1" sqref="C2" xr:uid="{CC1B03AE-76A4-4D11-9FB0-A415E12061F7}">
      <formula1>TABELA</formula1>
    </dataValidation>
  </dataValidation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3652F6-1440-4500-8E7A-27AB2EF4BED9}">
          <x14:formula1>
            <xm:f>OFFSET('TABELA MÃE'!$D$2,MATCH($C$2,'TABELA MÃE'!$A:$A,0)-2,0,COUNTIF('TABELA MÃE'!$A:$A,$C$2),1)</xm:f>
          </x14:formula1>
          <xm:sqref>C8:C31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B8A1-F15F-4E41-9A56-00BA4BFA75E8}">
  <sheetPr codeName="Planilha12"/>
  <dimension ref="B1:J31"/>
  <sheetViews>
    <sheetView workbookViewId="0">
      <selection activeCell="C8" sqref="C8"/>
    </sheetView>
  </sheetViews>
  <sheetFormatPr defaultRowHeight="15" x14ac:dyDescent="0.25"/>
  <cols>
    <col min="2" max="2" width="15" bestFit="1" customWidth="1"/>
    <col min="3" max="3" width="100.7109375" customWidth="1"/>
    <col min="4" max="4" width="32.42578125" bestFit="1" customWidth="1"/>
    <col min="5" max="5" width="8.85546875" bestFit="1" customWidth="1"/>
    <col min="6" max="6" width="10" bestFit="1" customWidth="1"/>
    <col min="7" max="7" width="9.85546875" bestFit="1" customWidth="1"/>
    <col min="8" max="8" width="24.85546875" bestFit="1" customWidth="1"/>
    <col min="9" max="9" width="20.42578125" bestFit="1" customWidth="1"/>
    <col min="10" max="10" width="26.42578125" bestFit="1" customWidth="1"/>
    <col min="12" max="12" width="11.140625" bestFit="1" customWidth="1"/>
  </cols>
  <sheetData>
    <row r="1" spans="2:10" ht="15.75" thickBot="1" x14ac:dyDescent="0.3"/>
    <row r="2" spans="2:10" x14ac:dyDescent="0.25">
      <c r="B2" s="26" t="s">
        <v>163</v>
      </c>
      <c r="C2" s="20" t="s">
        <v>23</v>
      </c>
      <c r="D2" s="27"/>
      <c r="E2" s="27"/>
      <c r="F2" s="84" t="e" vm="1">
        <v>#VALUE!</v>
      </c>
      <c r="G2" s="85"/>
      <c r="H2" s="93" t="s">
        <v>145</v>
      </c>
      <c r="I2" s="164" cm="1">
        <f t="array" ref="I2">SUMPRODUCT(VALUE(IFERROR(TABELA_PPCI[VALOR TOTAL R$],0)))</f>
        <v>0</v>
      </c>
      <c r="J2" s="165"/>
    </row>
    <row r="3" spans="2:10" x14ac:dyDescent="0.25">
      <c r="B3" s="28" t="s">
        <v>133</v>
      </c>
      <c r="C3" s="37" t="str">
        <f>RIGHT('CAPA-LM'!B8,LEN('CAPA-LM'!B8)-4)</f>
        <v>XXXXX</v>
      </c>
      <c r="D3" s="29"/>
      <c r="E3" s="29"/>
      <c r="F3" s="86"/>
      <c r="G3" s="87"/>
      <c r="H3" s="94"/>
      <c r="I3" s="166"/>
      <c r="J3" s="167"/>
    </row>
    <row r="4" spans="2:10" x14ac:dyDescent="0.25">
      <c r="B4" s="28" t="s">
        <v>134</v>
      </c>
      <c r="C4" s="38">
        <f ca="1">TODAY()</f>
        <v>46170</v>
      </c>
      <c r="D4" s="29"/>
      <c r="E4" s="29"/>
      <c r="F4" s="86"/>
      <c r="G4" s="87"/>
      <c r="H4" s="94"/>
      <c r="I4" s="166"/>
      <c r="J4" s="167"/>
    </row>
    <row r="5" spans="2:10" ht="15.75" thickBot="1" x14ac:dyDescent="0.3">
      <c r="B5" s="30" t="s">
        <v>2</v>
      </c>
      <c r="C5" s="25" t="str">
        <f>'CAPA-LM'!C5</f>
        <v>ESTRADA VICINAL RURAL, 0 - ESTÂNCIA MR, ÁREA RURAL, COLIDER - MT</v>
      </c>
      <c r="D5" s="31"/>
      <c r="E5" s="31"/>
      <c r="F5" s="88"/>
      <c r="G5" s="89"/>
      <c r="H5" s="95"/>
      <c r="I5" s="168"/>
      <c r="J5" s="169"/>
    </row>
    <row r="6" spans="2:10" ht="15.75" thickBot="1" x14ac:dyDescent="0.3">
      <c r="B6" s="90" t="s">
        <v>135</v>
      </c>
      <c r="C6" s="91"/>
      <c r="D6" s="91"/>
      <c r="E6" s="91"/>
      <c r="F6" s="91"/>
      <c r="G6" s="92"/>
      <c r="H6" s="91" t="s">
        <v>141</v>
      </c>
      <c r="I6" s="91"/>
      <c r="J6" s="92"/>
    </row>
    <row r="7" spans="2:10" ht="15.75" thickBot="1" x14ac:dyDescent="0.3">
      <c r="B7" s="32" t="s">
        <v>8</v>
      </c>
      <c r="C7" s="33" t="s">
        <v>9</v>
      </c>
      <c r="D7" s="33" t="s">
        <v>29</v>
      </c>
      <c r="E7" s="33" t="s">
        <v>30</v>
      </c>
      <c r="F7" s="33" t="s">
        <v>31</v>
      </c>
      <c r="G7" s="34" t="s">
        <v>32</v>
      </c>
      <c r="H7" s="33" t="s">
        <v>49</v>
      </c>
      <c r="I7" s="33" t="s">
        <v>144</v>
      </c>
      <c r="J7" s="34" t="s">
        <v>33</v>
      </c>
    </row>
    <row r="8" spans="2:10" x14ac:dyDescent="0.25">
      <c r="B8" s="21" t="str">
        <f>IF(TABELA_PPCI[[#This Row],[DESCRIÇÃO]]&lt;&gt;"",1,"")</f>
        <v/>
      </c>
      <c r="C8" s="35"/>
      <c r="D8" s="27" t="str">
        <f>IFERROR(VLOOKUP(TABELA_PPCI[[#This Row],[DESCRIÇÃO]],'TABELA MÃE'!D:E,2,FALSE),"")</f>
        <v/>
      </c>
      <c r="E8" s="27" t="str">
        <f>IFERROR(VLOOKUP(TABELA_PPCI[[#This Row],[DESCRIÇÃO]],'TABELA MÃE'!D:F,3,FALSE),"")</f>
        <v/>
      </c>
      <c r="F8" s="27"/>
      <c r="G8" s="22"/>
      <c r="H8" s="27" t="str">
        <f>IFERROR(IF(VLOOKUP(TABELA_PPCI[[#This Row],[DESCRIÇÃO]],'TABELA MÃE'!D:H,4,FALSE)&lt;&gt;0,VLOOKUP(TABELA_PPCI[[#This Row],[DESCRIÇÃO]],'TABELA MÃE'!D:H,4,FALSE),"SEM VALOR DE REFERÊNCIA"),"")</f>
        <v/>
      </c>
      <c r="I8" s="27" t="str">
        <f>IFERROR(TABELA_PPCI[[#This Row],[QTD.]]*IF(TABELA_PPCI[[#This Row],[PREÇO MÉDIO R$]]="SEM VALOR DE REFERÊNCIA","0",TABELA_PPCI[[#This Row],[PREÇO MÉDIO R$]]),"0")</f>
        <v>0</v>
      </c>
      <c r="J8" s="22" t="str">
        <f>IFERROR(IF(VLOOKUP(TABELA_PPCI[[#This Row],[DESCRIÇÃO]],'TABELA MÃE'!D:H,5,FALSE)&lt;&gt;0,VLOOKUP(TABELA_PPCI[[#This Row],[DESCRIÇÃO]],'TABELA MÃE'!D:H,5,FALSE),"SEM VALOR DE REFERÊNCIA"),"")</f>
        <v/>
      </c>
    </row>
    <row r="9" spans="2:10" x14ac:dyDescent="0.25">
      <c r="B9" s="23" t="str">
        <f>IF(TABELA_PPCI[[#This Row],[DESCRIÇÃO]]&lt;&gt;"",MAX($B$8:B8)+1,"")</f>
        <v/>
      </c>
      <c r="C9" s="41"/>
      <c r="D9" s="29" t="str">
        <f>IFERROR(VLOOKUP(TABELA_PPCI[[#This Row],[DESCRIÇÃO]],'TABELA MÃE'!D:E,2,FALSE),"")</f>
        <v/>
      </c>
      <c r="E9" s="29" t="str">
        <f>IFERROR(VLOOKUP(TABELA_PPCI[[#This Row],[DESCRIÇÃO]],'TABELA MÃE'!D:F,3,FALSE),"")</f>
        <v/>
      </c>
      <c r="F9" s="29"/>
      <c r="G9" s="24"/>
      <c r="H9" s="29" t="str">
        <f>IFERROR(IF(VLOOKUP(TABELA_PPCI[[#This Row],[DESCRIÇÃO]],'TABELA MÃE'!D:H,4,FALSE)&lt;&gt;0,VLOOKUP(TABELA_PPCI[[#This Row],[DESCRIÇÃO]],'TABELA MÃE'!D:H,4,FALSE),"SEM VALOR DE REFERÊNCIA"),"")</f>
        <v/>
      </c>
      <c r="I9" s="29" t="str">
        <f>IFERROR(TABELA_PPCI[[#This Row],[QTD.]]*IF(TABELA_PPCI[[#This Row],[PREÇO MÉDIO R$]]="SEM VALOR DE REFERÊNCIA","0",TABELA_PPCI[[#This Row],[PREÇO MÉDIO R$]]),"0")</f>
        <v>0</v>
      </c>
      <c r="J9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10" spans="2:10" x14ac:dyDescent="0.25">
      <c r="B10" s="23" t="str">
        <f>IF(TABELA_PPCI[[#This Row],[DESCRIÇÃO]]&lt;&gt;"",MAX($B$8:B9)+1,"")</f>
        <v/>
      </c>
      <c r="C10" s="41"/>
      <c r="D10" s="29" t="str">
        <f>IFERROR(VLOOKUP(TABELA_PPCI[[#This Row],[DESCRIÇÃO]],'TABELA MÃE'!D:E,2,FALSE),"")</f>
        <v/>
      </c>
      <c r="E10" s="29" t="str">
        <f>IFERROR(VLOOKUP(TABELA_PPCI[[#This Row],[DESCRIÇÃO]],'TABELA MÃE'!D:F,3,FALSE),"")</f>
        <v/>
      </c>
      <c r="F10" s="29"/>
      <c r="G10" s="24"/>
      <c r="H10" s="29" t="str">
        <f>IFERROR(IF(VLOOKUP(TABELA_PPCI[[#This Row],[DESCRIÇÃO]],'TABELA MÃE'!D:H,4,FALSE)&lt;&gt;0,VLOOKUP(TABELA_PPCI[[#This Row],[DESCRIÇÃO]],'TABELA MÃE'!D:H,4,FALSE),"SEM VALOR DE REFERÊNCIA"),"")</f>
        <v/>
      </c>
      <c r="I10" s="29" t="str">
        <f>IFERROR(TABELA_PPCI[[#This Row],[QTD.]]*IF(TABELA_PPCI[[#This Row],[PREÇO MÉDIO R$]]="SEM VALOR DE REFERÊNCIA","0",TABELA_PPCI[[#This Row],[PREÇO MÉDIO R$]]),"0")</f>
        <v>0</v>
      </c>
      <c r="J10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11" spans="2:10" x14ac:dyDescent="0.25">
      <c r="B11" s="23" t="str">
        <f>IF(TABELA_PPCI[[#This Row],[DESCRIÇÃO]]&lt;&gt;"",MAX($B$8:B10)+1,"")</f>
        <v/>
      </c>
      <c r="C11" s="41"/>
      <c r="D11" s="29" t="str">
        <f>IFERROR(VLOOKUP(TABELA_PPCI[[#This Row],[DESCRIÇÃO]],'TABELA MÃE'!D:E,2,FALSE),"")</f>
        <v/>
      </c>
      <c r="E11" s="29" t="str">
        <f>IFERROR(VLOOKUP(TABELA_PPCI[[#This Row],[DESCRIÇÃO]],'TABELA MÃE'!D:F,3,FALSE),"")</f>
        <v/>
      </c>
      <c r="F11" s="29"/>
      <c r="G11" s="24"/>
      <c r="H11" s="29" t="str">
        <f>IFERROR(IF(VLOOKUP(TABELA_PPCI[[#This Row],[DESCRIÇÃO]],'TABELA MÃE'!D:H,4,FALSE)&lt;&gt;0,VLOOKUP(TABELA_PPCI[[#This Row],[DESCRIÇÃO]],'TABELA MÃE'!D:H,4,FALSE),"SEM VALOR DE REFERÊNCIA"),"")</f>
        <v/>
      </c>
      <c r="I11" s="29" t="str">
        <f>IFERROR(TABELA_PPCI[[#This Row],[QTD.]]*IF(TABELA_PPCI[[#This Row],[PREÇO MÉDIO R$]]="SEM VALOR DE REFERÊNCIA","0",TABELA_PPCI[[#This Row],[PREÇO MÉDIO R$]]),"0")</f>
        <v>0</v>
      </c>
      <c r="J11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12" spans="2:10" x14ac:dyDescent="0.25">
      <c r="B12" s="23" t="str">
        <f>IF(TABELA_PPCI[[#This Row],[DESCRIÇÃO]]&lt;&gt;"",MAX($B$8:B11)+1,"")</f>
        <v/>
      </c>
      <c r="C12" s="41"/>
      <c r="D12" s="29" t="str">
        <f>IFERROR(VLOOKUP(TABELA_PPCI[[#This Row],[DESCRIÇÃO]],'TABELA MÃE'!D:E,2,FALSE),"")</f>
        <v/>
      </c>
      <c r="E12" s="29" t="str">
        <f>IFERROR(VLOOKUP(TABELA_PPCI[[#This Row],[DESCRIÇÃO]],'TABELA MÃE'!D:F,3,FALSE),"")</f>
        <v/>
      </c>
      <c r="F12" s="29"/>
      <c r="G12" s="24"/>
      <c r="H12" s="29" t="str">
        <f>IFERROR(IF(VLOOKUP(TABELA_PPCI[[#This Row],[DESCRIÇÃO]],'TABELA MÃE'!D:H,4,FALSE)&lt;&gt;0,VLOOKUP(TABELA_PPCI[[#This Row],[DESCRIÇÃO]],'TABELA MÃE'!D:H,4,FALSE),"SEM VALOR DE REFERÊNCIA"),"")</f>
        <v/>
      </c>
      <c r="I12" s="29" t="str">
        <f>IFERROR(TABELA_PPCI[[#This Row],[QTD.]]*IF(TABELA_PPCI[[#This Row],[PREÇO MÉDIO R$]]="SEM VALOR DE REFERÊNCIA","0",TABELA_PPCI[[#This Row],[PREÇO MÉDIO R$]]),"0")</f>
        <v>0</v>
      </c>
      <c r="J12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13" spans="2:10" x14ac:dyDescent="0.25">
      <c r="B13" s="23" t="str">
        <f>IF(TABELA_PPCI[[#This Row],[DESCRIÇÃO]]&lt;&gt;"",MAX($B$8:B12)+1,"")</f>
        <v/>
      </c>
      <c r="C13" s="41"/>
      <c r="D13" s="29" t="str">
        <f>IFERROR(VLOOKUP(TABELA_PPCI[[#This Row],[DESCRIÇÃO]],'TABELA MÃE'!D:E,2,FALSE),"")</f>
        <v/>
      </c>
      <c r="E13" s="29" t="str">
        <f>IFERROR(VLOOKUP(TABELA_PPCI[[#This Row],[DESCRIÇÃO]],'TABELA MÃE'!D:F,3,FALSE),"")</f>
        <v/>
      </c>
      <c r="F13" s="29"/>
      <c r="G13" s="24"/>
      <c r="H13" s="29" t="str">
        <f>IFERROR(IF(VLOOKUP(TABELA_PPCI[[#This Row],[DESCRIÇÃO]],'TABELA MÃE'!D:H,4,FALSE)&lt;&gt;0,VLOOKUP(TABELA_PPCI[[#This Row],[DESCRIÇÃO]],'TABELA MÃE'!D:H,4,FALSE),"SEM VALOR DE REFERÊNCIA"),"")</f>
        <v/>
      </c>
      <c r="I13" s="29" t="str">
        <f>IFERROR(TABELA_PPCI[[#This Row],[QTD.]]*IF(TABELA_PPCI[[#This Row],[PREÇO MÉDIO R$]]="SEM VALOR DE REFERÊNCIA","0",TABELA_PPCI[[#This Row],[PREÇO MÉDIO R$]]),"0")</f>
        <v>0</v>
      </c>
      <c r="J13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14" spans="2:10" x14ac:dyDescent="0.25">
      <c r="B14" s="23" t="str">
        <f>IF(TABELA_PPCI[[#This Row],[DESCRIÇÃO]]&lt;&gt;"",MAX($B$8:B13)+1,"")</f>
        <v/>
      </c>
      <c r="C14" s="41"/>
      <c r="D14" s="29" t="str">
        <f>IFERROR(VLOOKUP(TABELA_PPCI[[#This Row],[DESCRIÇÃO]],'TABELA MÃE'!D:E,2,FALSE),"")</f>
        <v/>
      </c>
      <c r="E14" s="29" t="str">
        <f>IFERROR(VLOOKUP(TABELA_PPCI[[#This Row],[DESCRIÇÃO]],'TABELA MÃE'!D:F,3,FALSE),"")</f>
        <v/>
      </c>
      <c r="F14" s="29"/>
      <c r="G14" s="24"/>
      <c r="H14" s="29" t="str">
        <f>IFERROR(IF(VLOOKUP(TABELA_PPCI[[#This Row],[DESCRIÇÃO]],'TABELA MÃE'!D:H,4,FALSE)&lt;&gt;0,VLOOKUP(TABELA_PPCI[[#This Row],[DESCRIÇÃO]],'TABELA MÃE'!D:H,4,FALSE),"SEM VALOR DE REFERÊNCIA"),"")</f>
        <v/>
      </c>
      <c r="I14" s="29" t="str">
        <f>IFERROR(TABELA_PPCI[[#This Row],[QTD.]]*IF(TABELA_PPCI[[#This Row],[PREÇO MÉDIO R$]]="SEM VALOR DE REFERÊNCIA","0",TABELA_PPCI[[#This Row],[PREÇO MÉDIO R$]]),"0")</f>
        <v>0</v>
      </c>
      <c r="J14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15" spans="2:10" x14ac:dyDescent="0.25">
      <c r="B15" s="23" t="str">
        <f>IF(TABELA_PPCI[[#This Row],[DESCRIÇÃO]]&lt;&gt;"",MAX($B$8:B14)+1,"")</f>
        <v/>
      </c>
      <c r="C15" s="41"/>
      <c r="D15" s="29" t="str">
        <f>IFERROR(VLOOKUP(TABELA_PPCI[[#This Row],[DESCRIÇÃO]],'TABELA MÃE'!D:E,2,FALSE),"")</f>
        <v/>
      </c>
      <c r="E15" s="29" t="str">
        <f>IFERROR(VLOOKUP(TABELA_PPCI[[#This Row],[DESCRIÇÃO]],'TABELA MÃE'!D:F,3,FALSE),"")</f>
        <v/>
      </c>
      <c r="F15" s="29"/>
      <c r="G15" s="24"/>
      <c r="H15" s="29" t="str">
        <f>IFERROR(IF(VLOOKUP(TABELA_PPCI[[#This Row],[DESCRIÇÃO]],'TABELA MÃE'!D:H,4,FALSE)&lt;&gt;0,VLOOKUP(TABELA_PPCI[[#This Row],[DESCRIÇÃO]],'TABELA MÃE'!D:H,4,FALSE),"SEM VALOR DE REFERÊNCIA"),"")</f>
        <v/>
      </c>
      <c r="I15" s="29" t="str">
        <f>IFERROR(TABELA_PPCI[[#This Row],[QTD.]]*IF(TABELA_PPCI[[#This Row],[PREÇO MÉDIO R$]]="SEM VALOR DE REFERÊNCIA","0",TABELA_PPCI[[#This Row],[PREÇO MÉDIO R$]]),"0")</f>
        <v>0</v>
      </c>
      <c r="J15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16" spans="2:10" x14ac:dyDescent="0.25">
      <c r="B16" s="23" t="str">
        <f>IF(TABELA_PPCI[[#This Row],[DESCRIÇÃO]]&lt;&gt;"",MAX($B$8:B15)+1,"")</f>
        <v/>
      </c>
      <c r="C16" s="41"/>
      <c r="D16" s="29" t="str">
        <f>IFERROR(VLOOKUP(TABELA_PPCI[[#This Row],[DESCRIÇÃO]],'TABELA MÃE'!D:E,2,FALSE),"")</f>
        <v/>
      </c>
      <c r="E16" s="29" t="str">
        <f>IFERROR(VLOOKUP(TABELA_PPCI[[#This Row],[DESCRIÇÃO]],'TABELA MÃE'!D:F,3,FALSE),"")</f>
        <v/>
      </c>
      <c r="F16" s="29"/>
      <c r="G16" s="24"/>
      <c r="H16" s="29" t="str">
        <f>IFERROR(IF(VLOOKUP(TABELA_PPCI[[#This Row],[DESCRIÇÃO]],'TABELA MÃE'!D:H,4,FALSE)&lt;&gt;0,VLOOKUP(TABELA_PPCI[[#This Row],[DESCRIÇÃO]],'TABELA MÃE'!D:H,4,FALSE),"SEM VALOR DE REFERÊNCIA"),"")</f>
        <v/>
      </c>
      <c r="I16" s="29" t="str">
        <f>IFERROR(TABELA_PPCI[[#This Row],[QTD.]]*IF(TABELA_PPCI[[#This Row],[PREÇO MÉDIO R$]]="SEM VALOR DE REFERÊNCIA","0",TABELA_PPCI[[#This Row],[PREÇO MÉDIO R$]]),"0")</f>
        <v>0</v>
      </c>
      <c r="J16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17" spans="2:10" x14ac:dyDescent="0.25">
      <c r="B17" s="23" t="str">
        <f>IF(TABELA_PPCI[[#This Row],[DESCRIÇÃO]]&lt;&gt;"",MAX($B$8:B16)+1,"")</f>
        <v/>
      </c>
      <c r="C17" s="41"/>
      <c r="D17" s="29" t="str">
        <f>IFERROR(VLOOKUP(TABELA_PPCI[[#This Row],[DESCRIÇÃO]],'TABELA MÃE'!D:E,2,FALSE),"")</f>
        <v/>
      </c>
      <c r="E17" s="29" t="str">
        <f>IFERROR(VLOOKUP(TABELA_PPCI[[#This Row],[DESCRIÇÃO]],'TABELA MÃE'!D:F,3,FALSE),"")</f>
        <v/>
      </c>
      <c r="F17" s="29"/>
      <c r="G17" s="24"/>
      <c r="H17" s="29" t="str">
        <f>IFERROR(IF(VLOOKUP(TABELA_PPCI[[#This Row],[DESCRIÇÃO]],'TABELA MÃE'!D:H,4,FALSE)&lt;&gt;0,VLOOKUP(TABELA_PPCI[[#This Row],[DESCRIÇÃO]],'TABELA MÃE'!D:H,4,FALSE),"SEM VALOR DE REFERÊNCIA"),"")</f>
        <v/>
      </c>
      <c r="I17" s="29" t="str">
        <f>IFERROR(TABELA_PPCI[[#This Row],[QTD.]]*IF(TABELA_PPCI[[#This Row],[PREÇO MÉDIO R$]]="SEM VALOR DE REFERÊNCIA","0",TABELA_PPCI[[#This Row],[PREÇO MÉDIO R$]]),"0")</f>
        <v>0</v>
      </c>
      <c r="J17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18" spans="2:10" x14ac:dyDescent="0.25">
      <c r="B18" s="23" t="str">
        <f>IF(TABELA_PPCI[[#This Row],[DESCRIÇÃO]]&lt;&gt;"",MAX($B$8:B17)+1,"")</f>
        <v/>
      </c>
      <c r="C18" s="41"/>
      <c r="D18" s="29" t="str">
        <f>IFERROR(VLOOKUP(TABELA_PPCI[[#This Row],[DESCRIÇÃO]],'TABELA MÃE'!D:E,2,FALSE),"")</f>
        <v/>
      </c>
      <c r="E18" s="29" t="str">
        <f>IFERROR(VLOOKUP(TABELA_PPCI[[#This Row],[DESCRIÇÃO]],'TABELA MÃE'!D:F,3,FALSE),"")</f>
        <v/>
      </c>
      <c r="F18" s="29"/>
      <c r="G18" s="24"/>
      <c r="H18" s="29" t="str">
        <f>IFERROR(IF(VLOOKUP(TABELA_PPCI[[#This Row],[DESCRIÇÃO]],'TABELA MÃE'!D:H,4,FALSE)&lt;&gt;0,VLOOKUP(TABELA_PPCI[[#This Row],[DESCRIÇÃO]],'TABELA MÃE'!D:H,4,FALSE),"SEM VALOR DE REFERÊNCIA"),"")</f>
        <v/>
      </c>
      <c r="I18" s="29" t="str">
        <f>IFERROR(TABELA_PPCI[[#This Row],[QTD.]]*IF(TABELA_PPCI[[#This Row],[PREÇO MÉDIO R$]]="SEM VALOR DE REFERÊNCIA","0",TABELA_PPCI[[#This Row],[PREÇO MÉDIO R$]]),"0")</f>
        <v>0</v>
      </c>
      <c r="J18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19" spans="2:10" x14ac:dyDescent="0.25">
      <c r="B19" s="23" t="str">
        <f>IF(TABELA_PPCI[[#This Row],[DESCRIÇÃO]]&lt;&gt;"",MAX($B$8:B18)+1,"")</f>
        <v/>
      </c>
      <c r="C19" s="41"/>
      <c r="D19" s="29" t="str">
        <f>IFERROR(VLOOKUP(TABELA_PPCI[[#This Row],[DESCRIÇÃO]],'TABELA MÃE'!D:E,2,FALSE),"")</f>
        <v/>
      </c>
      <c r="E19" s="29" t="str">
        <f>IFERROR(VLOOKUP(TABELA_PPCI[[#This Row],[DESCRIÇÃO]],'TABELA MÃE'!D:F,3,FALSE),"")</f>
        <v/>
      </c>
      <c r="F19" s="29"/>
      <c r="G19" s="24"/>
      <c r="H19" s="29" t="str">
        <f>IFERROR(IF(VLOOKUP(TABELA_PPCI[[#This Row],[DESCRIÇÃO]],'TABELA MÃE'!D:H,4,FALSE)&lt;&gt;0,VLOOKUP(TABELA_PPCI[[#This Row],[DESCRIÇÃO]],'TABELA MÃE'!D:H,4,FALSE),"SEM VALOR DE REFERÊNCIA"),"")</f>
        <v/>
      </c>
      <c r="I19" s="29" t="str">
        <f>IFERROR(TABELA_PPCI[[#This Row],[QTD.]]*IF(TABELA_PPCI[[#This Row],[PREÇO MÉDIO R$]]="SEM VALOR DE REFERÊNCIA","0",TABELA_PPCI[[#This Row],[PREÇO MÉDIO R$]]),"0")</f>
        <v>0</v>
      </c>
      <c r="J19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20" spans="2:10" x14ac:dyDescent="0.25">
      <c r="B20" s="23" t="str">
        <f>IF(TABELA_PPCI[[#This Row],[DESCRIÇÃO]]&lt;&gt;"",MAX($B$8:B19)+1,"")</f>
        <v/>
      </c>
      <c r="C20" s="41"/>
      <c r="D20" s="29" t="str">
        <f>IFERROR(VLOOKUP(TABELA_PPCI[[#This Row],[DESCRIÇÃO]],'TABELA MÃE'!D:E,2,FALSE),"")</f>
        <v/>
      </c>
      <c r="E20" s="29" t="str">
        <f>IFERROR(VLOOKUP(TABELA_PPCI[[#This Row],[DESCRIÇÃO]],'TABELA MÃE'!D:F,3,FALSE),"")</f>
        <v/>
      </c>
      <c r="F20" s="29"/>
      <c r="G20" s="24"/>
      <c r="H20" s="29" t="str">
        <f>IFERROR(IF(VLOOKUP(TABELA_PPCI[[#This Row],[DESCRIÇÃO]],'TABELA MÃE'!D:H,4,FALSE)&lt;&gt;0,VLOOKUP(TABELA_PPCI[[#This Row],[DESCRIÇÃO]],'TABELA MÃE'!D:H,4,FALSE),"SEM VALOR DE REFERÊNCIA"),"")</f>
        <v/>
      </c>
      <c r="I20" s="29" t="str">
        <f>IFERROR(TABELA_PPCI[[#This Row],[QTD.]]*IF(TABELA_PPCI[[#This Row],[PREÇO MÉDIO R$]]="SEM VALOR DE REFERÊNCIA","0",TABELA_PPCI[[#This Row],[PREÇO MÉDIO R$]]),"0")</f>
        <v>0</v>
      </c>
      <c r="J20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21" spans="2:10" x14ac:dyDescent="0.25">
      <c r="B21" s="23" t="str">
        <f>IF(TABELA_PPCI[[#This Row],[DESCRIÇÃO]]&lt;&gt;"",MAX($B$8:B20)+1,"")</f>
        <v/>
      </c>
      <c r="C21" s="41"/>
      <c r="D21" s="29" t="str">
        <f>IFERROR(VLOOKUP(TABELA_PPCI[[#This Row],[DESCRIÇÃO]],'TABELA MÃE'!D:E,2,FALSE),"")</f>
        <v/>
      </c>
      <c r="E21" s="29" t="str">
        <f>IFERROR(VLOOKUP(TABELA_PPCI[[#This Row],[DESCRIÇÃO]],'TABELA MÃE'!D:F,3,FALSE),"")</f>
        <v/>
      </c>
      <c r="F21" s="29"/>
      <c r="G21" s="24"/>
      <c r="H21" s="29" t="str">
        <f>IFERROR(IF(VLOOKUP(TABELA_PPCI[[#This Row],[DESCRIÇÃO]],'TABELA MÃE'!D:H,4,FALSE)&lt;&gt;0,VLOOKUP(TABELA_PPCI[[#This Row],[DESCRIÇÃO]],'TABELA MÃE'!D:H,4,FALSE),"SEM VALOR DE REFERÊNCIA"),"")</f>
        <v/>
      </c>
      <c r="I21" s="29" t="str">
        <f>IFERROR(TABELA_PPCI[[#This Row],[QTD.]]*IF(TABELA_PPCI[[#This Row],[PREÇO MÉDIO R$]]="SEM VALOR DE REFERÊNCIA","0",TABELA_PPCI[[#This Row],[PREÇO MÉDIO R$]]),"0")</f>
        <v>0</v>
      </c>
      <c r="J21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22" spans="2:10" x14ac:dyDescent="0.25">
      <c r="B22" s="23" t="str">
        <f>IF(TABELA_PPCI[[#This Row],[DESCRIÇÃO]]&lt;&gt;"",MAX($B$8:B21)+1,"")</f>
        <v/>
      </c>
      <c r="C22" s="41"/>
      <c r="D22" s="29" t="str">
        <f>IFERROR(VLOOKUP(TABELA_PPCI[[#This Row],[DESCRIÇÃO]],'TABELA MÃE'!D:E,2,FALSE),"")</f>
        <v/>
      </c>
      <c r="E22" s="29" t="str">
        <f>IFERROR(VLOOKUP(TABELA_PPCI[[#This Row],[DESCRIÇÃO]],'TABELA MÃE'!D:F,3,FALSE),"")</f>
        <v/>
      </c>
      <c r="F22" s="29"/>
      <c r="G22" s="24"/>
      <c r="H22" s="29" t="str">
        <f>IFERROR(IF(VLOOKUP(TABELA_PPCI[[#This Row],[DESCRIÇÃO]],'TABELA MÃE'!D:H,4,FALSE)&lt;&gt;0,VLOOKUP(TABELA_PPCI[[#This Row],[DESCRIÇÃO]],'TABELA MÃE'!D:H,4,FALSE),"SEM VALOR DE REFERÊNCIA"),"")</f>
        <v/>
      </c>
      <c r="I22" s="29" t="str">
        <f>IFERROR(TABELA_PPCI[[#This Row],[QTD.]]*IF(TABELA_PPCI[[#This Row],[PREÇO MÉDIO R$]]="SEM VALOR DE REFERÊNCIA","0",TABELA_PPCI[[#This Row],[PREÇO MÉDIO R$]]),"0")</f>
        <v>0</v>
      </c>
      <c r="J22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23" spans="2:10" x14ac:dyDescent="0.25">
      <c r="B23" s="23" t="str">
        <f>IF(TABELA_PPCI[[#This Row],[DESCRIÇÃO]]&lt;&gt;"",MAX($B$8:B22)+1,"")</f>
        <v/>
      </c>
      <c r="C23" s="41"/>
      <c r="D23" s="29" t="str">
        <f>IFERROR(VLOOKUP(TABELA_PPCI[[#This Row],[DESCRIÇÃO]],'TABELA MÃE'!D:E,2,FALSE),"")</f>
        <v/>
      </c>
      <c r="E23" s="29" t="str">
        <f>IFERROR(VLOOKUP(TABELA_PPCI[[#This Row],[DESCRIÇÃO]],'TABELA MÃE'!D:F,3,FALSE),"")</f>
        <v/>
      </c>
      <c r="F23" s="29"/>
      <c r="G23" s="24"/>
      <c r="H23" s="29" t="str">
        <f>IFERROR(IF(VLOOKUP(TABELA_PPCI[[#This Row],[DESCRIÇÃO]],'TABELA MÃE'!D:H,4,FALSE)&lt;&gt;0,VLOOKUP(TABELA_PPCI[[#This Row],[DESCRIÇÃO]],'TABELA MÃE'!D:H,4,FALSE),"SEM VALOR DE REFERÊNCIA"),"")</f>
        <v/>
      </c>
      <c r="I23" s="29" t="str">
        <f>IFERROR(TABELA_PPCI[[#This Row],[QTD.]]*IF(TABELA_PPCI[[#This Row],[PREÇO MÉDIO R$]]="SEM VALOR DE REFERÊNCIA","0",TABELA_PPCI[[#This Row],[PREÇO MÉDIO R$]]),"0")</f>
        <v>0</v>
      </c>
      <c r="J23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24" spans="2:10" x14ac:dyDescent="0.25">
      <c r="B24" s="23" t="str">
        <f>IF(TABELA_PPCI[[#This Row],[DESCRIÇÃO]]&lt;&gt;"",MAX($B$8:B23)+1,"")</f>
        <v/>
      </c>
      <c r="C24" s="41"/>
      <c r="D24" s="29" t="str">
        <f>IFERROR(VLOOKUP(TABELA_PPCI[[#This Row],[DESCRIÇÃO]],'TABELA MÃE'!D:E,2,FALSE),"")</f>
        <v/>
      </c>
      <c r="E24" s="29" t="str">
        <f>IFERROR(VLOOKUP(TABELA_PPCI[[#This Row],[DESCRIÇÃO]],'TABELA MÃE'!D:F,3,FALSE),"")</f>
        <v/>
      </c>
      <c r="F24" s="29"/>
      <c r="G24" s="24"/>
      <c r="H24" s="29" t="str">
        <f>IFERROR(IF(VLOOKUP(TABELA_PPCI[[#This Row],[DESCRIÇÃO]],'TABELA MÃE'!D:H,4,FALSE)&lt;&gt;0,VLOOKUP(TABELA_PPCI[[#This Row],[DESCRIÇÃO]],'TABELA MÃE'!D:H,4,FALSE),"SEM VALOR DE REFERÊNCIA"),"")</f>
        <v/>
      </c>
      <c r="I24" s="29" t="str">
        <f>IFERROR(TABELA_PPCI[[#This Row],[QTD.]]*IF(TABELA_PPCI[[#This Row],[PREÇO MÉDIO R$]]="SEM VALOR DE REFERÊNCIA","0",TABELA_PPCI[[#This Row],[PREÇO MÉDIO R$]]),"0")</f>
        <v>0</v>
      </c>
      <c r="J24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25" spans="2:10" x14ac:dyDescent="0.25">
      <c r="B25" s="23" t="str">
        <f>IF(TABELA_PPCI[[#This Row],[DESCRIÇÃO]]&lt;&gt;"",MAX($B$8:B24)+1,"")</f>
        <v/>
      </c>
      <c r="C25" s="41"/>
      <c r="D25" s="29" t="str">
        <f>IFERROR(VLOOKUP(TABELA_PPCI[[#This Row],[DESCRIÇÃO]],'TABELA MÃE'!D:E,2,FALSE),"")</f>
        <v/>
      </c>
      <c r="E25" s="29" t="str">
        <f>IFERROR(VLOOKUP(TABELA_PPCI[[#This Row],[DESCRIÇÃO]],'TABELA MÃE'!D:F,3,FALSE),"")</f>
        <v/>
      </c>
      <c r="F25" s="29"/>
      <c r="G25" s="24"/>
      <c r="H25" s="29" t="str">
        <f>IFERROR(IF(VLOOKUP(TABELA_PPCI[[#This Row],[DESCRIÇÃO]],'TABELA MÃE'!D:H,4,FALSE)&lt;&gt;0,VLOOKUP(TABELA_PPCI[[#This Row],[DESCRIÇÃO]],'TABELA MÃE'!D:H,4,FALSE),"SEM VALOR DE REFERÊNCIA"),"")</f>
        <v/>
      </c>
      <c r="I25" s="29" t="str">
        <f>IFERROR(TABELA_PPCI[[#This Row],[QTD.]]*IF(TABELA_PPCI[[#This Row],[PREÇO MÉDIO R$]]="SEM VALOR DE REFERÊNCIA","0",TABELA_PPCI[[#This Row],[PREÇO MÉDIO R$]]),"0")</f>
        <v>0</v>
      </c>
      <c r="J25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26" spans="2:10" x14ac:dyDescent="0.25">
      <c r="B26" s="23" t="str">
        <f>IF(TABELA_PPCI[[#This Row],[DESCRIÇÃO]]&lt;&gt;"",MAX($B$8:B25)+1,"")</f>
        <v/>
      </c>
      <c r="C26" s="41"/>
      <c r="D26" s="29" t="str">
        <f>IFERROR(VLOOKUP(TABELA_PPCI[[#This Row],[DESCRIÇÃO]],'TABELA MÃE'!D:E,2,FALSE),"")</f>
        <v/>
      </c>
      <c r="E26" s="29" t="str">
        <f>IFERROR(VLOOKUP(TABELA_PPCI[[#This Row],[DESCRIÇÃO]],'TABELA MÃE'!D:F,3,FALSE),"")</f>
        <v/>
      </c>
      <c r="F26" s="29"/>
      <c r="G26" s="24"/>
      <c r="H26" s="29" t="str">
        <f>IFERROR(IF(VLOOKUP(TABELA_PPCI[[#This Row],[DESCRIÇÃO]],'TABELA MÃE'!D:H,4,FALSE)&lt;&gt;0,VLOOKUP(TABELA_PPCI[[#This Row],[DESCRIÇÃO]],'TABELA MÃE'!D:H,4,FALSE),"SEM VALOR DE REFERÊNCIA"),"")</f>
        <v/>
      </c>
      <c r="I26" s="29" t="str">
        <f>IFERROR(TABELA_PPCI[[#This Row],[QTD.]]*IF(TABELA_PPCI[[#This Row],[PREÇO MÉDIO R$]]="SEM VALOR DE REFERÊNCIA","0",TABELA_PPCI[[#This Row],[PREÇO MÉDIO R$]]),"0")</f>
        <v>0</v>
      </c>
      <c r="J26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27" spans="2:10" x14ac:dyDescent="0.25">
      <c r="B27" s="23" t="str">
        <f>IF(TABELA_PPCI[[#This Row],[DESCRIÇÃO]]&lt;&gt;"",MAX($B$8:B26)+1,"")</f>
        <v/>
      </c>
      <c r="C27" s="41"/>
      <c r="D27" s="29" t="str">
        <f>IFERROR(VLOOKUP(TABELA_PPCI[[#This Row],[DESCRIÇÃO]],'TABELA MÃE'!D:E,2,FALSE),"")</f>
        <v/>
      </c>
      <c r="E27" s="29" t="str">
        <f>IFERROR(VLOOKUP(TABELA_PPCI[[#This Row],[DESCRIÇÃO]],'TABELA MÃE'!D:F,3,FALSE),"")</f>
        <v/>
      </c>
      <c r="F27" s="29"/>
      <c r="G27" s="24"/>
      <c r="H27" s="29" t="str">
        <f>IFERROR(IF(VLOOKUP(TABELA_PPCI[[#This Row],[DESCRIÇÃO]],'TABELA MÃE'!D:H,4,FALSE)&lt;&gt;0,VLOOKUP(TABELA_PPCI[[#This Row],[DESCRIÇÃO]],'TABELA MÃE'!D:H,4,FALSE),"SEM VALOR DE REFERÊNCIA"),"")</f>
        <v/>
      </c>
      <c r="I27" s="29" t="str">
        <f>IFERROR(TABELA_PPCI[[#This Row],[QTD.]]*IF(TABELA_PPCI[[#This Row],[PREÇO MÉDIO R$]]="SEM VALOR DE REFERÊNCIA","0",TABELA_PPCI[[#This Row],[PREÇO MÉDIO R$]]),"0")</f>
        <v>0</v>
      </c>
      <c r="J27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28" spans="2:10" x14ac:dyDescent="0.25">
      <c r="B28" s="23" t="str">
        <f>IF(TABELA_PPCI[[#This Row],[DESCRIÇÃO]]&lt;&gt;"",MAX($B$8:B27)+1,"")</f>
        <v/>
      </c>
      <c r="C28" s="41"/>
      <c r="D28" s="29" t="str">
        <f>IFERROR(VLOOKUP(TABELA_PPCI[[#This Row],[DESCRIÇÃO]],'TABELA MÃE'!D:E,2,FALSE),"")</f>
        <v/>
      </c>
      <c r="E28" s="29" t="str">
        <f>IFERROR(VLOOKUP(TABELA_PPCI[[#This Row],[DESCRIÇÃO]],'TABELA MÃE'!D:F,3,FALSE),"")</f>
        <v/>
      </c>
      <c r="F28" s="29"/>
      <c r="G28" s="24"/>
      <c r="H28" s="29" t="str">
        <f>IFERROR(IF(VLOOKUP(TABELA_PPCI[[#This Row],[DESCRIÇÃO]],'TABELA MÃE'!D:H,4,FALSE)&lt;&gt;0,VLOOKUP(TABELA_PPCI[[#This Row],[DESCRIÇÃO]],'TABELA MÃE'!D:H,4,FALSE),"SEM VALOR DE REFERÊNCIA"),"")</f>
        <v/>
      </c>
      <c r="I28" s="29" t="str">
        <f>IFERROR(TABELA_PPCI[[#This Row],[QTD.]]*IF(TABELA_PPCI[[#This Row],[PREÇO MÉDIO R$]]="SEM VALOR DE REFERÊNCIA","0",TABELA_PPCI[[#This Row],[PREÇO MÉDIO R$]]),"0")</f>
        <v>0</v>
      </c>
      <c r="J28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29" spans="2:10" x14ac:dyDescent="0.25">
      <c r="B29" s="23" t="str">
        <f>IF(TABELA_PPCI[[#This Row],[DESCRIÇÃO]]&lt;&gt;"",MAX($B$8:B28)+1,"")</f>
        <v/>
      </c>
      <c r="C29" s="41"/>
      <c r="D29" s="29" t="str">
        <f>IFERROR(VLOOKUP(TABELA_PPCI[[#This Row],[DESCRIÇÃO]],'TABELA MÃE'!D:E,2,FALSE),"")</f>
        <v/>
      </c>
      <c r="E29" s="29" t="str">
        <f>IFERROR(VLOOKUP(TABELA_PPCI[[#This Row],[DESCRIÇÃO]],'TABELA MÃE'!D:F,3,FALSE),"")</f>
        <v/>
      </c>
      <c r="F29" s="29"/>
      <c r="G29" s="24"/>
      <c r="H29" s="29" t="str">
        <f>IFERROR(IF(VLOOKUP(TABELA_PPCI[[#This Row],[DESCRIÇÃO]],'TABELA MÃE'!D:H,4,FALSE)&lt;&gt;0,VLOOKUP(TABELA_PPCI[[#This Row],[DESCRIÇÃO]],'TABELA MÃE'!D:H,4,FALSE),"SEM VALOR DE REFERÊNCIA"),"")</f>
        <v/>
      </c>
      <c r="I29" s="29" t="str">
        <f>IFERROR(TABELA_PPCI[[#This Row],[QTD.]]*IF(TABELA_PPCI[[#This Row],[PREÇO MÉDIO R$]]="SEM VALOR DE REFERÊNCIA","0",TABELA_PPCI[[#This Row],[PREÇO MÉDIO R$]]),"0")</f>
        <v>0</v>
      </c>
      <c r="J29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30" spans="2:10" x14ac:dyDescent="0.25">
      <c r="B30" s="23" t="str">
        <f>IF(TABELA_PPCI[[#This Row],[DESCRIÇÃO]]&lt;&gt;"",MAX($B$8:B29)+1,"")</f>
        <v/>
      </c>
      <c r="C30" s="41"/>
      <c r="D30" s="29" t="str">
        <f>IFERROR(VLOOKUP(TABELA_PPCI[[#This Row],[DESCRIÇÃO]],'TABELA MÃE'!D:E,2,FALSE),"")</f>
        <v/>
      </c>
      <c r="E30" s="29" t="str">
        <f>IFERROR(VLOOKUP(TABELA_PPCI[[#This Row],[DESCRIÇÃO]],'TABELA MÃE'!D:F,3,FALSE),"")</f>
        <v/>
      </c>
      <c r="F30" s="29"/>
      <c r="G30" s="24"/>
      <c r="H30" s="29" t="str">
        <f>IFERROR(IF(VLOOKUP(TABELA_PPCI[[#This Row],[DESCRIÇÃO]],'TABELA MÃE'!D:H,4,FALSE)&lt;&gt;0,VLOOKUP(TABELA_PPCI[[#This Row],[DESCRIÇÃO]],'TABELA MÃE'!D:H,4,FALSE),"SEM VALOR DE REFERÊNCIA"),"")</f>
        <v/>
      </c>
      <c r="I30" s="29" t="str">
        <f>IFERROR(TABELA_PPCI[[#This Row],[QTD.]]*IF(TABELA_PPCI[[#This Row],[PREÇO MÉDIO R$]]="SEM VALOR DE REFERÊNCIA","0",TABELA_PPCI[[#This Row],[PREÇO MÉDIO R$]]),"0")</f>
        <v>0</v>
      </c>
      <c r="J30" s="24" t="str">
        <f>IFERROR(IF(VLOOKUP(TABELA_PPCI[[#This Row],[DESCRIÇÃO]],'TABELA MÃE'!D:H,5,FALSE)&lt;&gt;0,VLOOKUP(TABELA_PPCI[[#This Row],[DESCRIÇÃO]],'TABELA MÃE'!D:H,5,FALSE),"SEM VALOR DE REFERÊNCIA"),"")</f>
        <v/>
      </c>
    </row>
    <row r="31" spans="2:10" ht="15.75" thickBot="1" x14ac:dyDescent="0.3">
      <c r="B31" s="40" t="str">
        <f>IF(TABELA_PPCI[[#This Row],[DESCRIÇÃO]]&lt;&gt;"",MAX($B$8:B30)+1,"")</f>
        <v/>
      </c>
      <c r="C31" s="36"/>
      <c r="D31" s="31" t="str">
        <f>IFERROR(VLOOKUP(TABELA_PPCI[[#This Row],[DESCRIÇÃO]],'TABELA MÃE'!D:E,2,FALSE),"")</f>
        <v/>
      </c>
      <c r="E31" s="31" t="str">
        <f>IFERROR(VLOOKUP(TABELA_PPCI[[#This Row],[DESCRIÇÃO]],'TABELA MÃE'!D:F,3,FALSE),"")</f>
        <v/>
      </c>
      <c r="F31" s="31"/>
      <c r="G31" s="42"/>
      <c r="H31" s="31" t="str">
        <f>IFERROR(IF(VLOOKUP(TABELA_PPCI[[#This Row],[DESCRIÇÃO]],'TABELA MÃE'!D:H,4,FALSE)&lt;&gt;0,VLOOKUP(TABELA_PPCI[[#This Row],[DESCRIÇÃO]],'TABELA MÃE'!D:H,4,FALSE),"SEM VALOR DE REFERÊNCIA"),"")</f>
        <v/>
      </c>
      <c r="I31" s="31" t="str">
        <f>IFERROR(TABELA_PPCI[[#This Row],[QTD.]]*IF(TABELA_PPCI[[#This Row],[PREÇO MÉDIO R$]]="SEM VALOR DE REFERÊNCIA","0",TABELA_PPCI[[#This Row],[PREÇO MÉDIO R$]]),"0")</f>
        <v>0</v>
      </c>
      <c r="J31" s="24" t="str">
        <f>IFERROR(IF(VLOOKUP(TABELA_PPCI[[#This Row],[DESCRIÇÃO]],'TABELA MÃE'!D:H,5,FALSE)&lt;&gt;0,VLOOKUP(TABELA_PPCI[[#This Row],[DESCRIÇÃO]],'TABELA MÃE'!D:H,5,FALSE),"SEM VALOR DE REFERÊNCIA"),"")</f>
        <v/>
      </c>
    </row>
  </sheetData>
  <mergeCells count="5">
    <mergeCell ref="F2:G5"/>
    <mergeCell ref="B6:G6"/>
    <mergeCell ref="H6:J6"/>
    <mergeCell ref="H2:H5"/>
    <mergeCell ref="I2:J5"/>
  </mergeCells>
  <dataValidations count="1">
    <dataValidation type="list" allowBlank="1" showInputMessage="1" showErrorMessage="1" sqref="C2" xr:uid="{B6493F4C-E21D-4D87-8F6A-78DEBB89C864}">
      <formula1>TABELA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E0E1F7-AA88-41E9-A5EC-A2214EB423CD}">
          <x14:formula1>
            <xm:f>OFFSET('TABELA MÃE'!$D$2,MATCH($C$2,'TABELA MÃE'!$A:$A,0)-2,0,COUNTIF('TABELA MÃE'!$A:$A,$C$2),1)</xm:f>
          </x14:formula1>
          <xm:sqref>C8:C31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BABC-81DC-4015-BEDF-40B5447552FC}">
  <sheetPr codeName="Planilha13"/>
  <dimension ref="B1:J31"/>
  <sheetViews>
    <sheetView workbookViewId="0">
      <selection activeCell="F8" sqref="F8:F11"/>
    </sheetView>
  </sheetViews>
  <sheetFormatPr defaultRowHeight="15" x14ac:dyDescent="0.25"/>
  <cols>
    <col min="2" max="2" width="15" bestFit="1" customWidth="1"/>
    <col min="3" max="3" width="100.7109375" customWidth="1"/>
    <col min="4" max="4" width="32.42578125" bestFit="1" customWidth="1"/>
    <col min="5" max="5" width="8.85546875" bestFit="1" customWidth="1"/>
    <col min="6" max="6" width="10" bestFit="1" customWidth="1"/>
    <col min="7" max="7" width="9.85546875" bestFit="1" customWidth="1"/>
    <col min="8" max="8" width="24.85546875" bestFit="1" customWidth="1"/>
    <col min="9" max="9" width="20.42578125" bestFit="1" customWidth="1"/>
    <col min="10" max="10" width="26.42578125" bestFit="1" customWidth="1"/>
    <col min="12" max="12" width="11.140625" bestFit="1" customWidth="1"/>
  </cols>
  <sheetData>
    <row r="1" spans="2:10" ht="15.75" thickBot="1" x14ac:dyDescent="0.3"/>
    <row r="2" spans="2:10" x14ac:dyDescent="0.25">
      <c r="B2" s="26" t="s">
        <v>163</v>
      </c>
      <c r="C2" s="20" t="s">
        <v>24</v>
      </c>
      <c r="D2" s="27"/>
      <c r="E2" s="27"/>
      <c r="F2" s="84" t="e" vm="1">
        <v>#VALUE!</v>
      </c>
      <c r="G2" s="85"/>
      <c r="H2" s="93" t="s">
        <v>145</v>
      </c>
      <c r="I2" s="164" cm="1">
        <f t="array" ref="I2">SUMPRODUCT(VALUE(IFERROR(TABELA_DRENAGEM[VALOR TOTAL R$],0)))</f>
        <v>0</v>
      </c>
      <c r="J2" s="165"/>
    </row>
    <row r="3" spans="2:10" x14ac:dyDescent="0.25">
      <c r="B3" s="28" t="s">
        <v>133</v>
      </c>
      <c r="C3" s="37" t="str">
        <f>RIGHT('CAPA-LM'!B8,LEN('CAPA-LM'!B8)-4)</f>
        <v>XXXXX</v>
      </c>
      <c r="D3" s="29"/>
      <c r="E3" s="29"/>
      <c r="F3" s="86"/>
      <c r="G3" s="87"/>
      <c r="H3" s="94"/>
      <c r="I3" s="166"/>
      <c r="J3" s="167"/>
    </row>
    <row r="4" spans="2:10" x14ac:dyDescent="0.25">
      <c r="B4" s="28" t="s">
        <v>134</v>
      </c>
      <c r="C4" s="38">
        <f ca="1">TODAY()</f>
        <v>46170</v>
      </c>
      <c r="D4" s="29"/>
      <c r="E4" s="29"/>
      <c r="F4" s="86"/>
      <c r="G4" s="87"/>
      <c r="H4" s="94"/>
      <c r="I4" s="166"/>
      <c r="J4" s="167"/>
    </row>
    <row r="5" spans="2:10" ht="15.75" thickBot="1" x14ac:dyDescent="0.3">
      <c r="B5" s="30" t="s">
        <v>2</v>
      </c>
      <c r="C5" s="25" t="str">
        <f>'CAPA-LM'!C5</f>
        <v>ESTRADA VICINAL RURAL, 0 - ESTÂNCIA MR, ÁREA RURAL, COLIDER - MT</v>
      </c>
      <c r="D5" s="31"/>
      <c r="E5" s="31"/>
      <c r="F5" s="88"/>
      <c r="G5" s="89"/>
      <c r="H5" s="95"/>
      <c r="I5" s="168"/>
      <c r="J5" s="169"/>
    </row>
    <row r="6" spans="2:10" ht="15.75" thickBot="1" x14ac:dyDescent="0.3">
      <c r="B6" s="90" t="s">
        <v>135</v>
      </c>
      <c r="C6" s="91"/>
      <c r="D6" s="91"/>
      <c r="E6" s="91"/>
      <c r="F6" s="91"/>
      <c r="G6" s="92"/>
      <c r="H6" s="91" t="s">
        <v>141</v>
      </c>
      <c r="I6" s="91"/>
      <c r="J6" s="92"/>
    </row>
    <row r="7" spans="2:10" ht="15.75" thickBot="1" x14ac:dyDescent="0.3">
      <c r="B7" s="32" t="s">
        <v>8</v>
      </c>
      <c r="C7" s="33" t="s">
        <v>9</v>
      </c>
      <c r="D7" s="33" t="s">
        <v>29</v>
      </c>
      <c r="E7" s="33" t="s">
        <v>30</v>
      </c>
      <c r="F7" s="33" t="s">
        <v>31</v>
      </c>
      <c r="G7" s="34" t="s">
        <v>32</v>
      </c>
      <c r="H7" s="33" t="s">
        <v>49</v>
      </c>
      <c r="I7" s="33" t="s">
        <v>144</v>
      </c>
      <c r="J7" s="34" t="s">
        <v>33</v>
      </c>
    </row>
    <row r="8" spans="2:10" x14ac:dyDescent="0.25">
      <c r="B8" s="21" t="str">
        <f>IF(TABELA_DRENAGEM[[#This Row],[DESCRIÇÃO]]&lt;&gt;"",1,"")</f>
        <v/>
      </c>
      <c r="C8" s="35"/>
      <c r="D8" s="27" t="str">
        <f>IFERROR(VLOOKUP(TABELA_DRENAGEM[[#This Row],[DESCRIÇÃO]],'TABELA MÃE'!D:E,2,FALSE),"")</f>
        <v/>
      </c>
      <c r="E8" s="27" t="str">
        <f>IFERROR(VLOOKUP(TABELA_DRENAGEM[[#This Row],[DESCRIÇÃO]],'TABELA MÃE'!D:F,3,FALSE),"")</f>
        <v/>
      </c>
      <c r="F8" s="27"/>
      <c r="G8" s="22"/>
      <c r="H8" s="27" t="str">
        <f>IFERROR(IF(VLOOKUP(TABELA_DRENAGEM[[#This Row],[DESCRIÇÃO]],'TABELA MÃE'!D:H,4,FALSE)&lt;&gt;0,VLOOKUP(TABELA_DRENAGEM[[#This Row],[DESCRIÇÃO]],'TABELA MÃE'!D:H,4,FALSE),"SEM VALOR DE REFERÊNCIA"),"")</f>
        <v/>
      </c>
      <c r="I8" s="27" t="str">
        <f>IFERROR(TABELA_DRENAGEM[[#This Row],[QTD.]]*IF(TABELA_DRENAGEM[[#This Row],[PREÇO MÉDIO R$]]="SEM VALOR DE REFERÊNCIA","0",TABELA_DRENAGEM[[#This Row],[PREÇO MÉDIO R$]]),"0")</f>
        <v>0</v>
      </c>
      <c r="J8" s="22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9" spans="2:10" x14ac:dyDescent="0.25">
      <c r="B9" s="23" t="str">
        <f>IF(TABELA_DRENAGEM[[#This Row],[DESCRIÇÃO]]&lt;&gt;"",MAX($B$8:B8)+1,"")</f>
        <v/>
      </c>
      <c r="C9" s="41"/>
      <c r="D9" s="29" t="str">
        <f>IFERROR(VLOOKUP(TABELA_DRENAGEM[[#This Row],[DESCRIÇÃO]],'TABELA MÃE'!D:E,2,FALSE),"")</f>
        <v/>
      </c>
      <c r="E9" s="29" t="str">
        <f>IFERROR(VLOOKUP(TABELA_DRENAGEM[[#This Row],[DESCRIÇÃO]],'TABELA MÃE'!D:F,3,FALSE),"")</f>
        <v/>
      </c>
      <c r="F9" s="29"/>
      <c r="G9" s="24"/>
      <c r="H9" s="29" t="str">
        <f>IFERROR(IF(VLOOKUP(TABELA_DRENAGEM[[#This Row],[DESCRIÇÃO]],'TABELA MÃE'!D:H,4,FALSE)&lt;&gt;0,VLOOKUP(TABELA_DRENAGEM[[#This Row],[DESCRIÇÃO]],'TABELA MÃE'!D:H,4,FALSE),"SEM VALOR DE REFERÊNCIA"),"")</f>
        <v/>
      </c>
      <c r="I9" s="29" t="str">
        <f>IFERROR(TABELA_DRENAGEM[[#This Row],[QTD.]]*IF(TABELA_DRENAGEM[[#This Row],[PREÇO MÉDIO R$]]="SEM VALOR DE REFERÊNCIA","0",TABELA_DRENAGEM[[#This Row],[PREÇO MÉDIO R$]]),"0")</f>
        <v>0</v>
      </c>
      <c r="J9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10" spans="2:10" x14ac:dyDescent="0.25">
      <c r="B10" s="23" t="str">
        <f>IF(TABELA_DRENAGEM[[#This Row],[DESCRIÇÃO]]&lt;&gt;"",MAX($B$8:B9)+1,"")</f>
        <v/>
      </c>
      <c r="C10" s="41"/>
      <c r="D10" s="29" t="str">
        <f>IFERROR(VLOOKUP(TABELA_DRENAGEM[[#This Row],[DESCRIÇÃO]],'TABELA MÃE'!D:E,2,FALSE),"")</f>
        <v/>
      </c>
      <c r="E10" s="29" t="str">
        <f>IFERROR(VLOOKUP(TABELA_DRENAGEM[[#This Row],[DESCRIÇÃO]],'TABELA MÃE'!D:F,3,FALSE),"")</f>
        <v/>
      </c>
      <c r="F10" s="29"/>
      <c r="G10" s="24"/>
      <c r="H10" s="29" t="str">
        <f>IFERROR(IF(VLOOKUP(TABELA_DRENAGEM[[#This Row],[DESCRIÇÃO]],'TABELA MÃE'!D:H,4,FALSE)&lt;&gt;0,VLOOKUP(TABELA_DRENAGEM[[#This Row],[DESCRIÇÃO]],'TABELA MÃE'!D:H,4,FALSE),"SEM VALOR DE REFERÊNCIA"),"")</f>
        <v/>
      </c>
      <c r="I10" s="29" t="str">
        <f>IFERROR(TABELA_DRENAGEM[[#This Row],[QTD.]]*IF(TABELA_DRENAGEM[[#This Row],[PREÇO MÉDIO R$]]="SEM VALOR DE REFERÊNCIA","0",TABELA_DRENAGEM[[#This Row],[PREÇO MÉDIO R$]]),"0")</f>
        <v>0</v>
      </c>
      <c r="J10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11" spans="2:10" x14ac:dyDescent="0.25">
      <c r="B11" s="23" t="str">
        <f>IF(TABELA_DRENAGEM[[#This Row],[DESCRIÇÃO]]&lt;&gt;"",MAX($B$8:B10)+1,"")</f>
        <v/>
      </c>
      <c r="C11" s="41"/>
      <c r="D11" s="29" t="str">
        <f>IFERROR(VLOOKUP(TABELA_DRENAGEM[[#This Row],[DESCRIÇÃO]],'TABELA MÃE'!D:E,2,FALSE),"")</f>
        <v/>
      </c>
      <c r="E11" s="29" t="str">
        <f>IFERROR(VLOOKUP(TABELA_DRENAGEM[[#This Row],[DESCRIÇÃO]],'TABELA MÃE'!D:F,3,FALSE),"")</f>
        <v/>
      </c>
      <c r="F11" s="29"/>
      <c r="G11" s="24"/>
      <c r="H11" s="29" t="str">
        <f>IFERROR(IF(VLOOKUP(TABELA_DRENAGEM[[#This Row],[DESCRIÇÃO]],'TABELA MÃE'!D:H,4,FALSE)&lt;&gt;0,VLOOKUP(TABELA_DRENAGEM[[#This Row],[DESCRIÇÃO]],'TABELA MÃE'!D:H,4,FALSE),"SEM VALOR DE REFERÊNCIA"),"")</f>
        <v/>
      </c>
      <c r="I11" s="29" t="str">
        <f>IFERROR(TABELA_DRENAGEM[[#This Row],[QTD.]]*IF(TABELA_DRENAGEM[[#This Row],[PREÇO MÉDIO R$]]="SEM VALOR DE REFERÊNCIA","0",TABELA_DRENAGEM[[#This Row],[PREÇO MÉDIO R$]]),"0")</f>
        <v>0</v>
      </c>
      <c r="J11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12" spans="2:10" x14ac:dyDescent="0.25">
      <c r="B12" s="23" t="str">
        <f>IF(TABELA_DRENAGEM[[#This Row],[DESCRIÇÃO]]&lt;&gt;"",MAX($B$8:B11)+1,"")</f>
        <v/>
      </c>
      <c r="C12" s="41"/>
      <c r="D12" s="29" t="str">
        <f>IFERROR(VLOOKUP(TABELA_DRENAGEM[[#This Row],[DESCRIÇÃO]],'TABELA MÃE'!D:E,2,FALSE),"")</f>
        <v/>
      </c>
      <c r="E12" s="29" t="str">
        <f>IFERROR(VLOOKUP(TABELA_DRENAGEM[[#This Row],[DESCRIÇÃO]],'TABELA MÃE'!D:F,3,FALSE),"")</f>
        <v/>
      </c>
      <c r="F12" s="29"/>
      <c r="G12" s="24"/>
      <c r="H12" s="29" t="str">
        <f>IFERROR(IF(VLOOKUP(TABELA_DRENAGEM[[#This Row],[DESCRIÇÃO]],'TABELA MÃE'!D:H,4,FALSE)&lt;&gt;0,VLOOKUP(TABELA_DRENAGEM[[#This Row],[DESCRIÇÃO]],'TABELA MÃE'!D:H,4,FALSE),"SEM VALOR DE REFERÊNCIA"),"")</f>
        <v/>
      </c>
      <c r="I12" s="29" t="str">
        <f>IFERROR(TABELA_DRENAGEM[[#This Row],[QTD.]]*IF(TABELA_DRENAGEM[[#This Row],[PREÇO MÉDIO R$]]="SEM VALOR DE REFERÊNCIA","0",TABELA_DRENAGEM[[#This Row],[PREÇO MÉDIO R$]]),"0")</f>
        <v>0</v>
      </c>
      <c r="J12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13" spans="2:10" x14ac:dyDescent="0.25">
      <c r="B13" s="23" t="str">
        <f>IF(TABELA_DRENAGEM[[#This Row],[DESCRIÇÃO]]&lt;&gt;"",MAX($B$8:B12)+1,"")</f>
        <v/>
      </c>
      <c r="C13" s="41"/>
      <c r="D13" s="29" t="str">
        <f>IFERROR(VLOOKUP(TABELA_DRENAGEM[[#This Row],[DESCRIÇÃO]],'TABELA MÃE'!D:E,2,FALSE),"")</f>
        <v/>
      </c>
      <c r="E13" s="29" t="str">
        <f>IFERROR(VLOOKUP(TABELA_DRENAGEM[[#This Row],[DESCRIÇÃO]],'TABELA MÃE'!D:F,3,FALSE),"")</f>
        <v/>
      </c>
      <c r="F13" s="29"/>
      <c r="G13" s="24"/>
      <c r="H13" s="29" t="str">
        <f>IFERROR(IF(VLOOKUP(TABELA_DRENAGEM[[#This Row],[DESCRIÇÃO]],'TABELA MÃE'!D:H,4,FALSE)&lt;&gt;0,VLOOKUP(TABELA_DRENAGEM[[#This Row],[DESCRIÇÃO]],'TABELA MÃE'!D:H,4,FALSE),"SEM VALOR DE REFERÊNCIA"),"")</f>
        <v/>
      </c>
      <c r="I13" s="29" t="str">
        <f>IFERROR(TABELA_DRENAGEM[[#This Row],[QTD.]]*IF(TABELA_DRENAGEM[[#This Row],[PREÇO MÉDIO R$]]="SEM VALOR DE REFERÊNCIA","0",TABELA_DRENAGEM[[#This Row],[PREÇO MÉDIO R$]]),"0")</f>
        <v>0</v>
      </c>
      <c r="J13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14" spans="2:10" x14ac:dyDescent="0.25">
      <c r="B14" s="23" t="str">
        <f>IF(TABELA_DRENAGEM[[#This Row],[DESCRIÇÃO]]&lt;&gt;"",MAX($B$8:B13)+1,"")</f>
        <v/>
      </c>
      <c r="C14" s="41"/>
      <c r="D14" s="29" t="str">
        <f>IFERROR(VLOOKUP(TABELA_DRENAGEM[[#This Row],[DESCRIÇÃO]],'TABELA MÃE'!D:E,2,FALSE),"")</f>
        <v/>
      </c>
      <c r="E14" s="29" t="str">
        <f>IFERROR(VLOOKUP(TABELA_DRENAGEM[[#This Row],[DESCRIÇÃO]],'TABELA MÃE'!D:F,3,FALSE),"")</f>
        <v/>
      </c>
      <c r="F14" s="29"/>
      <c r="G14" s="24"/>
      <c r="H14" s="29" t="str">
        <f>IFERROR(IF(VLOOKUP(TABELA_DRENAGEM[[#This Row],[DESCRIÇÃO]],'TABELA MÃE'!D:H,4,FALSE)&lt;&gt;0,VLOOKUP(TABELA_DRENAGEM[[#This Row],[DESCRIÇÃO]],'TABELA MÃE'!D:H,4,FALSE),"SEM VALOR DE REFERÊNCIA"),"")</f>
        <v/>
      </c>
      <c r="I14" s="29" t="str">
        <f>IFERROR(TABELA_DRENAGEM[[#This Row],[QTD.]]*IF(TABELA_DRENAGEM[[#This Row],[PREÇO MÉDIO R$]]="SEM VALOR DE REFERÊNCIA","0",TABELA_DRENAGEM[[#This Row],[PREÇO MÉDIO R$]]),"0")</f>
        <v>0</v>
      </c>
      <c r="J14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15" spans="2:10" x14ac:dyDescent="0.25">
      <c r="B15" s="23" t="str">
        <f>IF(TABELA_DRENAGEM[[#This Row],[DESCRIÇÃO]]&lt;&gt;"",MAX($B$8:B14)+1,"")</f>
        <v/>
      </c>
      <c r="C15" s="41"/>
      <c r="D15" s="29" t="str">
        <f>IFERROR(VLOOKUP(TABELA_DRENAGEM[[#This Row],[DESCRIÇÃO]],'TABELA MÃE'!D:E,2,FALSE),"")</f>
        <v/>
      </c>
      <c r="E15" s="29" t="str">
        <f>IFERROR(VLOOKUP(TABELA_DRENAGEM[[#This Row],[DESCRIÇÃO]],'TABELA MÃE'!D:F,3,FALSE),"")</f>
        <v/>
      </c>
      <c r="F15" s="29"/>
      <c r="G15" s="24"/>
      <c r="H15" s="29" t="str">
        <f>IFERROR(IF(VLOOKUP(TABELA_DRENAGEM[[#This Row],[DESCRIÇÃO]],'TABELA MÃE'!D:H,4,FALSE)&lt;&gt;0,VLOOKUP(TABELA_DRENAGEM[[#This Row],[DESCRIÇÃO]],'TABELA MÃE'!D:H,4,FALSE),"SEM VALOR DE REFERÊNCIA"),"")</f>
        <v/>
      </c>
      <c r="I15" s="29" t="str">
        <f>IFERROR(TABELA_DRENAGEM[[#This Row],[QTD.]]*IF(TABELA_DRENAGEM[[#This Row],[PREÇO MÉDIO R$]]="SEM VALOR DE REFERÊNCIA","0",TABELA_DRENAGEM[[#This Row],[PREÇO MÉDIO R$]]),"0")</f>
        <v>0</v>
      </c>
      <c r="J15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16" spans="2:10" x14ac:dyDescent="0.25">
      <c r="B16" s="23" t="str">
        <f>IF(TABELA_DRENAGEM[[#This Row],[DESCRIÇÃO]]&lt;&gt;"",MAX($B$8:B15)+1,"")</f>
        <v/>
      </c>
      <c r="C16" s="41"/>
      <c r="D16" s="29" t="str">
        <f>IFERROR(VLOOKUP(TABELA_DRENAGEM[[#This Row],[DESCRIÇÃO]],'TABELA MÃE'!D:E,2,FALSE),"")</f>
        <v/>
      </c>
      <c r="E16" s="29" t="str">
        <f>IFERROR(VLOOKUP(TABELA_DRENAGEM[[#This Row],[DESCRIÇÃO]],'TABELA MÃE'!D:F,3,FALSE),"")</f>
        <v/>
      </c>
      <c r="F16" s="29"/>
      <c r="G16" s="24"/>
      <c r="H16" s="29" t="str">
        <f>IFERROR(IF(VLOOKUP(TABELA_DRENAGEM[[#This Row],[DESCRIÇÃO]],'TABELA MÃE'!D:H,4,FALSE)&lt;&gt;0,VLOOKUP(TABELA_DRENAGEM[[#This Row],[DESCRIÇÃO]],'TABELA MÃE'!D:H,4,FALSE),"SEM VALOR DE REFERÊNCIA"),"")</f>
        <v/>
      </c>
      <c r="I16" s="29" t="str">
        <f>IFERROR(TABELA_DRENAGEM[[#This Row],[QTD.]]*IF(TABELA_DRENAGEM[[#This Row],[PREÇO MÉDIO R$]]="SEM VALOR DE REFERÊNCIA","0",TABELA_DRENAGEM[[#This Row],[PREÇO MÉDIO R$]]),"0")</f>
        <v>0</v>
      </c>
      <c r="J16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17" spans="2:10" x14ac:dyDescent="0.25">
      <c r="B17" s="23" t="str">
        <f>IF(TABELA_DRENAGEM[[#This Row],[DESCRIÇÃO]]&lt;&gt;"",MAX($B$8:B16)+1,"")</f>
        <v/>
      </c>
      <c r="C17" s="41"/>
      <c r="D17" s="29" t="str">
        <f>IFERROR(VLOOKUP(TABELA_DRENAGEM[[#This Row],[DESCRIÇÃO]],'TABELA MÃE'!D:E,2,FALSE),"")</f>
        <v/>
      </c>
      <c r="E17" s="29" t="str">
        <f>IFERROR(VLOOKUP(TABELA_DRENAGEM[[#This Row],[DESCRIÇÃO]],'TABELA MÃE'!D:F,3,FALSE),"")</f>
        <v/>
      </c>
      <c r="F17" s="29"/>
      <c r="G17" s="24"/>
      <c r="H17" s="29" t="str">
        <f>IFERROR(IF(VLOOKUP(TABELA_DRENAGEM[[#This Row],[DESCRIÇÃO]],'TABELA MÃE'!D:H,4,FALSE)&lt;&gt;0,VLOOKUP(TABELA_DRENAGEM[[#This Row],[DESCRIÇÃO]],'TABELA MÃE'!D:H,4,FALSE),"SEM VALOR DE REFERÊNCIA"),"")</f>
        <v/>
      </c>
      <c r="I17" s="29" t="str">
        <f>IFERROR(TABELA_DRENAGEM[[#This Row],[QTD.]]*IF(TABELA_DRENAGEM[[#This Row],[PREÇO MÉDIO R$]]="SEM VALOR DE REFERÊNCIA","0",TABELA_DRENAGEM[[#This Row],[PREÇO MÉDIO R$]]),"0")</f>
        <v>0</v>
      </c>
      <c r="J17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18" spans="2:10" x14ac:dyDescent="0.25">
      <c r="B18" s="23" t="str">
        <f>IF(TABELA_DRENAGEM[[#This Row],[DESCRIÇÃO]]&lt;&gt;"",MAX($B$8:B17)+1,"")</f>
        <v/>
      </c>
      <c r="C18" s="41"/>
      <c r="D18" s="29" t="str">
        <f>IFERROR(VLOOKUP(TABELA_DRENAGEM[[#This Row],[DESCRIÇÃO]],'TABELA MÃE'!D:E,2,FALSE),"")</f>
        <v/>
      </c>
      <c r="E18" s="29" t="str">
        <f>IFERROR(VLOOKUP(TABELA_DRENAGEM[[#This Row],[DESCRIÇÃO]],'TABELA MÃE'!D:F,3,FALSE),"")</f>
        <v/>
      </c>
      <c r="F18" s="29"/>
      <c r="G18" s="24"/>
      <c r="H18" s="29" t="str">
        <f>IFERROR(IF(VLOOKUP(TABELA_DRENAGEM[[#This Row],[DESCRIÇÃO]],'TABELA MÃE'!D:H,4,FALSE)&lt;&gt;0,VLOOKUP(TABELA_DRENAGEM[[#This Row],[DESCRIÇÃO]],'TABELA MÃE'!D:H,4,FALSE),"SEM VALOR DE REFERÊNCIA"),"")</f>
        <v/>
      </c>
      <c r="I18" s="29" t="str">
        <f>IFERROR(TABELA_DRENAGEM[[#This Row],[QTD.]]*IF(TABELA_DRENAGEM[[#This Row],[PREÇO MÉDIO R$]]="SEM VALOR DE REFERÊNCIA","0",TABELA_DRENAGEM[[#This Row],[PREÇO MÉDIO R$]]),"0")</f>
        <v>0</v>
      </c>
      <c r="J18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19" spans="2:10" x14ac:dyDescent="0.25">
      <c r="B19" s="23" t="str">
        <f>IF(TABELA_DRENAGEM[[#This Row],[DESCRIÇÃO]]&lt;&gt;"",MAX($B$8:B18)+1,"")</f>
        <v/>
      </c>
      <c r="C19" s="41"/>
      <c r="D19" s="29" t="str">
        <f>IFERROR(VLOOKUP(TABELA_DRENAGEM[[#This Row],[DESCRIÇÃO]],'TABELA MÃE'!D:E,2,FALSE),"")</f>
        <v/>
      </c>
      <c r="E19" s="29" t="str">
        <f>IFERROR(VLOOKUP(TABELA_DRENAGEM[[#This Row],[DESCRIÇÃO]],'TABELA MÃE'!D:F,3,FALSE),"")</f>
        <v/>
      </c>
      <c r="F19" s="29"/>
      <c r="G19" s="24"/>
      <c r="H19" s="29" t="str">
        <f>IFERROR(IF(VLOOKUP(TABELA_DRENAGEM[[#This Row],[DESCRIÇÃO]],'TABELA MÃE'!D:H,4,FALSE)&lt;&gt;0,VLOOKUP(TABELA_DRENAGEM[[#This Row],[DESCRIÇÃO]],'TABELA MÃE'!D:H,4,FALSE),"SEM VALOR DE REFERÊNCIA"),"")</f>
        <v/>
      </c>
      <c r="I19" s="29" t="str">
        <f>IFERROR(TABELA_DRENAGEM[[#This Row],[QTD.]]*IF(TABELA_DRENAGEM[[#This Row],[PREÇO MÉDIO R$]]="SEM VALOR DE REFERÊNCIA","0",TABELA_DRENAGEM[[#This Row],[PREÇO MÉDIO R$]]),"0")</f>
        <v>0</v>
      </c>
      <c r="J19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20" spans="2:10" x14ac:dyDescent="0.25">
      <c r="B20" s="23" t="str">
        <f>IF(TABELA_DRENAGEM[[#This Row],[DESCRIÇÃO]]&lt;&gt;"",MAX($B$8:B19)+1,"")</f>
        <v/>
      </c>
      <c r="C20" s="41"/>
      <c r="D20" s="29" t="str">
        <f>IFERROR(VLOOKUP(TABELA_DRENAGEM[[#This Row],[DESCRIÇÃO]],'TABELA MÃE'!D:E,2,FALSE),"")</f>
        <v/>
      </c>
      <c r="E20" s="29" t="str">
        <f>IFERROR(VLOOKUP(TABELA_DRENAGEM[[#This Row],[DESCRIÇÃO]],'TABELA MÃE'!D:F,3,FALSE),"")</f>
        <v/>
      </c>
      <c r="F20" s="29"/>
      <c r="G20" s="24"/>
      <c r="H20" s="29" t="str">
        <f>IFERROR(IF(VLOOKUP(TABELA_DRENAGEM[[#This Row],[DESCRIÇÃO]],'TABELA MÃE'!D:H,4,FALSE)&lt;&gt;0,VLOOKUP(TABELA_DRENAGEM[[#This Row],[DESCRIÇÃO]],'TABELA MÃE'!D:H,4,FALSE),"SEM VALOR DE REFERÊNCIA"),"")</f>
        <v/>
      </c>
      <c r="I20" s="29" t="str">
        <f>IFERROR(TABELA_DRENAGEM[[#This Row],[QTD.]]*IF(TABELA_DRENAGEM[[#This Row],[PREÇO MÉDIO R$]]="SEM VALOR DE REFERÊNCIA","0",TABELA_DRENAGEM[[#This Row],[PREÇO MÉDIO R$]]),"0")</f>
        <v>0</v>
      </c>
      <c r="J20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21" spans="2:10" x14ac:dyDescent="0.25">
      <c r="B21" s="23" t="str">
        <f>IF(TABELA_DRENAGEM[[#This Row],[DESCRIÇÃO]]&lt;&gt;"",MAX($B$8:B20)+1,"")</f>
        <v/>
      </c>
      <c r="C21" s="41"/>
      <c r="D21" s="29" t="str">
        <f>IFERROR(VLOOKUP(TABELA_DRENAGEM[[#This Row],[DESCRIÇÃO]],'TABELA MÃE'!D:E,2,FALSE),"")</f>
        <v/>
      </c>
      <c r="E21" s="29" t="str">
        <f>IFERROR(VLOOKUP(TABELA_DRENAGEM[[#This Row],[DESCRIÇÃO]],'TABELA MÃE'!D:F,3,FALSE),"")</f>
        <v/>
      </c>
      <c r="F21" s="29"/>
      <c r="G21" s="24"/>
      <c r="H21" s="29" t="str">
        <f>IFERROR(IF(VLOOKUP(TABELA_DRENAGEM[[#This Row],[DESCRIÇÃO]],'TABELA MÃE'!D:H,4,FALSE)&lt;&gt;0,VLOOKUP(TABELA_DRENAGEM[[#This Row],[DESCRIÇÃO]],'TABELA MÃE'!D:H,4,FALSE),"SEM VALOR DE REFERÊNCIA"),"")</f>
        <v/>
      </c>
      <c r="I21" s="29" t="str">
        <f>IFERROR(TABELA_DRENAGEM[[#This Row],[QTD.]]*IF(TABELA_DRENAGEM[[#This Row],[PREÇO MÉDIO R$]]="SEM VALOR DE REFERÊNCIA","0",TABELA_DRENAGEM[[#This Row],[PREÇO MÉDIO R$]]),"0")</f>
        <v>0</v>
      </c>
      <c r="J21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22" spans="2:10" x14ac:dyDescent="0.25">
      <c r="B22" s="23" t="str">
        <f>IF(TABELA_DRENAGEM[[#This Row],[DESCRIÇÃO]]&lt;&gt;"",MAX($B$8:B21)+1,"")</f>
        <v/>
      </c>
      <c r="C22" s="41"/>
      <c r="D22" s="29" t="str">
        <f>IFERROR(VLOOKUP(TABELA_DRENAGEM[[#This Row],[DESCRIÇÃO]],'TABELA MÃE'!D:E,2,FALSE),"")</f>
        <v/>
      </c>
      <c r="E22" s="29" t="str">
        <f>IFERROR(VLOOKUP(TABELA_DRENAGEM[[#This Row],[DESCRIÇÃO]],'TABELA MÃE'!D:F,3,FALSE),"")</f>
        <v/>
      </c>
      <c r="F22" s="29"/>
      <c r="G22" s="24"/>
      <c r="H22" s="29" t="str">
        <f>IFERROR(IF(VLOOKUP(TABELA_DRENAGEM[[#This Row],[DESCRIÇÃO]],'TABELA MÃE'!D:H,4,FALSE)&lt;&gt;0,VLOOKUP(TABELA_DRENAGEM[[#This Row],[DESCRIÇÃO]],'TABELA MÃE'!D:H,4,FALSE),"SEM VALOR DE REFERÊNCIA"),"")</f>
        <v/>
      </c>
      <c r="I22" s="29" t="str">
        <f>IFERROR(TABELA_DRENAGEM[[#This Row],[QTD.]]*IF(TABELA_DRENAGEM[[#This Row],[PREÇO MÉDIO R$]]="SEM VALOR DE REFERÊNCIA","0",TABELA_DRENAGEM[[#This Row],[PREÇO MÉDIO R$]]),"0")</f>
        <v>0</v>
      </c>
      <c r="J22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23" spans="2:10" x14ac:dyDescent="0.25">
      <c r="B23" s="23" t="str">
        <f>IF(TABELA_DRENAGEM[[#This Row],[DESCRIÇÃO]]&lt;&gt;"",MAX($B$8:B22)+1,"")</f>
        <v/>
      </c>
      <c r="C23" s="41"/>
      <c r="D23" s="29" t="str">
        <f>IFERROR(VLOOKUP(TABELA_DRENAGEM[[#This Row],[DESCRIÇÃO]],'TABELA MÃE'!D:E,2,FALSE),"")</f>
        <v/>
      </c>
      <c r="E23" s="29" t="str">
        <f>IFERROR(VLOOKUP(TABELA_DRENAGEM[[#This Row],[DESCRIÇÃO]],'TABELA MÃE'!D:F,3,FALSE),"")</f>
        <v/>
      </c>
      <c r="F23" s="29"/>
      <c r="G23" s="24"/>
      <c r="H23" s="29" t="str">
        <f>IFERROR(IF(VLOOKUP(TABELA_DRENAGEM[[#This Row],[DESCRIÇÃO]],'TABELA MÃE'!D:H,4,FALSE)&lt;&gt;0,VLOOKUP(TABELA_DRENAGEM[[#This Row],[DESCRIÇÃO]],'TABELA MÃE'!D:H,4,FALSE),"SEM VALOR DE REFERÊNCIA"),"")</f>
        <v/>
      </c>
      <c r="I23" s="29" t="str">
        <f>IFERROR(TABELA_DRENAGEM[[#This Row],[QTD.]]*IF(TABELA_DRENAGEM[[#This Row],[PREÇO MÉDIO R$]]="SEM VALOR DE REFERÊNCIA","0",TABELA_DRENAGEM[[#This Row],[PREÇO MÉDIO R$]]),"0")</f>
        <v>0</v>
      </c>
      <c r="J23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24" spans="2:10" x14ac:dyDescent="0.25">
      <c r="B24" s="23" t="str">
        <f>IF(TABELA_DRENAGEM[[#This Row],[DESCRIÇÃO]]&lt;&gt;"",MAX($B$8:B23)+1,"")</f>
        <v/>
      </c>
      <c r="C24" s="41"/>
      <c r="D24" s="29" t="str">
        <f>IFERROR(VLOOKUP(TABELA_DRENAGEM[[#This Row],[DESCRIÇÃO]],'TABELA MÃE'!D:E,2,FALSE),"")</f>
        <v/>
      </c>
      <c r="E24" s="29" t="str">
        <f>IFERROR(VLOOKUP(TABELA_DRENAGEM[[#This Row],[DESCRIÇÃO]],'TABELA MÃE'!D:F,3,FALSE),"")</f>
        <v/>
      </c>
      <c r="F24" s="29"/>
      <c r="G24" s="24"/>
      <c r="H24" s="29" t="str">
        <f>IFERROR(IF(VLOOKUP(TABELA_DRENAGEM[[#This Row],[DESCRIÇÃO]],'TABELA MÃE'!D:H,4,FALSE)&lt;&gt;0,VLOOKUP(TABELA_DRENAGEM[[#This Row],[DESCRIÇÃO]],'TABELA MÃE'!D:H,4,FALSE),"SEM VALOR DE REFERÊNCIA"),"")</f>
        <v/>
      </c>
      <c r="I24" s="29" t="str">
        <f>IFERROR(TABELA_DRENAGEM[[#This Row],[QTD.]]*IF(TABELA_DRENAGEM[[#This Row],[PREÇO MÉDIO R$]]="SEM VALOR DE REFERÊNCIA","0",TABELA_DRENAGEM[[#This Row],[PREÇO MÉDIO R$]]),"0")</f>
        <v>0</v>
      </c>
      <c r="J24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25" spans="2:10" x14ac:dyDescent="0.25">
      <c r="B25" s="23" t="str">
        <f>IF(TABELA_DRENAGEM[[#This Row],[DESCRIÇÃO]]&lt;&gt;"",MAX($B$8:B24)+1,"")</f>
        <v/>
      </c>
      <c r="C25" s="41"/>
      <c r="D25" s="29" t="str">
        <f>IFERROR(VLOOKUP(TABELA_DRENAGEM[[#This Row],[DESCRIÇÃO]],'TABELA MÃE'!D:E,2,FALSE),"")</f>
        <v/>
      </c>
      <c r="E25" s="29" t="str">
        <f>IFERROR(VLOOKUP(TABELA_DRENAGEM[[#This Row],[DESCRIÇÃO]],'TABELA MÃE'!D:F,3,FALSE),"")</f>
        <v/>
      </c>
      <c r="F25" s="29"/>
      <c r="G25" s="24"/>
      <c r="H25" s="29" t="str">
        <f>IFERROR(IF(VLOOKUP(TABELA_DRENAGEM[[#This Row],[DESCRIÇÃO]],'TABELA MÃE'!D:H,4,FALSE)&lt;&gt;0,VLOOKUP(TABELA_DRENAGEM[[#This Row],[DESCRIÇÃO]],'TABELA MÃE'!D:H,4,FALSE),"SEM VALOR DE REFERÊNCIA"),"")</f>
        <v/>
      </c>
      <c r="I25" s="29" t="str">
        <f>IFERROR(TABELA_DRENAGEM[[#This Row],[QTD.]]*IF(TABELA_DRENAGEM[[#This Row],[PREÇO MÉDIO R$]]="SEM VALOR DE REFERÊNCIA","0",TABELA_DRENAGEM[[#This Row],[PREÇO MÉDIO R$]]),"0")</f>
        <v>0</v>
      </c>
      <c r="J25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26" spans="2:10" x14ac:dyDescent="0.25">
      <c r="B26" s="23" t="str">
        <f>IF(TABELA_DRENAGEM[[#This Row],[DESCRIÇÃO]]&lt;&gt;"",MAX($B$8:B25)+1,"")</f>
        <v/>
      </c>
      <c r="C26" s="41"/>
      <c r="D26" s="29" t="str">
        <f>IFERROR(VLOOKUP(TABELA_DRENAGEM[[#This Row],[DESCRIÇÃO]],'TABELA MÃE'!D:E,2,FALSE),"")</f>
        <v/>
      </c>
      <c r="E26" s="29" t="str">
        <f>IFERROR(VLOOKUP(TABELA_DRENAGEM[[#This Row],[DESCRIÇÃO]],'TABELA MÃE'!D:F,3,FALSE),"")</f>
        <v/>
      </c>
      <c r="F26" s="29"/>
      <c r="G26" s="24"/>
      <c r="H26" s="29" t="str">
        <f>IFERROR(IF(VLOOKUP(TABELA_DRENAGEM[[#This Row],[DESCRIÇÃO]],'TABELA MÃE'!D:H,4,FALSE)&lt;&gt;0,VLOOKUP(TABELA_DRENAGEM[[#This Row],[DESCRIÇÃO]],'TABELA MÃE'!D:H,4,FALSE),"SEM VALOR DE REFERÊNCIA"),"")</f>
        <v/>
      </c>
      <c r="I26" s="29" t="str">
        <f>IFERROR(TABELA_DRENAGEM[[#This Row],[QTD.]]*IF(TABELA_DRENAGEM[[#This Row],[PREÇO MÉDIO R$]]="SEM VALOR DE REFERÊNCIA","0",TABELA_DRENAGEM[[#This Row],[PREÇO MÉDIO R$]]),"0")</f>
        <v>0</v>
      </c>
      <c r="J26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27" spans="2:10" x14ac:dyDescent="0.25">
      <c r="B27" s="23" t="str">
        <f>IF(TABELA_DRENAGEM[[#This Row],[DESCRIÇÃO]]&lt;&gt;"",MAX($B$8:B26)+1,"")</f>
        <v/>
      </c>
      <c r="C27" s="41"/>
      <c r="D27" s="29" t="str">
        <f>IFERROR(VLOOKUP(TABELA_DRENAGEM[[#This Row],[DESCRIÇÃO]],'TABELA MÃE'!D:E,2,FALSE),"")</f>
        <v/>
      </c>
      <c r="E27" s="29" t="str">
        <f>IFERROR(VLOOKUP(TABELA_DRENAGEM[[#This Row],[DESCRIÇÃO]],'TABELA MÃE'!D:F,3,FALSE),"")</f>
        <v/>
      </c>
      <c r="F27" s="29"/>
      <c r="G27" s="24"/>
      <c r="H27" s="29" t="str">
        <f>IFERROR(IF(VLOOKUP(TABELA_DRENAGEM[[#This Row],[DESCRIÇÃO]],'TABELA MÃE'!D:H,4,FALSE)&lt;&gt;0,VLOOKUP(TABELA_DRENAGEM[[#This Row],[DESCRIÇÃO]],'TABELA MÃE'!D:H,4,FALSE),"SEM VALOR DE REFERÊNCIA"),"")</f>
        <v/>
      </c>
      <c r="I27" s="29" t="str">
        <f>IFERROR(TABELA_DRENAGEM[[#This Row],[QTD.]]*IF(TABELA_DRENAGEM[[#This Row],[PREÇO MÉDIO R$]]="SEM VALOR DE REFERÊNCIA","0",TABELA_DRENAGEM[[#This Row],[PREÇO MÉDIO R$]]),"0")</f>
        <v>0</v>
      </c>
      <c r="J27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28" spans="2:10" x14ac:dyDescent="0.25">
      <c r="B28" s="23" t="str">
        <f>IF(TABELA_DRENAGEM[[#This Row],[DESCRIÇÃO]]&lt;&gt;"",MAX($B$8:B27)+1,"")</f>
        <v/>
      </c>
      <c r="C28" s="41"/>
      <c r="D28" s="29" t="str">
        <f>IFERROR(VLOOKUP(TABELA_DRENAGEM[[#This Row],[DESCRIÇÃO]],'TABELA MÃE'!D:E,2,FALSE),"")</f>
        <v/>
      </c>
      <c r="E28" s="29" t="str">
        <f>IFERROR(VLOOKUP(TABELA_DRENAGEM[[#This Row],[DESCRIÇÃO]],'TABELA MÃE'!D:F,3,FALSE),"")</f>
        <v/>
      </c>
      <c r="F28" s="29"/>
      <c r="G28" s="24"/>
      <c r="H28" s="29" t="str">
        <f>IFERROR(IF(VLOOKUP(TABELA_DRENAGEM[[#This Row],[DESCRIÇÃO]],'TABELA MÃE'!D:H,4,FALSE)&lt;&gt;0,VLOOKUP(TABELA_DRENAGEM[[#This Row],[DESCRIÇÃO]],'TABELA MÃE'!D:H,4,FALSE),"SEM VALOR DE REFERÊNCIA"),"")</f>
        <v/>
      </c>
      <c r="I28" s="29" t="str">
        <f>IFERROR(TABELA_DRENAGEM[[#This Row],[QTD.]]*IF(TABELA_DRENAGEM[[#This Row],[PREÇO MÉDIO R$]]="SEM VALOR DE REFERÊNCIA","0",TABELA_DRENAGEM[[#This Row],[PREÇO MÉDIO R$]]),"0")</f>
        <v>0</v>
      </c>
      <c r="J28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29" spans="2:10" x14ac:dyDescent="0.25">
      <c r="B29" s="23" t="str">
        <f>IF(TABELA_DRENAGEM[[#This Row],[DESCRIÇÃO]]&lt;&gt;"",MAX($B$8:B28)+1,"")</f>
        <v/>
      </c>
      <c r="C29" s="41"/>
      <c r="D29" s="29" t="str">
        <f>IFERROR(VLOOKUP(TABELA_DRENAGEM[[#This Row],[DESCRIÇÃO]],'TABELA MÃE'!D:E,2,FALSE),"")</f>
        <v/>
      </c>
      <c r="E29" s="29" t="str">
        <f>IFERROR(VLOOKUP(TABELA_DRENAGEM[[#This Row],[DESCRIÇÃO]],'TABELA MÃE'!D:F,3,FALSE),"")</f>
        <v/>
      </c>
      <c r="F29" s="29"/>
      <c r="G29" s="24"/>
      <c r="H29" s="29" t="str">
        <f>IFERROR(IF(VLOOKUP(TABELA_DRENAGEM[[#This Row],[DESCRIÇÃO]],'TABELA MÃE'!D:H,4,FALSE)&lt;&gt;0,VLOOKUP(TABELA_DRENAGEM[[#This Row],[DESCRIÇÃO]],'TABELA MÃE'!D:H,4,FALSE),"SEM VALOR DE REFERÊNCIA"),"")</f>
        <v/>
      </c>
      <c r="I29" s="29" t="str">
        <f>IFERROR(TABELA_DRENAGEM[[#This Row],[QTD.]]*IF(TABELA_DRENAGEM[[#This Row],[PREÇO MÉDIO R$]]="SEM VALOR DE REFERÊNCIA","0",TABELA_DRENAGEM[[#This Row],[PREÇO MÉDIO R$]]),"0")</f>
        <v>0</v>
      </c>
      <c r="J29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30" spans="2:10" x14ac:dyDescent="0.25">
      <c r="B30" s="23" t="str">
        <f>IF(TABELA_DRENAGEM[[#This Row],[DESCRIÇÃO]]&lt;&gt;"",MAX($B$8:B29)+1,"")</f>
        <v/>
      </c>
      <c r="C30" s="41"/>
      <c r="D30" s="29" t="str">
        <f>IFERROR(VLOOKUP(TABELA_DRENAGEM[[#This Row],[DESCRIÇÃO]],'TABELA MÃE'!D:E,2,FALSE),"")</f>
        <v/>
      </c>
      <c r="E30" s="29" t="str">
        <f>IFERROR(VLOOKUP(TABELA_DRENAGEM[[#This Row],[DESCRIÇÃO]],'TABELA MÃE'!D:F,3,FALSE),"")</f>
        <v/>
      </c>
      <c r="F30" s="29"/>
      <c r="G30" s="24"/>
      <c r="H30" s="29" t="str">
        <f>IFERROR(IF(VLOOKUP(TABELA_DRENAGEM[[#This Row],[DESCRIÇÃO]],'TABELA MÃE'!D:H,4,FALSE)&lt;&gt;0,VLOOKUP(TABELA_DRENAGEM[[#This Row],[DESCRIÇÃO]],'TABELA MÃE'!D:H,4,FALSE),"SEM VALOR DE REFERÊNCIA"),"")</f>
        <v/>
      </c>
      <c r="I30" s="29" t="str">
        <f>IFERROR(TABELA_DRENAGEM[[#This Row],[QTD.]]*IF(TABELA_DRENAGEM[[#This Row],[PREÇO MÉDIO R$]]="SEM VALOR DE REFERÊNCIA","0",TABELA_DRENAGEM[[#This Row],[PREÇO MÉDIO R$]]),"0")</f>
        <v>0</v>
      </c>
      <c r="J30" s="24" t="str">
        <f>IFERROR(IF(VLOOKUP(TABELA_DRENAGEM[[#This Row],[DESCRIÇÃO]],'TABELA MÃE'!D:H,5,FALSE)&lt;&gt;0,VLOOKUP(TABELA_DRENAGEM[[#This Row],[DESCRIÇÃO]],'TABELA MÃE'!D:H,5,FALSE),"SEM VALOR DE REFERÊNCIA"),"")</f>
        <v/>
      </c>
    </row>
    <row r="31" spans="2:10" ht="15.75" thickBot="1" x14ac:dyDescent="0.3">
      <c r="B31" s="40" t="str">
        <f>IF(TABELA_DRENAGEM[[#This Row],[DESCRIÇÃO]]&lt;&gt;"",MAX($B$8:B30)+1,"")</f>
        <v/>
      </c>
      <c r="C31" s="36"/>
      <c r="D31" s="31" t="str">
        <f>IFERROR(VLOOKUP(TABELA_DRENAGEM[[#This Row],[DESCRIÇÃO]],'TABELA MÃE'!D:E,2,FALSE),"")</f>
        <v/>
      </c>
      <c r="E31" s="31" t="str">
        <f>IFERROR(VLOOKUP(TABELA_DRENAGEM[[#This Row],[DESCRIÇÃO]],'TABELA MÃE'!D:F,3,FALSE),"")</f>
        <v/>
      </c>
      <c r="F31" s="31"/>
      <c r="G31" s="42"/>
      <c r="H31" s="31" t="str">
        <f>IFERROR(IF(VLOOKUP(TABELA_DRENAGEM[[#This Row],[DESCRIÇÃO]],'TABELA MÃE'!D:H,4,FALSE)&lt;&gt;0,VLOOKUP(TABELA_DRENAGEM[[#This Row],[DESCRIÇÃO]],'TABELA MÃE'!D:H,4,FALSE),"SEM VALOR DE REFERÊNCIA"),"")</f>
        <v/>
      </c>
      <c r="I31" s="31" t="str">
        <f>IFERROR(TABELA_DRENAGEM[[#This Row],[QTD.]]*IF(TABELA_DRENAGEM[[#This Row],[PREÇO MÉDIO R$]]="SEM VALOR DE REFERÊNCIA","0",TABELA_DRENAGEM[[#This Row],[PREÇO MÉDIO R$]]),"0")</f>
        <v>0</v>
      </c>
      <c r="J31" s="24" t="str">
        <f>IFERROR(IF(VLOOKUP(TABELA_DRENAGEM[[#This Row],[DESCRIÇÃO]],'TABELA MÃE'!D:H,5,FALSE)&lt;&gt;0,VLOOKUP(TABELA_DRENAGEM[[#This Row],[DESCRIÇÃO]],'TABELA MÃE'!D:H,5,FALSE),"SEM VALOR DE REFERÊNCIA"),"")</f>
        <v/>
      </c>
    </row>
  </sheetData>
  <mergeCells count="5">
    <mergeCell ref="F2:G5"/>
    <mergeCell ref="B6:G6"/>
    <mergeCell ref="H6:J6"/>
    <mergeCell ref="H2:H5"/>
    <mergeCell ref="I2:J5"/>
  </mergeCells>
  <dataValidations count="1">
    <dataValidation type="list" allowBlank="1" showInputMessage="1" showErrorMessage="1" sqref="C2" xr:uid="{E673D6C7-4F63-4C28-9354-81D67F9986E6}">
      <formula1>TABELA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804138-7CA0-4197-83F5-6EED253D4164}">
          <x14:formula1>
            <xm:f>OFFSET('TABELA MÃE'!$D$2,MATCH($C$2,'TABELA MÃE'!$B:$B,0)-2,0,COUNTIF('TABELA MÃE'!$B:$B,$C$2),1)</xm:f>
          </x14:formula1>
          <xm:sqref>C8:C31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43EDB-9E99-4082-BC4E-D166D9AA2AB6}">
  <sheetPr codeName="Planilha14"/>
  <dimension ref="B1:J31"/>
  <sheetViews>
    <sheetView tabSelected="1" workbookViewId="0">
      <selection activeCell="C8" sqref="C8"/>
    </sheetView>
  </sheetViews>
  <sheetFormatPr defaultRowHeight="15" x14ac:dyDescent="0.25"/>
  <cols>
    <col min="2" max="2" width="15" bestFit="1" customWidth="1"/>
    <col min="3" max="3" width="100.7109375" customWidth="1"/>
    <col min="4" max="4" width="32.42578125" bestFit="1" customWidth="1"/>
    <col min="5" max="5" width="8.85546875" bestFit="1" customWidth="1"/>
    <col min="6" max="6" width="10" bestFit="1" customWidth="1"/>
    <col min="7" max="7" width="9.85546875" bestFit="1" customWidth="1"/>
    <col min="8" max="8" width="24.85546875" bestFit="1" customWidth="1"/>
    <col min="9" max="9" width="20.42578125" bestFit="1" customWidth="1"/>
    <col min="10" max="10" width="26.42578125" bestFit="1" customWidth="1"/>
    <col min="12" max="12" width="11.140625" bestFit="1" customWidth="1"/>
  </cols>
  <sheetData>
    <row r="1" spans="2:10" ht="15.75" thickBot="1" x14ac:dyDescent="0.3"/>
    <row r="2" spans="2:10" x14ac:dyDescent="0.25">
      <c r="B2" s="26" t="s">
        <v>163</v>
      </c>
      <c r="C2" s="20" t="s">
        <v>20</v>
      </c>
      <c r="D2" s="27"/>
      <c r="E2" s="27"/>
      <c r="F2" s="84" t="e" vm="1">
        <v>#VALUE!</v>
      </c>
      <c r="G2" s="85"/>
      <c r="H2" s="93" t="s">
        <v>145</v>
      </c>
      <c r="I2" s="164" cm="1">
        <f t="array" ref="I2">SUMPRODUCT(VALUE(IFERROR(TABELA_KIT_F[VALOR TOTAL R$],0)))</f>
        <v>0</v>
      </c>
      <c r="J2" s="165"/>
    </row>
    <row r="3" spans="2:10" x14ac:dyDescent="0.25">
      <c r="B3" s="28" t="s">
        <v>133</v>
      </c>
      <c r="C3" s="37" t="str">
        <f>RIGHT('CAPA-LM'!B8,LEN('CAPA-LM'!B8)-4)</f>
        <v>XXXXX</v>
      </c>
      <c r="D3" s="29"/>
      <c r="E3" s="29"/>
      <c r="F3" s="86"/>
      <c r="G3" s="87"/>
      <c r="H3" s="94"/>
      <c r="I3" s="166"/>
      <c r="J3" s="167"/>
    </row>
    <row r="4" spans="2:10" x14ac:dyDescent="0.25">
      <c r="B4" s="28" t="s">
        <v>134</v>
      </c>
      <c r="C4" s="38">
        <f ca="1">TODAY()</f>
        <v>46170</v>
      </c>
      <c r="D4" s="29"/>
      <c r="E4" s="29"/>
      <c r="F4" s="86"/>
      <c r="G4" s="87"/>
      <c r="H4" s="94"/>
      <c r="I4" s="166"/>
      <c r="J4" s="167"/>
    </row>
    <row r="5" spans="2:10" ht="15.75" thickBot="1" x14ac:dyDescent="0.3">
      <c r="B5" s="30" t="s">
        <v>2</v>
      </c>
      <c r="C5" s="25" t="str">
        <f>'CAPA-LM'!C5</f>
        <v>ESTRADA VICINAL RURAL, 0 - ESTÂNCIA MR, ÁREA RURAL, COLIDER - MT</v>
      </c>
      <c r="D5" s="31"/>
      <c r="E5" s="31"/>
      <c r="F5" s="88"/>
      <c r="G5" s="89"/>
      <c r="H5" s="95"/>
      <c r="I5" s="168"/>
      <c r="J5" s="169"/>
    </row>
    <row r="6" spans="2:10" ht="15.75" thickBot="1" x14ac:dyDescent="0.3">
      <c r="B6" s="90" t="s">
        <v>135</v>
      </c>
      <c r="C6" s="91"/>
      <c r="D6" s="91"/>
      <c r="E6" s="91"/>
      <c r="F6" s="91"/>
      <c r="G6" s="92"/>
      <c r="H6" s="91" t="s">
        <v>141</v>
      </c>
      <c r="I6" s="91"/>
      <c r="J6" s="92"/>
    </row>
    <row r="7" spans="2:10" ht="15.75" thickBot="1" x14ac:dyDescent="0.3">
      <c r="B7" s="32" t="s">
        <v>8</v>
      </c>
      <c r="C7" s="33" t="s">
        <v>9</v>
      </c>
      <c r="D7" s="33" t="s">
        <v>29</v>
      </c>
      <c r="E7" s="33" t="s">
        <v>30</v>
      </c>
      <c r="F7" s="33" t="s">
        <v>31</v>
      </c>
      <c r="G7" s="34" t="s">
        <v>32</v>
      </c>
      <c r="H7" s="33" t="s">
        <v>49</v>
      </c>
      <c r="I7" s="33" t="s">
        <v>144</v>
      </c>
      <c r="J7" s="34" t="s">
        <v>33</v>
      </c>
    </row>
    <row r="8" spans="2:10" x14ac:dyDescent="0.25">
      <c r="B8" s="21" t="str">
        <f>IF(TABELA_KIT_F[[#This Row],[DESCRIÇÃO]]&lt;&gt;"",1,"")</f>
        <v/>
      </c>
      <c r="C8" s="35"/>
      <c r="D8" s="27" t="str">
        <f>IFERROR(VLOOKUP(TABELA_KIT_F[[#This Row],[DESCRIÇÃO]],'TABELA MÃE'!D:E,2,FALSE),"")</f>
        <v/>
      </c>
      <c r="E8" s="27" t="str">
        <f>IFERROR(VLOOKUP(TABELA_KIT_F[[#This Row],[DESCRIÇÃO]],'TABELA MÃE'!D:F,3,FALSE),"")</f>
        <v/>
      </c>
      <c r="F8" s="27"/>
      <c r="G8" s="22"/>
      <c r="H8" s="27" t="str">
        <f>IFERROR(IF(VLOOKUP(TABELA_KIT_F[[#This Row],[DESCRIÇÃO]],'TABELA MÃE'!D:H,4,FALSE)&lt;&gt;0,VLOOKUP(TABELA_KIT_F[[#This Row],[DESCRIÇÃO]],'TABELA MÃE'!D:H,4,FALSE),"SEM VALOR DE REFERÊNCIA"),"")</f>
        <v/>
      </c>
      <c r="I8" s="27" t="str">
        <f>IFERROR(TABELA_KIT_F[[#This Row],[QTD.]]*IF(TABELA_KIT_F[[#This Row],[PREÇO MÉDIO R$]]="SEM VALOR DE REFERÊNCIA","0",TABELA_KIT_F[[#This Row],[PREÇO MÉDIO R$]]),"0")</f>
        <v>0</v>
      </c>
      <c r="J8" s="22" t="str">
        <f>IFERROR(IF(VLOOKUP(TABELA_KIT_F[[#This Row],[DESCRIÇÃO]],'TABELA MÃE'!D:H,5,FALSE)&lt;&gt;0,VLOOKUP(TABELA_KIT_F[[#This Row],[DESCRIÇÃO]],'TABELA MÃE'!D:H,5,FALSE),"SEM VALOR DE REFERÊNCIA"),"")</f>
        <v/>
      </c>
    </row>
    <row r="9" spans="2:10" x14ac:dyDescent="0.25">
      <c r="B9" s="23" t="str">
        <f>IF(TABELA_KIT_F[[#This Row],[DESCRIÇÃO]]&lt;&gt;"",MAX($B$8:B8)+1,"")</f>
        <v/>
      </c>
      <c r="C9" s="41"/>
      <c r="D9" s="29" t="str">
        <f>IFERROR(VLOOKUP(TABELA_KIT_F[[#This Row],[DESCRIÇÃO]],'TABELA MÃE'!D:E,2,FALSE),"")</f>
        <v/>
      </c>
      <c r="E9" s="29" t="str">
        <f>IFERROR(VLOOKUP(TABELA_KIT_F[[#This Row],[DESCRIÇÃO]],'TABELA MÃE'!D:F,3,FALSE),"")</f>
        <v/>
      </c>
      <c r="F9" s="29"/>
      <c r="G9" s="24"/>
      <c r="H9" s="29" t="str">
        <f>IFERROR(IF(VLOOKUP(TABELA_KIT_F[[#This Row],[DESCRIÇÃO]],'TABELA MÃE'!D:H,4,FALSE)&lt;&gt;0,VLOOKUP(TABELA_KIT_F[[#This Row],[DESCRIÇÃO]],'TABELA MÃE'!D:H,4,FALSE),"SEM VALOR DE REFERÊNCIA"),"")</f>
        <v/>
      </c>
      <c r="I9" s="29" t="str">
        <f>IFERROR(TABELA_KIT_F[[#This Row],[QTD.]]*IF(TABELA_KIT_F[[#This Row],[PREÇO MÉDIO R$]]="SEM VALOR DE REFERÊNCIA","0",TABELA_KIT_F[[#This Row],[PREÇO MÉDIO R$]]),"0")</f>
        <v>0</v>
      </c>
      <c r="J9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10" spans="2:10" x14ac:dyDescent="0.25">
      <c r="B10" s="23" t="str">
        <f>IF(TABELA_KIT_F[[#This Row],[DESCRIÇÃO]]&lt;&gt;"",MAX($B$8:B9)+1,"")</f>
        <v/>
      </c>
      <c r="C10" s="41"/>
      <c r="D10" s="29" t="str">
        <f>IFERROR(VLOOKUP(TABELA_KIT_F[[#This Row],[DESCRIÇÃO]],'TABELA MÃE'!D:E,2,FALSE),"")</f>
        <v/>
      </c>
      <c r="E10" s="29" t="str">
        <f>IFERROR(VLOOKUP(TABELA_KIT_F[[#This Row],[DESCRIÇÃO]],'TABELA MÃE'!D:F,3,FALSE),"")</f>
        <v/>
      </c>
      <c r="F10" s="29"/>
      <c r="G10" s="24"/>
      <c r="H10" s="29" t="str">
        <f>IFERROR(IF(VLOOKUP(TABELA_KIT_F[[#This Row],[DESCRIÇÃO]],'TABELA MÃE'!D:H,4,FALSE)&lt;&gt;0,VLOOKUP(TABELA_KIT_F[[#This Row],[DESCRIÇÃO]],'TABELA MÃE'!D:H,4,FALSE),"SEM VALOR DE REFERÊNCIA"),"")</f>
        <v/>
      </c>
      <c r="I10" s="29" t="str">
        <f>IFERROR(TABELA_KIT_F[[#This Row],[QTD.]]*IF(TABELA_KIT_F[[#This Row],[PREÇO MÉDIO R$]]="SEM VALOR DE REFERÊNCIA","0",TABELA_KIT_F[[#This Row],[PREÇO MÉDIO R$]]),"0")</f>
        <v>0</v>
      </c>
      <c r="J10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11" spans="2:10" x14ac:dyDescent="0.25">
      <c r="B11" s="23" t="str">
        <f>IF(TABELA_KIT_F[[#This Row],[DESCRIÇÃO]]&lt;&gt;"",MAX($B$8:B10)+1,"")</f>
        <v/>
      </c>
      <c r="C11" s="41"/>
      <c r="D11" s="29" t="str">
        <f>IFERROR(VLOOKUP(TABELA_KIT_F[[#This Row],[DESCRIÇÃO]],'TABELA MÃE'!D:E,2,FALSE),"")</f>
        <v/>
      </c>
      <c r="E11" s="29" t="str">
        <f>IFERROR(VLOOKUP(TABELA_KIT_F[[#This Row],[DESCRIÇÃO]],'TABELA MÃE'!D:F,3,FALSE),"")</f>
        <v/>
      </c>
      <c r="F11" s="29"/>
      <c r="G11" s="24"/>
      <c r="H11" s="29" t="str">
        <f>IFERROR(IF(VLOOKUP(TABELA_KIT_F[[#This Row],[DESCRIÇÃO]],'TABELA MÃE'!D:H,4,FALSE)&lt;&gt;0,VLOOKUP(TABELA_KIT_F[[#This Row],[DESCRIÇÃO]],'TABELA MÃE'!D:H,4,FALSE),"SEM VALOR DE REFERÊNCIA"),"")</f>
        <v/>
      </c>
      <c r="I11" s="29" t="str">
        <f>IFERROR(TABELA_KIT_F[[#This Row],[QTD.]]*IF(TABELA_KIT_F[[#This Row],[PREÇO MÉDIO R$]]="SEM VALOR DE REFERÊNCIA","0",TABELA_KIT_F[[#This Row],[PREÇO MÉDIO R$]]),"0")</f>
        <v>0</v>
      </c>
      <c r="J11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12" spans="2:10" x14ac:dyDescent="0.25">
      <c r="B12" s="23" t="str">
        <f>IF(TABELA_KIT_F[[#This Row],[DESCRIÇÃO]]&lt;&gt;"",MAX($B$8:B11)+1,"")</f>
        <v/>
      </c>
      <c r="C12" s="41"/>
      <c r="D12" s="29" t="str">
        <f>IFERROR(VLOOKUP(TABELA_KIT_F[[#This Row],[DESCRIÇÃO]],'TABELA MÃE'!D:E,2,FALSE),"")</f>
        <v/>
      </c>
      <c r="E12" s="29" t="str">
        <f>IFERROR(VLOOKUP(TABELA_KIT_F[[#This Row],[DESCRIÇÃO]],'TABELA MÃE'!D:F,3,FALSE),"")</f>
        <v/>
      </c>
      <c r="F12" s="29"/>
      <c r="G12" s="24"/>
      <c r="H12" s="29" t="str">
        <f>IFERROR(IF(VLOOKUP(TABELA_KIT_F[[#This Row],[DESCRIÇÃO]],'TABELA MÃE'!D:H,4,FALSE)&lt;&gt;0,VLOOKUP(TABELA_KIT_F[[#This Row],[DESCRIÇÃO]],'TABELA MÃE'!D:H,4,FALSE),"SEM VALOR DE REFERÊNCIA"),"")</f>
        <v/>
      </c>
      <c r="I12" s="29" t="str">
        <f>IFERROR(TABELA_KIT_F[[#This Row],[QTD.]]*IF(TABELA_KIT_F[[#This Row],[PREÇO MÉDIO R$]]="SEM VALOR DE REFERÊNCIA","0",TABELA_KIT_F[[#This Row],[PREÇO MÉDIO R$]]),"0")</f>
        <v>0</v>
      </c>
      <c r="J12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13" spans="2:10" x14ac:dyDescent="0.25">
      <c r="B13" s="23" t="str">
        <f>IF(TABELA_KIT_F[[#This Row],[DESCRIÇÃO]]&lt;&gt;"",MAX($B$8:B12)+1,"")</f>
        <v/>
      </c>
      <c r="C13" s="41"/>
      <c r="D13" s="29" t="str">
        <f>IFERROR(VLOOKUP(TABELA_KIT_F[[#This Row],[DESCRIÇÃO]],'TABELA MÃE'!D:E,2,FALSE),"")</f>
        <v/>
      </c>
      <c r="E13" s="29" t="str">
        <f>IFERROR(VLOOKUP(TABELA_KIT_F[[#This Row],[DESCRIÇÃO]],'TABELA MÃE'!D:F,3,FALSE),"")</f>
        <v/>
      </c>
      <c r="F13" s="29"/>
      <c r="G13" s="24"/>
      <c r="H13" s="29" t="str">
        <f>IFERROR(IF(VLOOKUP(TABELA_KIT_F[[#This Row],[DESCRIÇÃO]],'TABELA MÃE'!D:H,4,FALSE)&lt;&gt;0,VLOOKUP(TABELA_KIT_F[[#This Row],[DESCRIÇÃO]],'TABELA MÃE'!D:H,4,FALSE),"SEM VALOR DE REFERÊNCIA"),"")</f>
        <v/>
      </c>
      <c r="I13" s="29" t="str">
        <f>IFERROR(TABELA_KIT_F[[#This Row],[QTD.]]*IF(TABELA_KIT_F[[#This Row],[PREÇO MÉDIO R$]]="SEM VALOR DE REFERÊNCIA","0",TABELA_KIT_F[[#This Row],[PREÇO MÉDIO R$]]),"0")</f>
        <v>0</v>
      </c>
      <c r="J13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14" spans="2:10" x14ac:dyDescent="0.25">
      <c r="B14" s="23" t="str">
        <f>IF(TABELA_KIT_F[[#This Row],[DESCRIÇÃO]]&lt;&gt;"",MAX($B$8:B13)+1,"")</f>
        <v/>
      </c>
      <c r="C14" s="41"/>
      <c r="D14" s="29" t="str">
        <f>IFERROR(VLOOKUP(TABELA_KIT_F[[#This Row],[DESCRIÇÃO]],'TABELA MÃE'!D:E,2,FALSE),"")</f>
        <v/>
      </c>
      <c r="E14" s="29" t="str">
        <f>IFERROR(VLOOKUP(TABELA_KIT_F[[#This Row],[DESCRIÇÃO]],'TABELA MÃE'!D:F,3,FALSE),"")</f>
        <v/>
      </c>
      <c r="F14" s="29"/>
      <c r="G14" s="24"/>
      <c r="H14" s="29" t="str">
        <f>IFERROR(IF(VLOOKUP(TABELA_KIT_F[[#This Row],[DESCRIÇÃO]],'TABELA MÃE'!D:H,4,FALSE)&lt;&gt;0,VLOOKUP(TABELA_KIT_F[[#This Row],[DESCRIÇÃO]],'TABELA MÃE'!D:H,4,FALSE),"SEM VALOR DE REFERÊNCIA"),"")</f>
        <v/>
      </c>
      <c r="I14" s="29" t="str">
        <f>IFERROR(TABELA_KIT_F[[#This Row],[QTD.]]*IF(TABELA_KIT_F[[#This Row],[PREÇO MÉDIO R$]]="SEM VALOR DE REFERÊNCIA","0",TABELA_KIT_F[[#This Row],[PREÇO MÉDIO R$]]),"0")</f>
        <v>0</v>
      </c>
      <c r="J14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15" spans="2:10" x14ac:dyDescent="0.25">
      <c r="B15" s="23" t="str">
        <f>IF(TABELA_KIT_F[[#This Row],[DESCRIÇÃO]]&lt;&gt;"",MAX($B$8:B14)+1,"")</f>
        <v/>
      </c>
      <c r="C15" s="41"/>
      <c r="D15" s="29" t="str">
        <f>IFERROR(VLOOKUP(TABELA_KIT_F[[#This Row],[DESCRIÇÃO]],'TABELA MÃE'!D:E,2,FALSE),"")</f>
        <v/>
      </c>
      <c r="E15" s="29" t="str">
        <f>IFERROR(VLOOKUP(TABELA_KIT_F[[#This Row],[DESCRIÇÃO]],'TABELA MÃE'!D:F,3,FALSE),"")</f>
        <v/>
      </c>
      <c r="F15" s="29"/>
      <c r="G15" s="24"/>
      <c r="H15" s="29" t="str">
        <f>IFERROR(IF(VLOOKUP(TABELA_KIT_F[[#This Row],[DESCRIÇÃO]],'TABELA MÃE'!D:H,4,FALSE)&lt;&gt;0,VLOOKUP(TABELA_KIT_F[[#This Row],[DESCRIÇÃO]],'TABELA MÃE'!D:H,4,FALSE),"SEM VALOR DE REFERÊNCIA"),"")</f>
        <v/>
      </c>
      <c r="I15" s="29" t="str">
        <f>IFERROR(TABELA_KIT_F[[#This Row],[QTD.]]*IF(TABELA_KIT_F[[#This Row],[PREÇO MÉDIO R$]]="SEM VALOR DE REFERÊNCIA","0",TABELA_KIT_F[[#This Row],[PREÇO MÉDIO R$]]),"0")</f>
        <v>0</v>
      </c>
      <c r="J15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16" spans="2:10" x14ac:dyDescent="0.25">
      <c r="B16" s="23" t="str">
        <f>IF(TABELA_KIT_F[[#This Row],[DESCRIÇÃO]]&lt;&gt;"",MAX($B$8:B15)+1,"")</f>
        <v/>
      </c>
      <c r="C16" s="41"/>
      <c r="D16" s="29" t="str">
        <f>IFERROR(VLOOKUP(TABELA_KIT_F[[#This Row],[DESCRIÇÃO]],'TABELA MÃE'!D:E,2,FALSE),"")</f>
        <v/>
      </c>
      <c r="E16" s="29" t="str">
        <f>IFERROR(VLOOKUP(TABELA_KIT_F[[#This Row],[DESCRIÇÃO]],'TABELA MÃE'!D:F,3,FALSE),"")</f>
        <v/>
      </c>
      <c r="F16" s="29"/>
      <c r="G16" s="24"/>
      <c r="H16" s="29" t="str">
        <f>IFERROR(IF(VLOOKUP(TABELA_KIT_F[[#This Row],[DESCRIÇÃO]],'TABELA MÃE'!D:H,4,FALSE)&lt;&gt;0,VLOOKUP(TABELA_KIT_F[[#This Row],[DESCRIÇÃO]],'TABELA MÃE'!D:H,4,FALSE),"SEM VALOR DE REFERÊNCIA"),"")</f>
        <v/>
      </c>
      <c r="I16" s="29" t="str">
        <f>IFERROR(TABELA_KIT_F[[#This Row],[QTD.]]*IF(TABELA_KIT_F[[#This Row],[PREÇO MÉDIO R$]]="SEM VALOR DE REFERÊNCIA","0",TABELA_KIT_F[[#This Row],[PREÇO MÉDIO R$]]),"0")</f>
        <v>0</v>
      </c>
      <c r="J16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17" spans="2:10" x14ac:dyDescent="0.25">
      <c r="B17" s="23" t="str">
        <f>IF(TABELA_KIT_F[[#This Row],[DESCRIÇÃO]]&lt;&gt;"",MAX($B$8:B16)+1,"")</f>
        <v/>
      </c>
      <c r="C17" s="41"/>
      <c r="D17" s="29" t="str">
        <f>IFERROR(VLOOKUP(TABELA_KIT_F[[#This Row],[DESCRIÇÃO]],'TABELA MÃE'!D:E,2,FALSE),"")</f>
        <v/>
      </c>
      <c r="E17" s="29" t="str">
        <f>IFERROR(VLOOKUP(TABELA_KIT_F[[#This Row],[DESCRIÇÃO]],'TABELA MÃE'!D:F,3,FALSE),"")</f>
        <v/>
      </c>
      <c r="F17" s="29"/>
      <c r="G17" s="24"/>
      <c r="H17" s="29" t="str">
        <f>IFERROR(IF(VLOOKUP(TABELA_KIT_F[[#This Row],[DESCRIÇÃO]],'TABELA MÃE'!D:H,4,FALSE)&lt;&gt;0,VLOOKUP(TABELA_KIT_F[[#This Row],[DESCRIÇÃO]],'TABELA MÃE'!D:H,4,FALSE),"SEM VALOR DE REFERÊNCIA"),"")</f>
        <v/>
      </c>
      <c r="I17" s="29" t="str">
        <f>IFERROR(TABELA_KIT_F[[#This Row],[QTD.]]*IF(TABELA_KIT_F[[#This Row],[PREÇO MÉDIO R$]]="SEM VALOR DE REFERÊNCIA","0",TABELA_KIT_F[[#This Row],[PREÇO MÉDIO R$]]),"0")</f>
        <v>0</v>
      </c>
      <c r="J17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18" spans="2:10" x14ac:dyDescent="0.25">
      <c r="B18" s="23" t="str">
        <f>IF(TABELA_KIT_F[[#This Row],[DESCRIÇÃO]]&lt;&gt;"",MAX($B$8:B17)+1,"")</f>
        <v/>
      </c>
      <c r="C18" s="41"/>
      <c r="D18" s="29" t="str">
        <f>IFERROR(VLOOKUP(TABELA_KIT_F[[#This Row],[DESCRIÇÃO]],'TABELA MÃE'!D:E,2,FALSE),"")</f>
        <v/>
      </c>
      <c r="E18" s="29" t="str">
        <f>IFERROR(VLOOKUP(TABELA_KIT_F[[#This Row],[DESCRIÇÃO]],'TABELA MÃE'!D:F,3,FALSE),"")</f>
        <v/>
      </c>
      <c r="F18" s="29"/>
      <c r="G18" s="24"/>
      <c r="H18" s="29" t="str">
        <f>IFERROR(IF(VLOOKUP(TABELA_KIT_F[[#This Row],[DESCRIÇÃO]],'TABELA MÃE'!D:H,4,FALSE)&lt;&gt;0,VLOOKUP(TABELA_KIT_F[[#This Row],[DESCRIÇÃO]],'TABELA MÃE'!D:H,4,FALSE),"SEM VALOR DE REFERÊNCIA"),"")</f>
        <v/>
      </c>
      <c r="I18" s="29" t="str">
        <f>IFERROR(TABELA_KIT_F[[#This Row],[QTD.]]*IF(TABELA_KIT_F[[#This Row],[PREÇO MÉDIO R$]]="SEM VALOR DE REFERÊNCIA","0",TABELA_KIT_F[[#This Row],[PREÇO MÉDIO R$]]),"0")</f>
        <v>0</v>
      </c>
      <c r="J18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19" spans="2:10" x14ac:dyDescent="0.25">
      <c r="B19" s="23" t="str">
        <f>IF(TABELA_KIT_F[[#This Row],[DESCRIÇÃO]]&lt;&gt;"",MAX($B$8:B18)+1,"")</f>
        <v/>
      </c>
      <c r="C19" s="41"/>
      <c r="D19" s="29" t="str">
        <f>IFERROR(VLOOKUP(TABELA_KIT_F[[#This Row],[DESCRIÇÃO]],'TABELA MÃE'!D:E,2,FALSE),"")</f>
        <v/>
      </c>
      <c r="E19" s="29" t="str">
        <f>IFERROR(VLOOKUP(TABELA_KIT_F[[#This Row],[DESCRIÇÃO]],'TABELA MÃE'!D:F,3,FALSE),"")</f>
        <v/>
      </c>
      <c r="F19" s="29"/>
      <c r="G19" s="24"/>
      <c r="H19" s="29" t="str">
        <f>IFERROR(IF(VLOOKUP(TABELA_KIT_F[[#This Row],[DESCRIÇÃO]],'TABELA MÃE'!D:H,4,FALSE)&lt;&gt;0,VLOOKUP(TABELA_KIT_F[[#This Row],[DESCRIÇÃO]],'TABELA MÃE'!D:H,4,FALSE),"SEM VALOR DE REFERÊNCIA"),"")</f>
        <v/>
      </c>
      <c r="I19" s="29" t="str">
        <f>IFERROR(TABELA_KIT_F[[#This Row],[QTD.]]*IF(TABELA_KIT_F[[#This Row],[PREÇO MÉDIO R$]]="SEM VALOR DE REFERÊNCIA","0",TABELA_KIT_F[[#This Row],[PREÇO MÉDIO R$]]),"0")</f>
        <v>0</v>
      </c>
      <c r="J19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20" spans="2:10" x14ac:dyDescent="0.25">
      <c r="B20" s="23" t="str">
        <f>IF(TABELA_KIT_F[[#This Row],[DESCRIÇÃO]]&lt;&gt;"",MAX($B$8:B19)+1,"")</f>
        <v/>
      </c>
      <c r="C20" s="41"/>
      <c r="D20" s="29" t="str">
        <f>IFERROR(VLOOKUP(TABELA_KIT_F[[#This Row],[DESCRIÇÃO]],'TABELA MÃE'!D:E,2,FALSE),"")</f>
        <v/>
      </c>
      <c r="E20" s="29" t="str">
        <f>IFERROR(VLOOKUP(TABELA_KIT_F[[#This Row],[DESCRIÇÃO]],'TABELA MÃE'!D:F,3,FALSE),"")</f>
        <v/>
      </c>
      <c r="F20" s="29"/>
      <c r="G20" s="24"/>
      <c r="H20" s="29" t="str">
        <f>IFERROR(IF(VLOOKUP(TABELA_KIT_F[[#This Row],[DESCRIÇÃO]],'TABELA MÃE'!D:H,4,FALSE)&lt;&gt;0,VLOOKUP(TABELA_KIT_F[[#This Row],[DESCRIÇÃO]],'TABELA MÃE'!D:H,4,FALSE),"SEM VALOR DE REFERÊNCIA"),"")</f>
        <v/>
      </c>
      <c r="I20" s="29" t="str">
        <f>IFERROR(TABELA_KIT_F[[#This Row],[QTD.]]*IF(TABELA_KIT_F[[#This Row],[PREÇO MÉDIO R$]]="SEM VALOR DE REFERÊNCIA","0",TABELA_KIT_F[[#This Row],[PREÇO MÉDIO R$]]),"0")</f>
        <v>0</v>
      </c>
      <c r="J20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21" spans="2:10" x14ac:dyDescent="0.25">
      <c r="B21" s="23" t="str">
        <f>IF(TABELA_KIT_F[[#This Row],[DESCRIÇÃO]]&lt;&gt;"",MAX($B$8:B20)+1,"")</f>
        <v/>
      </c>
      <c r="C21" s="41"/>
      <c r="D21" s="29" t="str">
        <f>IFERROR(VLOOKUP(TABELA_KIT_F[[#This Row],[DESCRIÇÃO]],'TABELA MÃE'!D:E,2,FALSE),"")</f>
        <v/>
      </c>
      <c r="E21" s="29" t="str">
        <f>IFERROR(VLOOKUP(TABELA_KIT_F[[#This Row],[DESCRIÇÃO]],'TABELA MÃE'!D:F,3,FALSE),"")</f>
        <v/>
      </c>
      <c r="F21" s="29"/>
      <c r="G21" s="24"/>
      <c r="H21" s="29" t="str">
        <f>IFERROR(IF(VLOOKUP(TABELA_KIT_F[[#This Row],[DESCRIÇÃO]],'TABELA MÃE'!D:H,4,FALSE)&lt;&gt;0,VLOOKUP(TABELA_KIT_F[[#This Row],[DESCRIÇÃO]],'TABELA MÃE'!D:H,4,FALSE),"SEM VALOR DE REFERÊNCIA"),"")</f>
        <v/>
      </c>
      <c r="I21" s="29" t="str">
        <f>IFERROR(TABELA_KIT_F[[#This Row],[QTD.]]*IF(TABELA_KIT_F[[#This Row],[PREÇO MÉDIO R$]]="SEM VALOR DE REFERÊNCIA","0",TABELA_KIT_F[[#This Row],[PREÇO MÉDIO R$]]),"0")</f>
        <v>0</v>
      </c>
      <c r="J21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22" spans="2:10" x14ac:dyDescent="0.25">
      <c r="B22" s="23" t="str">
        <f>IF(TABELA_KIT_F[[#This Row],[DESCRIÇÃO]]&lt;&gt;"",MAX($B$8:B21)+1,"")</f>
        <v/>
      </c>
      <c r="C22" s="41"/>
      <c r="D22" s="29" t="str">
        <f>IFERROR(VLOOKUP(TABELA_KIT_F[[#This Row],[DESCRIÇÃO]],'TABELA MÃE'!D:E,2,FALSE),"")</f>
        <v/>
      </c>
      <c r="E22" s="29" t="str">
        <f>IFERROR(VLOOKUP(TABELA_KIT_F[[#This Row],[DESCRIÇÃO]],'TABELA MÃE'!D:F,3,FALSE),"")</f>
        <v/>
      </c>
      <c r="F22" s="29"/>
      <c r="G22" s="24"/>
      <c r="H22" s="29" t="str">
        <f>IFERROR(IF(VLOOKUP(TABELA_KIT_F[[#This Row],[DESCRIÇÃO]],'TABELA MÃE'!D:H,4,FALSE)&lt;&gt;0,VLOOKUP(TABELA_KIT_F[[#This Row],[DESCRIÇÃO]],'TABELA MÃE'!D:H,4,FALSE),"SEM VALOR DE REFERÊNCIA"),"")</f>
        <v/>
      </c>
      <c r="I22" s="29" t="str">
        <f>IFERROR(TABELA_KIT_F[[#This Row],[QTD.]]*IF(TABELA_KIT_F[[#This Row],[PREÇO MÉDIO R$]]="SEM VALOR DE REFERÊNCIA","0",TABELA_KIT_F[[#This Row],[PREÇO MÉDIO R$]]),"0")</f>
        <v>0</v>
      </c>
      <c r="J22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23" spans="2:10" x14ac:dyDescent="0.25">
      <c r="B23" s="23" t="str">
        <f>IF(TABELA_KIT_F[[#This Row],[DESCRIÇÃO]]&lt;&gt;"",MAX($B$8:B22)+1,"")</f>
        <v/>
      </c>
      <c r="C23" s="41"/>
      <c r="D23" s="29" t="str">
        <f>IFERROR(VLOOKUP(TABELA_KIT_F[[#This Row],[DESCRIÇÃO]],'TABELA MÃE'!D:E,2,FALSE),"")</f>
        <v/>
      </c>
      <c r="E23" s="29" t="str">
        <f>IFERROR(VLOOKUP(TABELA_KIT_F[[#This Row],[DESCRIÇÃO]],'TABELA MÃE'!D:F,3,FALSE),"")</f>
        <v/>
      </c>
      <c r="F23" s="29"/>
      <c r="G23" s="24"/>
      <c r="H23" s="29" t="str">
        <f>IFERROR(IF(VLOOKUP(TABELA_KIT_F[[#This Row],[DESCRIÇÃO]],'TABELA MÃE'!D:H,4,FALSE)&lt;&gt;0,VLOOKUP(TABELA_KIT_F[[#This Row],[DESCRIÇÃO]],'TABELA MÃE'!D:H,4,FALSE),"SEM VALOR DE REFERÊNCIA"),"")</f>
        <v/>
      </c>
      <c r="I23" s="29" t="str">
        <f>IFERROR(TABELA_KIT_F[[#This Row],[QTD.]]*IF(TABELA_KIT_F[[#This Row],[PREÇO MÉDIO R$]]="SEM VALOR DE REFERÊNCIA","0",TABELA_KIT_F[[#This Row],[PREÇO MÉDIO R$]]),"0")</f>
        <v>0</v>
      </c>
      <c r="J23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24" spans="2:10" x14ac:dyDescent="0.25">
      <c r="B24" s="23" t="str">
        <f>IF(TABELA_KIT_F[[#This Row],[DESCRIÇÃO]]&lt;&gt;"",MAX($B$8:B23)+1,"")</f>
        <v/>
      </c>
      <c r="C24" s="41"/>
      <c r="D24" s="29" t="str">
        <f>IFERROR(VLOOKUP(TABELA_KIT_F[[#This Row],[DESCRIÇÃO]],'TABELA MÃE'!D:E,2,FALSE),"")</f>
        <v/>
      </c>
      <c r="E24" s="29" t="str">
        <f>IFERROR(VLOOKUP(TABELA_KIT_F[[#This Row],[DESCRIÇÃO]],'TABELA MÃE'!D:F,3,FALSE),"")</f>
        <v/>
      </c>
      <c r="F24" s="29"/>
      <c r="G24" s="24"/>
      <c r="H24" s="29" t="str">
        <f>IFERROR(IF(VLOOKUP(TABELA_KIT_F[[#This Row],[DESCRIÇÃO]],'TABELA MÃE'!D:H,4,FALSE)&lt;&gt;0,VLOOKUP(TABELA_KIT_F[[#This Row],[DESCRIÇÃO]],'TABELA MÃE'!D:H,4,FALSE),"SEM VALOR DE REFERÊNCIA"),"")</f>
        <v/>
      </c>
      <c r="I24" s="29" t="str">
        <f>IFERROR(TABELA_KIT_F[[#This Row],[QTD.]]*IF(TABELA_KIT_F[[#This Row],[PREÇO MÉDIO R$]]="SEM VALOR DE REFERÊNCIA","0",TABELA_KIT_F[[#This Row],[PREÇO MÉDIO R$]]),"0")</f>
        <v>0</v>
      </c>
      <c r="J24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25" spans="2:10" x14ac:dyDescent="0.25">
      <c r="B25" s="23" t="str">
        <f>IF(TABELA_KIT_F[[#This Row],[DESCRIÇÃO]]&lt;&gt;"",MAX($B$8:B24)+1,"")</f>
        <v/>
      </c>
      <c r="C25" s="41"/>
      <c r="D25" s="29" t="str">
        <f>IFERROR(VLOOKUP(TABELA_KIT_F[[#This Row],[DESCRIÇÃO]],'TABELA MÃE'!D:E,2,FALSE),"")</f>
        <v/>
      </c>
      <c r="E25" s="29" t="str">
        <f>IFERROR(VLOOKUP(TABELA_KIT_F[[#This Row],[DESCRIÇÃO]],'TABELA MÃE'!D:F,3,FALSE),"")</f>
        <v/>
      </c>
      <c r="F25" s="29"/>
      <c r="G25" s="24"/>
      <c r="H25" s="29" t="str">
        <f>IFERROR(IF(VLOOKUP(TABELA_KIT_F[[#This Row],[DESCRIÇÃO]],'TABELA MÃE'!D:H,4,FALSE)&lt;&gt;0,VLOOKUP(TABELA_KIT_F[[#This Row],[DESCRIÇÃO]],'TABELA MÃE'!D:H,4,FALSE),"SEM VALOR DE REFERÊNCIA"),"")</f>
        <v/>
      </c>
      <c r="I25" s="29" t="str">
        <f>IFERROR(TABELA_KIT_F[[#This Row],[QTD.]]*IF(TABELA_KIT_F[[#This Row],[PREÇO MÉDIO R$]]="SEM VALOR DE REFERÊNCIA","0",TABELA_KIT_F[[#This Row],[PREÇO MÉDIO R$]]),"0")</f>
        <v>0</v>
      </c>
      <c r="J25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26" spans="2:10" x14ac:dyDescent="0.25">
      <c r="B26" s="23" t="str">
        <f>IF(TABELA_KIT_F[[#This Row],[DESCRIÇÃO]]&lt;&gt;"",MAX($B$8:B25)+1,"")</f>
        <v/>
      </c>
      <c r="C26" s="41"/>
      <c r="D26" s="29" t="str">
        <f>IFERROR(VLOOKUP(TABELA_KIT_F[[#This Row],[DESCRIÇÃO]],'TABELA MÃE'!D:E,2,FALSE),"")</f>
        <v/>
      </c>
      <c r="E26" s="29" t="str">
        <f>IFERROR(VLOOKUP(TABELA_KIT_F[[#This Row],[DESCRIÇÃO]],'TABELA MÃE'!D:F,3,FALSE),"")</f>
        <v/>
      </c>
      <c r="F26" s="29"/>
      <c r="G26" s="24"/>
      <c r="H26" s="29" t="str">
        <f>IFERROR(IF(VLOOKUP(TABELA_KIT_F[[#This Row],[DESCRIÇÃO]],'TABELA MÃE'!D:H,4,FALSE)&lt;&gt;0,VLOOKUP(TABELA_KIT_F[[#This Row],[DESCRIÇÃO]],'TABELA MÃE'!D:H,4,FALSE),"SEM VALOR DE REFERÊNCIA"),"")</f>
        <v/>
      </c>
      <c r="I26" s="29" t="str">
        <f>IFERROR(TABELA_KIT_F[[#This Row],[QTD.]]*IF(TABELA_KIT_F[[#This Row],[PREÇO MÉDIO R$]]="SEM VALOR DE REFERÊNCIA","0",TABELA_KIT_F[[#This Row],[PREÇO MÉDIO R$]]),"0")</f>
        <v>0</v>
      </c>
      <c r="J26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27" spans="2:10" x14ac:dyDescent="0.25">
      <c r="B27" s="23" t="str">
        <f>IF(TABELA_KIT_F[[#This Row],[DESCRIÇÃO]]&lt;&gt;"",MAX($B$8:B26)+1,"")</f>
        <v/>
      </c>
      <c r="C27" s="41"/>
      <c r="D27" s="29" t="str">
        <f>IFERROR(VLOOKUP(TABELA_KIT_F[[#This Row],[DESCRIÇÃO]],'TABELA MÃE'!D:E,2,FALSE),"")</f>
        <v/>
      </c>
      <c r="E27" s="29" t="str">
        <f>IFERROR(VLOOKUP(TABELA_KIT_F[[#This Row],[DESCRIÇÃO]],'TABELA MÃE'!D:F,3,FALSE),"")</f>
        <v/>
      </c>
      <c r="F27" s="29"/>
      <c r="G27" s="24"/>
      <c r="H27" s="29" t="str">
        <f>IFERROR(IF(VLOOKUP(TABELA_KIT_F[[#This Row],[DESCRIÇÃO]],'TABELA MÃE'!D:H,4,FALSE)&lt;&gt;0,VLOOKUP(TABELA_KIT_F[[#This Row],[DESCRIÇÃO]],'TABELA MÃE'!D:H,4,FALSE),"SEM VALOR DE REFERÊNCIA"),"")</f>
        <v/>
      </c>
      <c r="I27" s="29" t="str">
        <f>IFERROR(TABELA_KIT_F[[#This Row],[QTD.]]*IF(TABELA_KIT_F[[#This Row],[PREÇO MÉDIO R$]]="SEM VALOR DE REFERÊNCIA","0",TABELA_KIT_F[[#This Row],[PREÇO MÉDIO R$]]),"0")</f>
        <v>0</v>
      </c>
      <c r="J27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28" spans="2:10" x14ac:dyDescent="0.25">
      <c r="B28" s="23" t="str">
        <f>IF(TABELA_KIT_F[[#This Row],[DESCRIÇÃO]]&lt;&gt;"",MAX($B$8:B27)+1,"")</f>
        <v/>
      </c>
      <c r="C28" s="41"/>
      <c r="D28" s="29" t="str">
        <f>IFERROR(VLOOKUP(TABELA_KIT_F[[#This Row],[DESCRIÇÃO]],'TABELA MÃE'!D:E,2,FALSE),"")</f>
        <v/>
      </c>
      <c r="E28" s="29" t="str">
        <f>IFERROR(VLOOKUP(TABELA_KIT_F[[#This Row],[DESCRIÇÃO]],'TABELA MÃE'!D:F,3,FALSE),"")</f>
        <v/>
      </c>
      <c r="F28" s="29"/>
      <c r="G28" s="24"/>
      <c r="H28" s="29" t="str">
        <f>IFERROR(IF(VLOOKUP(TABELA_KIT_F[[#This Row],[DESCRIÇÃO]],'TABELA MÃE'!D:H,4,FALSE)&lt;&gt;0,VLOOKUP(TABELA_KIT_F[[#This Row],[DESCRIÇÃO]],'TABELA MÃE'!D:H,4,FALSE),"SEM VALOR DE REFERÊNCIA"),"")</f>
        <v/>
      </c>
      <c r="I28" s="29" t="str">
        <f>IFERROR(TABELA_KIT_F[[#This Row],[QTD.]]*IF(TABELA_KIT_F[[#This Row],[PREÇO MÉDIO R$]]="SEM VALOR DE REFERÊNCIA","0",TABELA_KIT_F[[#This Row],[PREÇO MÉDIO R$]]),"0")</f>
        <v>0</v>
      </c>
      <c r="J28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29" spans="2:10" x14ac:dyDescent="0.25">
      <c r="B29" s="23" t="str">
        <f>IF(TABELA_KIT_F[[#This Row],[DESCRIÇÃO]]&lt;&gt;"",MAX($B$8:B28)+1,"")</f>
        <v/>
      </c>
      <c r="C29" s="41"/>
      <c r="D29" s="29" t="str">
        <f>IFERROR(VLOOKUP(TABELA_KIT_F[[#This Row],[DESCRIÇÃO]],'TABELA MÃE'!D:E,2,FALSE),"")</f>
        <v/>
      </c>
      <c r="E29" s="29" t="str">
        <f>IFERROR(VLOOKUP(TABELA_KIT_F[[#This Row],[DESCRIÇÃO]],'TABELA MÃE'!D:F,3,FALSE),"")</f>
        <v/>
      </c>
      <c r="F29" s="29"/>
      <c r="G29" s="24"/>
      <c r="H29" s="29" t="str">
        <f>IFERROR(IF(VLOOKUP(TABELA_KIT_F[[#This Row],[DESCRIÇÃO]],'TABELA MÃE'!D:H,4,FALSE)&lt;&gt;0,VLOOKUP(TABELA_KIT_F[[#This Row],[DESCRIÇÃO]],'TABELA MÃE'!D:H,4,FALSE),"SEM VALOR DE REFERÊNCIA"),"")</f>
        <v/>
      </c>
      <c r="I29" s="29" t="str">
        <f>IFERROR(TABELA_KIT_F[[#This Row],[QTD.]]*IF(TABELA_KIT_F[[#This Row],[PREÇO MÉDIO R$]]="SEM VALOR DE REFERÊNCIA","0",TABELA_KIT_F[[#This Row],[PREÇO MÉDIO R$]]),"0")</f>
        <v>0</v>
      </c>
      <c r="J29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30" spans="2:10" x14ac:dyDescent="0.25">
      <c r="B30" s="23" t="str">
        <f>IF(TABELA_KIT_F[[#This Row],[DESCRIÇÃO]]&lt;&gt;"",MAX($B$8:B29)+1,"")</f>
        <v/>
      </c>
      <c r="C30" s="41"/>
      <c r="D30" s="29" t="str">
        <f>IFERROR(VLOOKUP(TABELA_KIT_F[[#This Row],[DESCRIÇÃO]],'TABELA MÃE'!D:E,2,FALSE),"")</f>
        <v/>
      </c>
      <c r="E30" s="29" t="str">
        <f>IFERROR(VLOOKUP(TABELA_KIT_F[[#This Row],[DESCRIÇÃO]],'TABELA MÃE'!D:F,3,FALSE),"")</f>
        <v/>
      </c>
      <c r="F30" s="29"/>
      <c r="G30" s="24"/>
      <c r="H30" s="29" t="str">
        <f>IFERROR(IF(VLOOKUP(TABELA_KIT_F[[#This Row],[DESCRIÇÃO]],'TABELA MÃE'!D:H,4,FALSE)&lt;&gt;0,VLOOKUP(TABELA_KIT_F[[#This Row],[DESCRIÇÃO]],'TABELA MÃE'!D:H,4,FALSE),"SEM VALOR DE REFERÊNCIA"),"")</f>
        <v/>
      </c>
      <c r="I30" s="29" t="str">
        <f>IFERROR(TABELA_KIT_F[[#This Row],[QTD.]]*IF(TABELA_KIT_F[[#This Row],[PREÇO MÉDIO R$]]="SEM VALOR DE REFERÊNCIA","0",TABELA_KIT_F[[#This Row],[PREÇO MÉDIO R$]]),"0")</f>
        <v>0</v>
      </c>
      <c r="J30" s="24" t="str">
        <f>IFERROR(IF(VLOOKUP(TABELA_KIT_F[[#This Row],[DESCRIÇÃO]],'TABELA MÃE'!D:H,5,FALSE)&lt;&gt;0,VLOOKUP(TABELA_KIT_F[[#This Row],[DESCRIÇÃO]],'TABELA MÃE'!D:H,5,FALSE),"SEM VALOR DE REFERÊNCIA"),"")</f>
        <v/>
      </c>
    </row>
    <row r="31" spans="2:10" ht="15.75" thickBot="1" x14ac:dyDescent="0.3">
      <c r="B31" s="40" t="str">
        <f>IF(TABELA_KIT_F[[#This Row],[DESCRIÇÃO]]&lt;&gt;"",MAX($B$8:B30)+1,"")</f>
        <v/>
      </c>
      <c r="C31" s="36"/>
      <c r="D31" s="31" t="str">
        <f>IFERROR(VLOOKUP(TABELA_KIT_F[[#This Row],[DESCRIÇÃO]],'TABELA MÃE'!D:E,2,FALSE),"")</f>
        <v/>
      </c>
      <c r="E31" s="31" t="str">
        <f>IFERROR(VLOOKUP(TABELA_KIT_F[[#This Row],[DESCRIÇÃO]],'TABELA MÃE'!D:F,3,FALSE),"")</f>
        <v/>
      </c>
      <c r="F31" s="31"/>
      <c r="G31" s="42"/>
      <c r="H31" s="31" t="str">
        <f>IFERROR(IF(VLOOKUP(TABELA_KIT_F[[#This Row],[DESCRIÇÃO]],'TABELA MÃE'!D:H,4,FALSE)&lt;&gt;0,VLOOKUP(TABELA_KIT_F[[#This Row],[DESCRIÇÃO]],'TABELA MÃE'!D:H,4,FALSE),"SEM VALOR DE REFERÊNCIA"),"")</f>
        <v/>
      </c>
      <c r="I31" s="31" t="str">
        <f>IFERROR(TABELA_KIT_F[[#This Row],[QTD.]]*IF(TABELA_KIT_F[[#This Row],[PREÇO MÉDIO R$]]="SEM VALOR DE REFERÊNCIA","0",TABELA_KIT_F[[#This Row],[PREÇO MÉDIO R$]]),"0")</f>
        <v>0</v>
      </c>
      <c r="J31" s="24" t="str">
        <f>IFERROR(IF(VLOOKUP(TABELA_KIT_F[[#This Row],[DESCRIÇÃO]],'TABELA MÃE'!D:H,5,FALSE)&lt;&gt;0,VLOOKUP(TABELA_KIT_F[[#This Row],[DESCRIÇÃO]],'TABELA MÃE'!D:H,5,FALSE),"SEM VALOR DE REFERÊNCIA"),"")</f>
        <v/>
      </c>
    </row>
  </sheetData>
  <mergeCells count="5">
    <mergeCell ref="F2:G5"/>
    <mergeCell ref="B6:G6"/>
    <mergeCell ref="H6:J6"/>
    <mergeCell ref="H2:H5"/>
    <mergeCell ref="I2:J5"/>
  </mergeCells>
  <dataValidations count="1">
    <dataValidation type="list" allowBlank="1" showInputMessage="1" showErrorMessage="1" sqref="C2" xr:uid="{D6FE667E-7510-4733-8BC7-7D735E36923D}">
      <formula1>TABELA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3AC2747-3890-4BCC-B56E-10A998F9681C}">
          <x14:formula1>
            <xm:f>OFFSET('TABELA MÃE'!$D$2,MATCH($C$2,'TABELA MÃE'!$A:$A,0)-2,0,COUNTIF('TABELA MÃE'!$A:$A,$C$2),1)</xm:f>
          </x14:formula1>
          <xm:sqref>C8:C31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ABC40-D928-4076-85FC-BF68445B8933}">
  <sheetPr codeName="Planilha25"/>
  <dimension ref="B2:L237"/>
  <sheetViews>
    <sheetView zoomScale="85" zoomScaleNormal="85" workbookViewId="0"/>
  </sheetViews>
  <sheetFormatPr defaultRowHeight="15" x14ac:dyDescent="0.25"/>
  <cols>
    <col min="1" max="1" width="9.140625" customWidth="1"/>
    <col min="2" max="2" width="41.28515625" bestFit="1" customWidth="1"/>
    <col min="3" max="3" width="40.5703125" bestFit="1" customWidth="1"/>
    <col min="4" max="4" width="64.7109375" bestFit="1" customWidth="1"/>
    <col min="5" max="5" width="34" bestFit="1" customWidth="1"/>
    <col min="6" max="6" width="31.28515625" bestFit="1" customWidth="1"/>
    <col min="7" max="7" width="9.140625" customWidth="1"/>
    <col min="8" max="8" width="64.7109375" bestFit="1" customWidth="1"/>
    <col min="9" max="9" width="41.28515625" bestFit="1" customWidth="1"/>
    <col min="10" max="10" width="23.28515625" bestFit="1" customWidth="1"/>
    <col min="11" max="11" width="42.7109375" bestFit="1" customWidth="1"/>
    <col min="12" max="12" width="41.85546875" bestFit="1" customWidth="1"/>
    <col min="14" max="14" width="19.140625" bestFit="1" customWidth="1"/>
    <col min="15" max="15" width="12.28515625" bestFit="1" customWidth="1"/>
    <col min="16" max="16" width="40.42578125" customWidth="1"/>
    <col min="17" max="17" width="8" bestFit="1" customWidth="1"/>
    <col min="18" max="18" width="10.85546875" bestFit="1" customWidth="1"/>
  </cols>
  <sheetData>
    <row r="2" spans="2:12" x14ac:dyDescent="0.25">
      <c r="B2" s="173" t="s">
        <v>196</v>
      </c>
      <c r="C2" s="174"/>
      <c r="D2" s="174"/>
      <c r="E2" s="174"/>
    </row>
    <row r="3" spans="2:12" x14ac:dyDescent="0.25">
      <c r="B3" s="55" t="s">
        <v>186</v>
      </c>
      <c r="C3" s="55" t="s">
        <v>187</v>
      </c>
      <c r="D3" s="55" t="s">
        <v>188</v>
      </c>
      <c r="E3" s="55" t="s">
        <v>197</v>
      </c>
    </row>
    <row r="4" spans="2:12" x14ac:dyDescent="0.25">
      <c r="B4" s="69">
        <f>DASHBOARD!$J$5</f>
        <v>4500</v>
      </c>
      <c r="C4" s="68">
        <f>DASHBOARD!$M$5</f>
        <v>5500</v>
      </c>
      <c r="D4" s="67">
        <f>DASHBOARD!$P$5</f>
        <v>3000000</v>
      </c>
      <c r="E4" s="67">
        <f>D4*(C4/1000)</f>
        <v>16500000</v>
      </c>
    </row>
    <row r="6" spans="2:12" x14ac:dyDescent="0.25">
      <c r="B6" s="175" t="s">
        <v>182</v>
      </c>
      <c r="C6" s="176"/>
      <c r="D6" s="176"/>
      <c r="E6" s="176"/>
      <c r="F6" s="176"/>
      <c r="H6" s="175" t="s">
        <v>182</v>
      </c>
      <c r="I6" s="176"/>
      <c r="J6" s="176"/>
      <c r="K6" s="176"/>
      <c r="L6" s="176"/>
    </row>
    <row r="7" spans="2:12" x14ac:dyDescent="0.25">
      <c r="B7" s="29" t="s">
        <v>157</v>
      </c>
      <c r="C7" s="29" t="s">
        <v>158</v>
      </c>
      <c r="D7" s="29" t="s">
        <v>178</v>
      </c>
      <c r="E7" s="29" t="s">
        <v>179</v>
      </c>
      <c r="F7" s="29" t="s">
        <v>181</v>
      </c>
      <c r="H7" s="55" t="s">
        <v>178</v>
      </c>
      <c r="I7" s="29" t="s">
        <v>157</v>
      </c>
      <c r="J7" s="29" t="s">
        <v>158</v>
      </c>
      <c r="K7" s="29" t="s">
        <v>176</v>
      </c>
      <c r="L7" s="29" t="s">
        <v>177</v>
      </c>
    </row>
    <row r="8" spans="2:12" x14ac:dyDescent="0.25">
      <c r="B8" s="29">
        <f>_xlfn.XLOOKUP(TABELA_GERAL[[#This Row],[DESCRIÇÃO]],'TABELA MÃE'!D:D,'TABELA MÃE'!A:A)</f>
        <v>0</v>
      </c>
      <c r="C8" s="29">
        <f>_xlfn.XLOOKUP(TABELA_GERAL[[#This Row],[DESCRIÇÃO]],'TABELA MÃE'!D:D,'TABELA MÃE'!B:B)</f>
        <v>0</v>
      </c>
      <c r="D8" s="29" t="str">
        <f t="shared" ref="D8:D39" si="0">CONCATENATE(B8,"-",C8)</f>
        <v>0-0</v>
      </c>
      <c r="E8" s="63">
        <f>TABELA_GERAL[[#This Row],[VALOR TOTAL R$]]</f>
        <v>0</v>
      </c>
      <c r="F8" s="63">
        <f t="shared" ref="F8:F39" si="1">SUMIF($D$8:$D$200,D8,$E$8:$E$200)</f>
        <v>0</v>
      </c>
      <c r="H8" s="58" t="str" cm="1">
        <f t="array" ref="H8:H9">IFERROR(_xlfn.UNIQUE(AUXILIAR_DASHBOARD!D8:D200),"")</f>
        <v>0-0</v>
      </c>
      <c r="I8" s="29" t="str">
        <f t="shared" ref="I8:I39" si="2">IF(IFERROR(_xlfn.XLOOKUP($H8,$D:$D,B:B),"")=0,"",IFERROR(_xlfn.XLOOKUP($H8,$D:$D,B:B),""))</f>
        <v/>
      </c>
      <c r="J8" s="29" t="str">
        <f t="shared" ref="J8:J39" si="3">IF(IFERROR(_xlfn.XLOOKUP($H8,$D:$D,C:C),"")=0,"",IFERROR(_xlfn.XLOOKUP($H8,$D:$D,C:C),""))</f>
        <v/>
      </c>
      <c r="K8" s="63">
        <f t="shared" ref="K8:K39" si="4">IFERROR(VLOOKUP(H8,$D$8:$F$200,3,FALSE),"")</f>
        <v>0</v>
      </c>
      <c r="L8" s="64">
        <f t="shared" ref="L8:L71" si="5">IFERROR(K8/SUM($C$204:$C$213),"")</f>
        <v>0</v>
      </c>
    </row>
    <row r="9" spans="2:12" x14ac:dyDescent="0.25">
      <c r="B9" s="29" t="e">
        <f>_xlfn.XLOOKUP(TABELA_GERAL[[#This Row],[DESCRIÇÃO]],'TABELA MÃE'!D:D,'TABELA MÃE'!A:A)</f>
        <v>#VALUE!</v>
      </c>
      <c r="C9" s="29" t="e">
        <f>_xlfn.XLOOKUP(TABELA_GERAL[[#This Row],[DESCRIÇÃO]],'TABELA MÃE'!D:D,'TABELA MÃE'!B:B)</f>
        <v>#VALUE!</v>
      </c>
      <c r="D9" s="29" t="e">
        <f t="shared" si="0"/>
        <v>#VALUE!</v>
      </c>
      <c r="E9" s="63" t="e">
        <f>TABELA_GERAL[[#This Row],[VALOR TOTAL R$]]</f>
        <v>#VALUE!</v>
      </c>
      <c r="F9" s="63" t="e">
        <f t="shared" si="1"/>
        <v>#VALUE!</v>
      </c>
      <c r="H9" s="61" t="str">
        <v/>
      </c>
      <c r="I9" s="29" t="str">
        <f t="shared" si="2"/>
        <v/>
      </c>
      <c r="J9" s="29" t="str">
        <f t="shared" si="3"/>
        <v/>
      </c>
      <c r="K9" s="63" t="str">
        <f t="shared" si="4"/>
        <v/>
      </c>
      <c r="L9" s="64" t="str">
        <f t="shared" si="5"/>
        <v/>
      </c>
    </row>
    <row r="10" spans="2:12" x14ac:dyDescent="0.25">
      <c r="B10" s="29" t="e">
        <f>_xlfn.XLOOKUP(TABELA_GERAL[[#This Row],[DESCRIÇÃO]],'TABELA MÃE'!D:D,'TABELA MÃE'!A:A)</f>
        <v>#VALUE!</v>
      </c>
      <c r="C10" s="29" t="e">
        <f>_xlfn.XLOOKUP(TABELA_GERAL[[#This Row],[DESCRIÇÃO]],'TABELA MÃE'!D:D,'TABELA MÃE'!B:B)</f>
        <v>#VALUE!</v>
      </c>
      <c r="D10" s="29" t="e">
        <f t="shared" si="0"/>
        <v>#VALUE!</v>
      </c>
      <c r="E10" s="63" t="e">
        <f>TABELA_GERAL[[#This Row],[VALOR TOTAL R$]]</f>
        <v>#VALUE!</v>
      </c>
      <c r="F10" s="63" t="e">
        <f t="shared" si="1"/>
        <v>#VALUE!</v>
      </c>
      <c r="H10" s="58"/>
      <c r="I10" s="29" t="str">
        <f t="shared" si="2"/>
        <v/>
      </c>
      <c r="J10" s="29" t="str">
        <f t="shared" si="3"/>
        <v/>
      </c>
      <c r="K10" s="63" t="str">
        <f t="shared" si="4"/>
        <v/>
      </c>
      <c r="L10" s="64" t="str">
        <f t="shared" si="5"/>
        <v/>
      </c>
    </row>
    <row r="11" spans="2:12" x14ac:dyDescent="0.25">
      <c r="B11" s="29" t="e">
        <f>_xlfn.XLOOKUP(TABELA_GERAL[[#This Row],[DESCRIÇÃO]],'TABELA MÃE'!D:D,'TABELA MÃE'!A:A)</f>
        <v>#VALUE!</v>
      </c>
      <c r="C11" s="29" t="e">
        <f>_xlfn.XLOOKUP(TABELA_GERAL[[#This Row],[DESCRIÇÃO]],'TABELA MÃE'!D:D,'TABELA MÃE'!B:B)</f>
        <v>#VALUE!</v>
      </c>
      <c r="D11" s="29" t="e">
        <f t="shared" si="0"/>
        <v>#VALUE!</v>
      </c>
      <c r="E11" s="63" t="e">
        <f>TABELA_GERAL[[#This Row],[VALOR TOTAL R$]]</f>
        <v>#VALUE!</v>
      </c>
      <c r="F11" s="63" t="e">
        <f t="shared" si="1"/>
        <v>#VALUE!</v>
      </c>
      <c r="H11" s="61"/>
      <c r="I11" s="29" t="str">
        <f t="shared" si="2"/>
        <v/>
      </c>
      <c r="J11" s="29" t="str">
        <f t="shared" si="3"/>
        <v/>
      </c>
      <c r="K11" s="63" t="str">
        <f t="shared" si="4"/>
        <v/>
      </c>
      <c r="L11" s="64" t="str">
        <f t="shared" si="5"/>
        <v/>
      </c>
    </row>
    <row r="12" spans="2:12" x14ac:dyDescent="0.25">
      <c r="B12" s="29" t="e">
        <f>_xlfn.XLOOKUP(TABELA_GERAL[[#This Row],[DESCRIÇÃO]],'TABELA MÃE'!D:D,'TABELA MÃE'!A:A)</f>
        <v>#VALUE!</v>
      </c>
      <c r="C12" s="29" t="e">
        <f>_xlfn.XLOOKUP(TABELA_GERAL[[#This Row],[DESCRIÇÃO]],'TABELA MÃE'!D:D,'TABELA MÃE'!B:B)</f>
        <v>#VALUE!</v>
      </c>
      <c r="D12" s="29" t="e">
        <f t="shared" si="0"/>
        <v>#VALUE!</v>
      </c>
      <c r="E12" s="63" t="e">
        <f>TABELA_GERAL[[#This Row],[VALOR TOTAL R$]]</f>
        <v>#VALUE!</v>
      </c>
      <c r="F12" s="63" t="e">
        <f t="shared" si="1"/>
        <v>#VALUE!</v>
      </c>
      <c r="H12" s="58"/>
      <c r="I12" s="29" t="str">
        <f t="shared" si="2"/>
        <v/>
      </c>
      <c r="J12" s="29" t="str">
        <f t="shared" si="3"/>
        <v/>
      </c>
      <c r="K12" s="63" t="str">
        <f t="shared" si="4"/>
        <v/>
      </c>
      <c r="L12" s="64" t="str">
        <f t="shared" si="5"/>
        <v/>
      </c>
    </row>
    <row r="13" spans="2:12" x14ac:dyDescent="0.25">
      <c r="B13" s="29" t="e">
        <f>_xlfn.XLOOKUP(TABELA_GERAL[[#This Row],[DESCRIÇÃO]],'TABELA MÃE'!D:D,'TABELA MÃE'!A:A)</f>
        <v>#VALUE!</v>
      </c>
      <c r="C13" s="29" t="e">
        <f>_xlfn.XLOOKUP(TABELA_GERAL[[#This Row],[DESCRIÇÃO]],'TABELA MÃE'!D:D,'TABELA MÃE'!B:B)</f>
        <v>#VALUE!</v>
      </c>
      <c r="D13" s="29" t="e">
        <f t="shared" si="0"/>
        <v>#VALUE!</v>
      </c>
      <c r="E13" s="63" t="e">
        <f>TABELA_GERAL[[#This Row],[VALOR TOTAL R$]]</f>
        <v>#VALUE!</v>
      </c>
      <c r="F13" s="63" t="e">
        <f t="shared" si="1"/>
        <v>#VALUE!</v>
      </c>
      <c r="H13" s="61"/>
      <c r="I13" s="29" t="str">
        <f t="shared" si="2"/>
        <v/>
      </c>
      <c r="J13" s="29" t="str">
        <f t="shared" si="3"/>
        <v/>
      </c>
      <c r="K13" s="63" t="str">
        <f t="shared" si="4"/>
        <v/>
      </c>
      <c r="L13" s="64" t="str">
        <f t="shared" si="5"/>
        <v/>
      </c>
    </row>
    <row r="14" spans="2:12" x14ac:dyDescent="0.25">
      <c r="B14" s="29" t="e">
        <f>_xlfn.XLOOKUP(TABELA_GERAL[[#This Row],[DESCRIÇÃO]],'TABELA MÃE'!D:D,'TABELA MÃE'!A:A)</f>
        <v>#VALUE!</v>
      </c>
      <c r="C14" s="29" t="e">
        <f>_xlfn.XLOOKUP(TABELA_GERAL[[#This Row],[DESCRIÇÃO]],'TABELA MÃE'!D:D,'TABELA MÃE'!B:B)</f>
        <v>#VALUE!</v>
      </c>
      <c r="D14" s="29" t="e">
        <f t="shared" si="0"/>
        <v>#VALUE!</v>
      </c>
      <c r="E14" s="63" t="e">
        <f>TABELA_GERAL[[#This Row],[VALOR TOTAL R$]]</f>
        <v>#VALUE!</v>
      </c>
      <c r="F14" s="63" t="e">
        <f t="shared" si="1"/>
        <v>#VALUE!</v>
      </c>
      <c r="H14" s="58"/>
      <c r="I14" s="29" t="str">
        <f t="shared" si="2"/>
        <v/>
      </c>
      <c r="J14" s="29" t="str">
        <f t="shared" si="3"/>
        <v/>
      </c>
      <c r="K14" s="63" t="str">
        <f t="shared" si="4"/>
        <v/>
      </c>
      <c r="L14" s="64" t="str">
        <f t="shared" si="5"/>
        <v/>
      </c>
    </row>
    <row r="15" spans="2:12" x14ac:dyDescent="0.25">
      <c r="B15" s="29" t="e">
        <f>_xlfn.XLOOKUP(TABELA_GERAL[[#This Row],[DESCRIÇÃO]],'TABELA MÃE'!D:D,'TABELA MÃE'!A:A)</f>
        <v>#VALUE!</v>
      </c>
      <c r="C15" s="29" t="e">
        <f>_xlfn.XLOOKUP(TABELA_GERAL[[#This Row],[DESCRIÇÃO]],'TABELA MÃE'!D:D,'TABELA MÃE'!B:B)</f>
        <v>#VALUE!</v>
      </c>
      <c r="D15" s="29" t="e">
        <f t="shared" si="0"/>
        <v>#VALUE!</v>
      </c>
      <c r="E15" s="63" t="e">
        <f>TABELA_GERAL[[#This Row],[VALOR TOTAL R$]]</f>
        <v>#VALUE!</v>
      </c>
      <c r="F15" s="63" t="e">
        <f t="shared" si="1"/>
        <v>#VALUE!</v>
      </c>
      <c r="H15" s="61"/>
      <c r="I15" s="29" t="str">
        <f t="shared" si="2"/>
        <v/>
      </c>
      <c r="J15" s="29" t="str">
        <f t="shared" si="3"/>
        <v/>
      </c>
      <c r="K15" s="63" t="str">
        <f t="shared" si="4"/>
        <v/>
      </c>
      <c r="L15" s="64" t="str">
        <f t="shared" si="5"/>
        <v/>
      </c>
    </row>
    <row r="16" spans="2:12" x14ac:dyDescent="0.25">
      <c r="B16" s="29" t="e">
        <f>_xlfn.XLOOKUP(TABELA_GERAL[[#This Row],[DESCRIÇÃO]],'TABELA MÃE'!D:D,'TABELA MÃE'!A:A)</f>
        <v>#VALUE!</v>
      </c>
      <c r="C16" s="29" t="e">
        <f>_xlfn.XLOOKUP(TABELA_GERAL[[#This Row],[DESCRIÇÃO]],'TABELA MÃE'!D:D,'TABELA MÃE'!B:B)</f>
        <v>#VALUE!</v>
      </c>
      <c r="D16" s="29" t="e">
        <f t="shared" si="0"/>
        <v>#VALUE!</v>
      </c>
      <c r="E16" s="63" t="e">
        <f>TABELA_GERAL[[#This Row],[VALOR TOTAL R$]]</f>
        <v>#VALUE!</v>
      </c>
      <c r="F16" s="63" t="e">
        <f t="shared" si="1"/>
        <v>#VALUE!</v>
      </c>
      <c r="H16" s="58"/>
      <c r="I16" s="29" t="str">
        <f t="shared" si="2"/>
        <v/>
      </c>
      <c r="J16" s="29" t="str">
        <f t="shared" si="3"/>
        <v/>
      </c>
      <c r="K16" s="63" t="str">
        <f t="shared" si="4"/>
        <v/>
      </c>
      <c r="L16" s="64" t="str">
        <f t="shared" si="5"/>
        <v/>
      </c>
    </row>
    <row r="17" spans="2:12" x14ac:dyDescent="0.25">
      <c r="B17" s="29" t="e">
        <f>_xlfn.XLOOKUP(TABELA_GERAL[[#This Row],[DESCRIÇÃO]],'TABELA MÃE'!D:D,'TABELA MÃE'!A:A)</f>
        <v>#VALUE!</v>
      </c>
      <c r="C17" s="29" t="e">
        <f>_xlfn.XLOOKUP(TABELA_GERAL[[#This Row],[DESCRIÇÃO]],'TABELA MÃE'!D:D,'TABELA MÃE'!B:B)</f>
        <v>#VALUE!</v>
      </c>
      <c r="D17" s="29" t="e">
        <f t="shared" si="0"/>
        <v>#VALUE!</v>
      </c>
      <c r="E17" s="63" t="e">
        <f>TABELA_GERAL[[#This Row],[VALOR TOTAL R$]]</f>
        <v>#VALUE!</v>
      </c>
      <c r="F17" s="63" t="e">
        <f t="shared" si="1"/>
        <v>#VALUE!</v>
      </c>
      <c r="H17" s="61"/>
      <c r="I17" s="29" t="str">
        <f t="shared" si="2"/>
        <v/>
      </c>
      <c r="J17" s="29" t="str">
        <f t="shared" si="3"/>
        <v/>
      </c>
      <c r="K17" s="63" t="str">
        <f t="shared" si="4"/>
        <v/>
      </c>
      <c r="L17" s="64" t="str">
        <f t="shared" si="5"/>
        <v/>
      </c>
    </row>
    <row r="18" spans="2:12" x14ac:dyDescent="0.25">
      <c r="B18" s="29" t="e">
        <f>_xlfn.XLOOKUP(TABELA_GERAL[[#This Row],[DESCRIÇÃO]],'TABELA MÃE'!D:D,'TABELA MÃE'!A:A)</f>
        <v>#VALUE!</v>
      </c>
      <c r="C18" s="29" t="e">
        <f>_xlfn.XLOOKUP(TABELA_GERAL[[#This Row],[DESCRIÇÃO]],'TABELA MÃE'!D:D,'TABELA MÃE'!B:B)</f>
        <v>#VALUE!</v>
      </c>
      <c r="D18" s="29" t="e">
        <f t="shared" si="0"/>
        <v>#VALUE!</v>
      </c>
      <c r="E18" s="63" t="e">
        <f>TABELA_GERAL[[#This Row],[VALOR TOTAL R$]]</f>
        <v>#VALUE!</v>
      </c>
      <c r="F18" s="63" t="e">
        <f t="shared" si="1"/>
        <v>#VALUE!</v>
      </c>
      <c r="H18" s="58"/>
      <c r="I18" s="29" t="str">
        <f t="shared" si="2"/>
        <v/>
      </c>
      <c r="J18" s="29" t="str">
        <f t="shared" si="3"/>
        <v/>
      </c>
      <c r="K18" s="63" t="str">
        <f t="shared" si="4"/>
        <v/>
      </c>
      <c r="L18" s="64" t="str">
        <f t="shared" si="5"/>
        <v/>
      </c>
    </row>
    <row r="19" spans="2:12" x14ac:dyDescent="0.25">
      <c r="B19" s="29" t="e">
        <f>_xlfn.XLOOKUP(TABELA_GERAL[[#This Row],[DESCRIÇÃO]],'TABELA MÃE'!D:D,'TABELA MÃE'!A:A)</f>
        <v>#VALUE!</v>
      </c>
      <c r="C19" s="29" t="e">
        <f>_xlfn.XLOOKUP(TABELA_GERAL[[#This Row],[DESCRIÇÃO]],'TABELA MÃE'!D:D,'TABELA MÃE'!B:B)</f>
        <v>#VALUE!</v>
      </c>
      <c r="D19" s="29" t="e">
        <f t="shared" si="0"/>
        <v>#VALUE!</v>
      </c>
      <c r="E19" s="63" t="e">
        <f>TABELA_GERAL[[#This Row],[VALOR TOTAL R$]]</f>
        <v>#VALUE!</v>
      </c>
      <c r="F19" s="63" t="e">
        <f t="shared" si="1"/>
        <v>#VALUE!</v>
      </c>
      <c r="H19" s="61"/>
      <c r="I19" s="29" t="str">
        <f t="shared" si="2"/>
        <v/>
      </c>
      <c r="J19" s="29" t="str">
        <f t="shared" si="3"/>
        <v/>
      </c>
      <c r="K19" s="63" t="str">
        <f t="shared" si="4"/>
        <v/>
      </c>
      <c r="L19" s="64" t="str">
        <f t="shared" si="5"/>
        <v/>
      </c>
    </row>
    <row r="20" spans="2:12" x14ac:dyDescent="0.25">
      <c r="B20" s="29" t="e">
        <f>_xlfn.XLOOKUP(TABELA_GERAL[[#This Row],[DESCRIÇÃO]],'TABELA MÃE'!D:D,'TABELA MÃE'!A:A)</f>
        <v>#VALUE!</v>
      </c>
      <c r="C20" s="29" t="e">
        <f>_xlfn.XLOOKUP(TABELA_GERAL[[#This Row],[DESCRIÇÃO]],'TABELA MÃE'!D:D,'TABELA MÃE'!B:B)</f>
        <v>#VALUE!</v>
      </c>
      <c r="D20" s="29" t="e">
        <f t="shared" si="0"/>
        <v>#VALUE!</v>
      </c>
      <c r="E20" s="63" t="e">
        <f>TABELA_GERAL[[#This Row],[VALOR TOTAL R$]]</f>
        <v>#VALUE!</v>
      </c>
      <c r="F20" s="63" t="e">
        <f t="shared" si="1"/>
        <v>#VALUE!</v>
      </c>
      <c r="H20" s="58"/>
      <c r="I20" s="29" t="str">
        <f t="shared" si="2"/>
        <v/>
      </c>
      <c r="J20" s="29" t="str">
        <f t="shared" si="3"/>
        <v/>
      </c>
      <c r="K20" s="63" t="str">
        <f t="shared" si="4"/>
        <v/>
      </c>
      <c r="L20" s="64" t="str">
        <f t="shared" si="5"/>
        <v/>
      </c>
    </row>
    <row r="21" spans="2:12" x14ac:dyDescent="0.25">
      <c r="B21" s="29" t="e">
        <f>_xlfn.XLOOKUP(TABELA_GERAL[[#This Row],[DESCRIÇÃO]],'TABELA MÃE'!D:D,'TABELA MÃE'!A:A)</f>
        <v>#VALUE!</v>
      </c>
      <c r="C21" s="29" t="e">
        <f>_xlfn.XLOOKUP(TABELA_GERAL[[#This Row],[DESCRIÇÃO]],'TABELA MÃE'!D:D,'TABELA MÃE'!B:B)</f>
        <v>#VALUE!</v>
      </c>
      <c r="D21" s="29" t="e">
        <f t="shared" si="0"/>
        <v>#VALUE!</v>
      </c>
      <c r="E21" s="63" t="e">
        <f>TABELA_GERAL[[#This Row],[VALOR TOTAL R$]]</f>
        <v>#VALUE!</v>
      </c>
      <c r="F21" s="63" t="e">
        <f t="shared" si="1"/>
        <v>#VALUE!</v>
      </c>
      <c r="H21" s="61"/>
      <c r="I21" s="29" t="str">
        <f t="shared" si="2"/>
        <v/>
      </c>
      <c r="J21" s="29" t="str">
        <f t="shared" si="3"/>
        <v/>
      </c>
      <c r="K21" s="63" t="str">
        <f t="shared" si="4"/>
        <v/>
      </c>
      <c r="L21" s="64" t="str">
        <f t="shared" si="5"/>
        <v/>
      </c>
    </row>
    <row r="22" spans="2:12" x14ac:dyDescent="0.25">
      <c r="B22" s="29" t="e">
        <f>_xlfn.XLOOKUP(TABELA_GERAL[[#This Row],[DESCRIÇÃO]],'TABELA MÃE'!D:D,'TABELA MÃE'!A:A)</f>
        <v>#VALUE!</v>
      </c>
      <c r="C22" s="29" t="e">
        <f>_xlfn.XLOOKUP(TABELA_GERAL[[#This Row],[DESCRIÇÃO]],'TABELA MÃE'!D:D,'TABELA MÃE'!B:B)</f>
        <v>#VALUE!</v>
      </c>
      <c r="D22" s="29" t="e">
        <f t="shared" si="0"/>
        <v>#VALUE!</v>
      </c>
      <c r="E22" s="63" t="e">
        <f>TABELA_GERAL[[#This Row],[VALOR TOTAL R$]]</f>
        <v>#VALUE!</v>
      </c>
      <c r="F22" s="63" t="e">
        <f t="shared" si="1"/>
        <v>#VALUE!</v>
      </c>
      <c r="H22" s="58"/>
      <c r="I22" s="29" t="str">
        <f t="shared" si="2"/>
        <v/>
      </c>
      <c r="J22" s="29" t="str">
        <f t="shared" si="3"/>
        <v/>
      </c>
      <c r="K22" s="63" t="str">
        <f t="shared" si="4"/>
        <v/>
      </c>
      <c r="L22" s="64" t="str">
        <f t="shared" si="5"/>
        <v/>
      </c>
    </row>
    <row r="23" spans="2:12" x14ac:dyDescent="0.25">
      <c r="B23" s="29" t="e">
        <f>_xlfn.XLOOKUP(TABELA_GERAL[[#This Row],[DESCRIÇÃO]],'TABELA MÃE'!D:D,'TABELA MÃE'!A:A)</f>
        <v>#VALUE!</v>
      </c>
      <c r="C23" s="29" t="e">
        <f>_xlfn.XLOOKUP(TABELA_GERAL[[#This Row],[DESCRIÇÃO]],'TABELA MÃE'!D:D,'TABELA MÃE'!B:B)</f>
        <v>#VALUE!</v>
      </c>
      <c r="D23" s="29" t="e">
        <f t="shared" si="0"/>
        <v>#VALUE!</v>
      </c>
      <c r="E23" s="63" t="e">
        <f>TABELA_GERAL[[#This Row],[VALOR TOTAL R$]]</f>
        <v>#VALUE!</v>
      </c>
      <c r="F23" s="63" t="e">
        <f t="shared" si="1"/>
        <v>#VALUE!</v>
      </c>
      <c r="H23" s="61"/>
      <c r="I23" s="29" t="str">
        <f t="shared" si="2"/>
        <v/>
      </c>
      <c r="J23" s="29" t="str">
        <f t="shared" si="3"/>
        <v/>
      </c>
      <c r="K23" s="63" t="str">
        <f t="shared" si="4"/>
        <v/>
      </c>
      <c r="L23" s="64" t="str">
        <f t="shared" si="5"/>
        <v/>
      </c>
    </row>
    <row r="24" spans="2:12" x14ac:dyDescent="0.25">
      <c r="B24" s="29" t="e">
        <f>_xlfn.XLOOKUP(TABELA_GERAL[[#This Row],[DESCRIÇÃO]],'TABELA MÃE'!D:D,'TABELA MÃE'!A:A)</f>
        <v>#VALUE!</v>
      </c>
      <c r="C24" s="29" t="e">
        <f>_xlfn.XLOOKUP(TABELA_GERAL[[#This Row],[DESCRIÇÃO]],'TABELA MÃE'!D:D,'TABELA MÃE'!B:B)</f>
        <v>#VALUE!</v>
      </c>
      <c r="D24" s="29" t="e">
        <f t="shared" si="0"/>
        <v>#VALUE!</v>
      </c>
      <c r="E24" s="63" t="e">
        <f>TABELA_GERAL[[#This Row],[VALOR TOTAL R$]]</f>
        <v>#VALUE!</v>
      </c>
      <c r="F24" s="63" t="e">
        <f t="shared" si="1"/>
        <v>#VALUE!</v>
      </c>
      <c r="H24" s="58"/>
      <c r="I24" s="29" t="str">
        <f t="shared" si="2"/>
        <v/>
      </c>
      <c r="J24" s="29" t="str">
        <f t="shared" si="3"/>
        <v/>
      </c>
      <c r="K24" s="63" t="str">
        <f t="shared" si="4"/>
        <v/>
      </c>
      <c r="L24" s="64" t="str">
        <f t="shared" si="5"/>
        <v/>
      </c>
    </row>
    <row r="25" spans="2:12" x14ac:dyDescent="0.25">
      <c r="B25" s="29" t="e">
        <f>_xlfn.XLOOKUP(TABELA_GERAL[[#This Row],[DESCRIÇÃO]],'TABELA MÃE'!D:D,'TABELA MÃE'!A:A)</f>
        <v>#VALUE!</v>
      </c>
      <c r="C25" s="29" t="e">
        <f>_xlfn.XLOOKUP(TABELA_GERAL[[#This Row],[DESCRIÇÃO]],'TABELA MÃE'!D:D,'TABELA MÃE'!B:B)</f>
        <v>#VALUE!</v>
      </c>
      <c r="D25" s="29" t="e">
        <f t="shared" si="0"/>
        <v>#VALUE!</v>
      </c>
      <c r="E25" s="63" t="e">
        <f>TABELA_GERAL[[#This Row],[VALOR TOTAL R$]]</f>
        <v>#VALUE!</v>
      </c>
      <c r="F25" s="63" t="e">
        <f t="shared" si="1"/>
        <v>#VALUE!</v>
      </c>
      <c r="H25" s="61"/>
      <c r="I25" s="29" t="str">
        <f t="shared" si="2"/>
        <v/>
      </c>
      <c r="J25" s="29" t="str">
        <f t="shared" si="3"/>
        <v/>
      </c>
      <c r="K25" s="63" t="str">
        <f t="shared" si="4"/>
        <v/>
      </c>
      <c r="L25" s="64" t="str">
        <f t="shared" si="5"/>
        <v/>
      </c>
    </row>
    <row r="26" spans="2:12" x14ac:dyDescent="0.25">
      <c r="B26" s="29" t="e">
        <f>_xlfn.XLOOKUP(TABELA_GERAL[[#This Row],[DESCRIÇÃO]],'TABELA MÃE'!D:D,'TABELA MÃE'!A:A)</f>
        <v>#VALUE!</v>
      </c>
      <c r="C26" s="29" t="e">
        <f>_xlfn.XLOOKUP(TABELA_GERAL[[#This Row],[DESCRIÇÃO]],'TABELA MÃE'!D:D,'TABELA MÃE'!B:B)</f>
        <v>#VALUE!</v>
      </c>
      <c r="D26" s="29" t="e">
        <f t="shared" si="0"/>
        <v>#VALUE!</v>
      </c>
      <c r="E26" s="63" t="e">
        <f>TABELA_GERAL[[#This Row],[VALOR TOTAL R$]]</f>
        <v>#VALUE!</v>
      </c>
      <c r="F26" s="63" t="e">
        <f t="shared" si="1"/>
        <v>#VALUE!</v>
      </c>
      <c r="H26" s="58"/>
      <c r="I26" s="29" t="str">
        <f t="shared" si="2"/>
        <v/>
      </c>
      <c r="J26" s="29" t="str">
        <f t="shared" si="3"/>
        <v/>
      </c>
      <c r="K26" s="63" t="str">
        <f t="shared" si="4"/>
        <v/>
      </c>
      <c r="L26" s="64" t="str">
        <f t="shared" si="5"/>
        <v/>
      </c>
    </row>
    <row r="27" spans="2:12" x14ac:dyDescent="0.25">
      <c r="B27" s="29" t="e">
        <f>_xlfn.XLOOKUP(TABELA_GERAL[[#This Row],[DESCRIÇÃO]],'TABELA MÃE'!D:D,'TABELA MÃE'!A:A)</f>
        <v>#VALUE!</v>
      </c>
      <c r="C27" s="29" t="e">
        <f>_xlfn.XLOOKUP(TABELA_GERAL[[#This Row],[DESCRIÇÃO]],'TABELA MÃE'!D:D,'TABELA MÃE'!B:B)</f>
        <v>#VALUE!</v>
      </c>
      <c r="D27" s="29" t="e">
        <f t="shared" si="0"/>
        <v>#VALUE!</v>
      </c>
      <c r="E27" s="63" t="e">
        <f>TABELA_GERAL[[#This Row],[VALOR TOTAL R$]]</f>
        <v>#VALUE!</v>
      </c>
      <c r="F27" s="63" t="e">
        <f t="shared" si="1"/>
        <v>#VALUE!</v>
      </c>
      <c r="H27" s="61"/>
      <c r="I27" s="29" t="str">
        <f t="shared" si="2"/>
        <v/>
      </c>
      <c r="J27" s="29" t="str">
        <f t="shared" si="3"/>
        <v/>
      </c>
      <c r="K27" s="63" t="str">
        <f t="shared" si="4"/>
        <v/>
      </c>
      <c r="L27" s="64" t="str">
        <f t="shared" si="5"/>
        <v/>
      </c>
    </row>
    <row r="28" spans="2:12" x14ac:dyDescent="0.25">
      <c r="B28" s="29" t="e">
        <f>_xlfn.XLOOKUP(TABELA_GERAL[[#This Row],[DESCRIÇÃO]],'TABELA MÃE'!D:D,'TABELA MÃE'!A:A)</f>
        <v>#VALUE!</v>
      </c>
      <c r="C28" s="29" t="e">
        <f>_xlfn.XLOOKUP(TABELA_GERAL[[#This Row],[DESCRIÇÃO]],'TABELA MÃE'!D:D,'TABELA MÃE'!B:B)</f>
        <v>#VALUE!</v>
      </c>
      <c r="D28" s="29" t="e">
        <f t="shared" si="0"/>
        <v>#VALUE!</v>
      </c>
      <c r="E28" s="63" t="e">
        <f>TABELA_GERAL[[#This Row],[VALOR TOTAL R$]]</f>
        <v>#VALUE!</v>
      </c>
      <c r="F28" s="63" t="e">
        <f t="shared" si="1"/>
        <v>#VALUE!</v>
      </c>
      <c r="H28" s="58"/>
      <c r="I28" s="29" t="str">
        <f t="shared" si="2"/>
        <v/>
      </c>
      <c r="J28" s="29" t="str">
        <f t="shared" si="3"/>
        <v/>
      </c>
      <c r="K28" s="63" t="str">
        <f t="shared" si="4"/>
        <v/>
      </c>
      <c r="L28" s="64" t="str">
        <f t="shared" si="5"/>
        <v/>
      </c>
    </row>
    <row r="29" spans="2:12" x14ac:dyDescent="0.25">
      <c r="B29" s="29" t="e">
        <f>_xlfn.XLOOKUP(TABELA_GERAL[[#This Row],[DESCRIÇÃO]],'TABELA MÃE'!D:D,'TABELA MÃE'!A:A)</f>
        <v>#VALUE!</v>
      </c>
      <c r="C29" s="29" t="e">
        <f>_xlfn.XLOOKUP(TABELA_GERAL[[#This Row],[DESCRIÇÃO]],'TABELA MÃE'!D:D,'TABELA MÃE'!B:B)</f>
        <v>#VALUE!</v>
      </c>
      <c r="D29" s="29" t="e">
        <f t="shared" si="0"/>
        <v>#VALUE!</v>
      </c>
      <c r="E29" s="63" t="e">
        <f>TABELA_GERAL[[#This Row],[VALOR TOTAL R$]]</f>
        <v>#VALUE!</v>
      </c>
      <c r="F29" s="63" t="e">
        <f t="shared" si="1"/>
        <v>#VALUE!</v>
      </c>
      <c r="H29" s="61"/>
      <c r="I29" s="29" t="str">
        <f t="shared" si="2"/>
        <v/>
      </c>
      <c r="J29" s="29" t="str">
        <f t="shared" si="3"/>
        <v/>
      </c>
      <c r="K29" s="63" t="str">
        <f t="shared" si="4"/>
        <v/>
      </c>
      <c r="L29" s="64" t="str">
        <f t="shared" si="5"/>
        <v/>
      </c>
    </row>
    <row r="30" spans="2:12" x14ac:dyDescent="0.25">
      <c r="B30" s="29" t="e">
        <f>_xlfn.XLOOKUP(TABELA_GERAL[[#This Row],[DESCRIÇÃO]],'TABELA MÃE'!D:D,'TABELA MÃE'!A:A)</f>
        <v>#VALUE!</v>
      </c>
      <c r="C30" s="29" t="e">
        <f>_xlfn.XLOOKUP(TABELA_GERAL[[#This Row],[DESCRIÇÃO]],'TABELA MÃE'!D:D,'TABELA MÃE'!B:B)</f>
        <v>#VALUE!</v>
      </c>
      <c r="D30" s="29" t="e">
        <f t="shared" si="0"/>
        <v>#VALUE!</v>
      </c>
      <c r="E30" s="63" t="e">
        <f>TABELA_GERAL[[#This Row],[VALOR TOTAL R$]]</f>
        <v>#VALUE!</v>
      </c>
      <c r="F30" s="63" t="e">
        <f t="shared" si="1"/>
        <v>#VALUE!</v>
      </c>
      <c r="H30" s="58"/>
      <c r="I30" s="29" t="str">
        <f t="shared" si="2"/>
        <v/>
      </c>
      <c r="J30" s="29" t="str">
        <f t="shared" si="3"/>
        <v/>
      </c>
      <c r="K30" s="63" t="str">
        <f t="shared" si="4"/>
        <v/>
      </c>
      <c r="L30" s="64" t="str">
        <f t="shared" si="5"/>
        <v/>
      </c>
    </row>
    <row r="31" spans="2:12" x14ac:dyDescent="0.25">
      <c r="B31" s="29" t="e">
        <f>_xlfn.XLOOKUP(TABELA_GERAL[[#This Row],[DESCRIÇÃO]],'TABELA MÃE'!D:D,'TABELA MÃE'!A:A)</f>
        <v>#VALUE!</v>
      </c>
      <c r="C31" s="29" t="e">
        <f>_xlfn.XLOOKUP(TABELA_GERAL[[#This Row],[DESCRIÇÃO]],'TABELA MÃE'!D:D,'TABELA MÃE'!B:B)</f>
        <v>#VALUE!</v>
      </c>
      <c r="D31" s="29" t="e">
        <f t="shared" si="0"/>
        <v>#VALUE!</v>
      </c>
      <c r="E31" s="63" t="e">
        <f>TABELA_GERAL[[#This Row],[VALOR TOTAL R$]]</f>
        <v>#VALUE!</v>
      </c>
      <c r="F31" s="63" t="e">
        <f t="shared" si="1"/>
        <v>#VALUE!</v>
      </c>
      <c r="H31" s="61"/>
      <c r="I31" s="29" t="str">
        <f t="shared" si="2"/>
        <v/>
      </c>
      <c r="J31" s="29" t="str">
        <f t="shared" si="3"/>
        <v/>
      </c>
      <c r="K31" s="63" t="str">
        <f t="shared" si="4"/>
        <v/>
      </c>
      <c r="L31" s="64" t="str">
        <f t="shared" si="5"/>
        <v/>
      </c>
    </row>
    <row r="32" spans="2:12" x14ac:dyDescent="0.25">
      <c r="B32" s="29" t="e">
        <f>_xlfn.XLOOKUP(TABELA_GERAL[[#This Row],[DESCRIÇÃO]],'TABELA MÃE'!D:D,'TABELA MÃE'!A:A)</f>
        <v>#VALUE!</v>
      </c>
      <c r="C32" s="29" t="e">
        <f>_xlfn.XLOOKUP(TABELA_GERAL[[#This Row],[DESCRIÇÃO]],'TABELA MÃE'!D:D,'TABELA MÃE'!B:B)</f>
        <v>#VALUE!</v>
      </c>
      <c r="D32" s="29" t="e">
        <f t="shared" si="0"/>
        <v>#VALUE!</v>
      </c>
      <c r="E32" s="63" t="e">
        <f>TABELA_GERAL[[#This Row],[VALOR TOTAL R$]]</f>
        <v>#VALUE!</v>
      </c>
      <c r="F32" s="63" t="e">
        <f t="shared" si="1"/>
        <v>#VALUE!</v>
      </c>
      <c r="H32" s="58"/>
      <c r="I32" s="29" t="str">
        <f t="shared" si="2"/>
        <v/>
      </c>
      <c r="J32" s="29" t="str">
        <f t="shared" si="3"/>
        <v/>
      </c>
      <c r="K32" s="63" t="str">
        <f t="shared" si="4"/>
        <v/>
      </c>
      <c r="L32" s="64" t="str">
        <f t="shared" si="5"/>
        <v/>
      </c>
    </row>
    <row r="33" spans="2:12" x14ac:dyDescent="0.25">
      <c r="B33" s="29" t="e">
        <f>_xlfn.XLOOKUP(TABELA_GERAL[[#This Row],[DESCRIÇÃO]],'TABELA MÃE'!D:D,'TABELA MÃE'!A:A)</f>
        <v>#VALUE!</v>
      </c>
      <c r="C33" s="29" t="e">
        <f>_xlfn.XLOOKUP(TABELA_GERAL[[#This Row],[DESCRIÇÃO]],'TABELA MÃE'!D:D,'TABELA MÃE'!B:B)</f>
        <v>#VALUE!</v>
      </c>
      <c r="D33" s="29" t="e">
        <f t="shared" si="0"/>
        <v>#VALUE!</v>
      </c>
      <c r="E33" s="63" t="e">
        <f>TABELA_GERAL[[#This Row],[VALOR TOTAL R$]]</f>
        <v>#VALUE!</v>
      </c>
      <c r="F33" s="63" t="e">
        <f t="shared" si="1"/>
        <v>#VALUE!</v>
      </c>
      <c r="H33" s="61"/>
      <c r="I33" s="29" t="str">
        <f t="shared" si="2"/>
        <v/>
      </c>
      <c r="J33" s="29" t="str">
        <f t="shared" si="3"/>
        <v/>
      </c>
      <c r="K33" s="63" t="str">
        <f t="shared" si="4"/>
        <v/>
      </c>
      <c r="L33" s="64" t="str">
        <f t="shared" si="5"/>
        <v/>
      </c>
    </row>
    <row r="34" spans="2:12" x14ac:dyDescent="0.25">
      <c r="B34" s="29" t="e">
        <f>_xlfn.XLOOKUP(TABELA_GERAL[[#This Row],[DESCRIÇÃO]],'TABELA MÃE'!D:D,'TABELA MÃE'!A:A)</f>
        <v>#VALUE!</v>
      </c>
      <c r="C34" s="29" t="e">
        <f>_xlfn.XLOOKUP(TABELA_GERAL[[#This Row],[DESCRIÇÃO]],'TABELA MÃE'!D:D,'TABELA MÃE'!B:B)</f>
        <v>#VALUE!</v>
      </c>
      <c r="D34" s="29" t="e">
        <f t="shared" si="0"/>
        <v>#VALUE!</v>
      </c>
      <c r="E34" s="63" t="e">
        <f>TABELA_GERAL[[#This Row],[VALOR TOTAL R$]]</f>
        <v>#VALUE!</v>
      </c>
      <c r="F34" s="63" t="e">
        <f t="shared" si="1"/>
        <v>#VALUE!</v>
      </c>
      <c r="H34" s="58"/>
      <c r="I34" s="29" t="str">
        <f t="shared" si="2"/>
        <v/>
      </c>
      <c r="J34" s="29" t="str">
        <f t="shared" si="3"/>
        <v/>
      </c>
      <c r="K34" s="63" t="str">
        <f t="shared" si="4"/>
        <v/>
      </c>
      <c r="L34" s="64" t="str">
        <f t="shared" si="5"/>
        <v/>
      </c>
    </row>
    <row r="35" spans="2:12" x14ac:dyDescent="0.25">
      <c r="B35" s="29" t="e">
        <f>_xlfn.XLOOKUP(TABELA_GERAL[[#This Row],[DESCRIÇÃO]],'TABELA MÃE'!D:D,'TABELA MÃE'!A:A)</f>
        <v>#VALUE!</v>
      </c>
      <c r="C35" s="29" t="e">
        <f>_xlfn.XLOOKUP(TABELA_GERAL[[#This Row],[DESCRIÇÃO]],'TABELA MÃE'!D:D,'TABELA MÃE'!B:B)</f>
        <v>#VALUE!</v>
      </c>
      <c r="D35" s="29" t="e">
        <f t="shared" si="0"/>
        <v>#VALUE!</v>
      </c>
      <c r="E35" s="63" t="e">
        <f>TABELA_GERAL[[#This Row],[VALOR TOTAL R$]]</f>
        <v>#VALUE!</v>
      </c>
      <c r="F35" s="63" t="e">
        <f t="shared" si="1"/>
        <v>#VALUE!</v>
      </c>
      <c r="H35" s="61"/>
      <c r="I35" s="29" t="str">
        <f t="shared" si="2"/>
        <v/>
      </c>
      <c r="J35" s="29" t="str">
        <f t="shared" si="3"/>
        <v/>
      </c>
      <c r="K35" s="63" t="str">
        <f t="shared" si="4"/>
        <v/>
      </c>
      <c r="L35" s="64" t="str">
        <f t="shared" si="5"/>
        <v/>
      </c>
    </row>
    <row r="36" spans="2:12" x14ac:dyDescent="0.25">
      <c r="B36" s="29" t="e">
        <f>_xlfn.XLOOKUP(TABELA_GERAL[[#This Row],[DESCRIÇÃO]],'TABELA MÃE'!D:D,'TABELA MÃE'!A:A)</f>
        <v>#VALUE!</v>
      </c>
      <c r="C36" s="29" t="e">
        <f>_xlfn.XLOOKUP(TABELA_GERAL[[#This Row],[DESCRIÇÃO]],'TABELA MÃE'!D:D,'TABELA MÃE'!B:B)</f>
        <v>#VALUE!</v>
      </c>
      <c r="D36" s="29" t="e">
        <f t="shared" si="0"/>
        <v>#VALUE!</v>
      </c>
      <c r="E36" s="63" t="e">
        <f>TABELA_GERAL[[#This Row],[VALOR TOTAL R$]]</f>
        <v>#VALUE!</v>
      </c>
      <c r="F36" s="63" t="e">
        <f t="shared" si="1"/>
        <v>#VALUE!</v>
      </c>
      <c r="H36" s="58"/>
      <c r="I36" s="29" t="str">
        <f t="shared" si="2"/>
        <v/>
      </c>
      <c r="J36" s="29" t="str">
        <f t="shared" si="3"/>
        <v/>
      </c>
      <c r="K36" s="63" t="str">
        <f t="shared" si="4"/>
        <v/>
      </c>
      <c r="L36" s="64" t="str">
        <f t="shared" si="5"/>
        <v/>
      </c>
    </row>
    <row r="37" spans="2:12" x14ac:dyDescent="0.25">
      <c r="B37" s="29" t="e">
        <f>_xlfn.XLOOKUP(TABELA_GERAL[[#This Row],[DESCRIÇÃO]],'TABELA MÃE'!D:D,'TABELA MÃE'!A:A)</f>
        <v>#VALUE!</v>
      </c>
      <c r="C37" s="29" t="e">
        <f>_xlfn.XLOOKUP(TABELA_GERAL[[#This Row],[DESCRIÇÃO]],'TABELA MÃE'!D:D,'TABELA MÃE'!B:B)</f>
        <v>#VALUE!</v>
      </c>
      <c r="D37" s="29" t="e">
        <f t="shared" si="0"/>
        <v>#VALUE!</v>
      </c>
      <c r="E37" s="63" t="e">
        <f>TABELA_GERAL[[#This Row],[VALOR TOTAL R$]]</f>
        <v>#VALUE!</v>
      </c>
      <c r="F37" s="63" t="e">
        <f t="shared" si="1"/>
        <v>#VALUE!</v>
      </c>
      <c r="H37" s="61"/>
      <c r="I37" s="29" t="str">
        <f t="shared" si="2"/>
        <v/>
      </c>
      <c r="J37" s="29" t="str">
        <f t="shared" si="3"/>
        <v/>
      </c>
      <c r="K37" s="63" t="str">
        <f t="shared" si="4"/>
        <v/>
      </c>
      <c r="L37" s="64" t="str">
        <f t="shared" si="5"/>
        <v/>
      </c>
    </row>
    <row r="38" spans="2:12" x14ac:dyDescent="0.25">
      <c r="B38" s="29" t="e">
        <f>_xlfn.XLOOKUP(TABELA_GERAL[[#This Row],[DESCRIÇÃO]],'TABELA MÃE'!D:D,'TABELA MÃE'!A:A)</f>
        <v>#VALUE!</v>
      </c>
      <c r="C38" s="29" t="e">
        <f>_xlfn.XLOOKUP(TABELA_GERAL[[#This Row],[DESCRIÇÃO]],'TABELA MÃE'!D:D,'TABELA MÃE'!B:B)</f>
        <v>#VALUE!</v>
      </c>
      <c r="D38" s="29" t="e">
        <f t="shared" si="0"/>
        <v>#VALUE!</v>
      </c>
      <c r="E38" s="63" t="e">
        <f>TABELA_GERAL[[#This Row],[VALOR TOTAL R$]]</f>
        <v>#VALUE!</v>
      </c>
      <c r="F38" s="63" t="e">
        <f t="shared" si="1"/>
        <v>#VALUE!</v>
      </c>
      <c r="H38" s="58"/>
      <c r="I38" s="29" t="str">
        <f t="shared" si="2"/>
        <v/>
      </c>
      <c r="J38" s="29" t="str">
        <f t="shared" si="3"/>
        <v/>
      </c>
      <c r="K38" s="63" t="str">
        <f t="shared" si="4"/>
        <v/>
      </c>
      <c r="L38" s="64" t="str">
        <f t="shared" si="5"/>
        <v/>
      </c>
    </row>
    <row r="39" spans="2:12" x14ac:dyDescent="0.25">
      <c r="B39" s="29" t="e">
        <f>_xlfn.XLOOKUP(TABELA_GERAL[[#This Row],[DESCRIÇÃO]],'TABELA MÃE'!D:D,'TABELA MÃE'!A:A)</f>
        <v>#VALUE!</v>
      </c>
      <c r="C39" s="29" t="e">
        <f>_xlfn.XLOOKUP(TABELA_GERAL[[#This Row],[DESCRIÇÃO]],'TABELA MÃE'!D:D,'TABELA MÃE'!B:B)</f>
        <v>#VALUE!</v>
      </c>
      <c r="D39" s="29" t="e">
        <f t="shared" si="0"/>
        <v>#VALUE!</v>
      </c>
      <c r="E39" s="63" t="e">
        <f>TABELA_GERAL[[#This Row],[VALOR TOTAL R$]]</f>
        <v>#VALUE!</v>
      </c>
      <c r="F39" s="63" t="e">
        <f t="shared" si="1"/>
        <v>#VALUE!</v>
      </c>
      <c r="H39" s="61"/>
      <c r="I39" s="29" t="str">
        <f t="shared" si="2"/>
        <v/>
      </c>
      <c r="J39" s="29" t="str">
        <f t="shared" si="3"/>
        <v/>
      </c>
      <c r="K39" s="63" t="str">
        <f t="shared" si="4"/>
        <v/>
      </c>
      <c r="L39" s="64" t="str">
        <f t="shared" si="5"/>
        <v/>
      </c>
    </row>
    <row r="40" spans="2:12" x14ac:dyDescent="0.25">
      <c r="B40" s="29" t="e">
        <f>_xlfn.XLOOKUP(TABELA_GERAL[[#This Row],[DESCRIÇÃO]],'TABELA MÃE'!D:D,'TABELA MÃE'!A:A)</f>
        <v>#VALUE!</v>
      </c>
      <c r="C40" s="29" t="e">
        <f>_xlfn.XLOOKUP(TABELA_GERAL[[#This Row],[DESCRIÇÃO]],'TABELA MÃE'!D:D,'TABELA MÃE'!B:B)</f>
        <v>#VALUE!</v>
      </c>
      <c r="D40" s="29" t="e">
        <f t="shared" ref="D40:D71" si="6">CONCATENATE(B40,"-",C40)</f>
        <v>#VALUE!</v>
      </c>
      <c r="E40" s="63" t="e">
        <f>TABELA_GERAL[[#This Row],[VALOR TOTAL R$]]</f>
        <v>#VALUE!</v>
      </c>
      <c r="F40" s="63" t="e">
        <f t="shared" ref="F40:F71" si="7">SUMIF($D$8:$D$200,D40,$E$8:$E$200)</f>
        <v>#VALUE!</v>
      </c>
      <c r="H40" s="58"/>
      <c r="I40" s="29" t="str">
        <f t="shared" ref="I40:I71" si="8">IF(IFERROR(_xlfn.XLOOKUP($H40,$D:$D,B:B),"")=0,"",IFERROR(_xlfn.XLOOKUP($H40,$D:$D,B:B),""))</f>
        <v/>
      </c>
      <c r="J40" s="29" t="str">
        <f t="shared" ref="J40:J71" si="9">IF(IFERROR(_xlfn.XLOOKUP($H40,$D:$D,C:C),"")=0,"",IFERROR(_xlfn.XLOOKUP($H40,$D:$D,C:C),""))</f>
        <v/>
      </c>
      <c r="K40" s="63" t="str">
        <f t="shared" ref="K40:K71" si="10">IFERROR(VLOOKUP(H40,$D$8:$F$200,3,FALSE),"")</f>
        <v/>
      </c>
      <c r="L40" s="64" t="str">
        <f t="shared" si="5"/>
        <v/>
      </c>
    </row>
    <row r="41" spans="2:12" x14ac:dyDescent="0.25">
      <c r="B41" s="29" t="e">
        <f>_xlfn.XLOOKUP(TABELA_GERAL[[#This Row],[DESCRIÇÃO]],'TABELA MÃE'!D:D,'TABELA MÃE'!A:A)</f>
        <v>#VALUE!</v>
      </c>
      <c r="C41" s="29" t="e">
        <f>_xlfn.XLOOKUP(TABELA_GERAL[[#This Row],[DESCRIÇÃO]],'TABELA MÃE'!D:D,'TABELA MÃE'!B:B)</f>
        <v>#VALUE!</v>
      </c>
      <c r="D41" s="29" t="e">
        <f t="shared" si="6"/>
        <v>#VALUE!</v>
      </c>
      <c r="E41" s="63" t="e">
        <f>TABELA_GERAL[[#This Row],[VALOR TOTAL R$]]</f>
        <v>#VALUE!</v>
      </c>
      <c r="F41" s="63" t="e">
        <f t="shared" si="7"/>
        <v>#VALUE!</v>
      </c>
      <c r="H41" s="61"/>
      <c r="I41" s="29" t="str">
        <f t="shared" si="8"/>
        <v/>
      </c>
      <c r="J41" s="29" t="str">
        <f t="shared" si="9"/>
        <v/>
      </c>
      <c r="K41" s="63" t="str">
        <f t="shared" si="10"/>
        <v/>
      </c>
      <c r="L41" s="64" t="str">
        <f t="shared" si="5"/>
        <v/>
      </c>
    </row>
    <row r="42" spans="2:12" x14ac:dyDescent="0.25">
      <c r="B42" s="29" t="e">
        <f>_xlfn.XLOOKUP(TABELA_GERAL[[#This Row],[DESCRIÇÃO]],'TABELA MÃE'!D:D,'TABELA MÃE'!A:A)</f>
        <v>#VALUE!</v>
      </c>
      <c r="C42" s="29" t="e">
        <f>_xlfn.XLOOKUP(TABELA_GERAL[[#This Row],[DESCRIÇÃO]],'TABELA MÃE'!D:D,'TABELA MÃE'!B:B)</f>
        <v>#VALUE!</v>
      </c>
      <c r="D42" s="29" t="e">
        <f t="shared" si="6"/>
        <v>#VALUE!</v>
      </c>
      <c r="E42" s="63" t="e">
        <f>TABELA_GERAL[[#This Row],[VALOR TOTAL R$]]</f>
        <v>#VALUE!</v>
      </c>
      <c r="F42" s="63" t="e">
        <f t="shared" si="7"/>
        <v>#VALUE!</v>
      </c>
      <c r="H42" s="58"/>
      <c r="I42" s="29" t="str">
        <f t="shared" si="8"/>
        <v/>
      </c>
      <c r="J42" s="29" t="str">
        <f t="shared" si="9"/>
        <v/>
      </c>
      <c r="K42" s="63" t="str">
        <f t="shared" si="10"/>
        <v/>
      </c>
      <c r="L42" s="64" t="str">
        <f t="shared" si="5"/>
        <v/>
      </c>
    </row>
    <row r="43" spans="2:12" x14ac:dyDescent="0.25">
      <c r="B43" s="29" t="e">
        <f>_xlfn.XLOOKUP(TABELA_GERAL[[#This Row],[DESCRIÇÃO]],'TABELA MÃE'!D:D,'TABELA MÃE'!A:A)</f>
        <v>#VALUE!</v>
      </c>
      <c r="C43" s="29" t="e">
        <f>_xlfn.XLOOKUP(TABELA_GERAL[[#This Row],[DESCRIÇÃO]],'TABELA MÃE'!D:D,'TABELA MÃE'!B:B)</f>
        <v>#VALUE!</v>
      </c>
      <c r="D43" s="29" t="e">
        <f t="shared" si="6"/>
        <v>#VALUE!</v>
      </c>
      <c r="E43" s="63" t="e">
        <f>TABELA_GERAL[[#This Row],[VALOR TOTAL R$]]</f>
        <v>#VALUE!</v>
      </c>
      <c r="F43" s="63" t="e">
        <f t="shared" si="7"/>
        <v>#VALUE!</v>
      </c>
      <c r="H43" s="61"/>
      <c r="I43" s="29" t="str">
        <f t="shared" si="8"/>
        <v/>
      </c>
      <c r="J43" s="29" t="str">
        <f t="shared" si="9"/>
        <v/>
      </c>
      <c r="K43" s="63" t="str">
        <f t="shared" si="10"/>
        <v/>
      </c>
      <c r="L43" s="64" t="str">
        <f t="shared" si="5"/>
        <v/>
      </c>
    </row>
    <row r="44" spans="2:12" x14ac:dyDescent="0.25">
      <c r="B44" s="29" t="e">
        <f>_xlfn.XLOOKUP(TABELA_GERAL[[#This Row],[DESCRIÇÃO]],'TABELA MÃE'!D:D,'TABELA MÃE'!A:A)</f>
        <v>#VALUE!</v>
      </c>
      <c r="C44" s="29" t="e">
        <f>_xlfn.XLOOKUP(TABELA_GERAL[[#This Row],[DESCRIÇÃO]],'TABELA MÃE'!D:D,'TABELA MÃE'!B:B)</f>
        <v>#VALUE!</v>
      </c>
      <c r="D44" s="29" t="e">
        <f t="shared" si="6"/>
        <v>#VALUE!</v>
      </c>
      <c r="E44" s="63" t="e">
        <f>TABELA_GERAL[[#This Row],[VALOR TOTAL R$]]</f>
        <v>#VALUE!</v>
      </c>
      <c r="F44" s="63" t="e">
        <f t="shared" si="7"/>
        <v>#VALUE!</v>
      </c>
      <c r="H44" s="58"/>
      <c r="I44" s="29" t="str">
        <f t="shared" si="8"/>
        <v/>
      </c>
      <c r="J44" s="29" t="str">
        <f t="shared" si="9"/>
        <v/>
      </c>
      <c r="K44" s="63" t="str">
        <f t="shared" si="10"/>
        <v/>
      </c>
      <c r="L44" s="64" t="str">
        <f t="shared" si="5"/>
        <v/>
      </c>
    </row>
    <row r="45" spans="2:12" x14ac:dyDescent="0.25">
      <c r="B45" s="29" t="e">
        <f>_xlfn.XLOOKUP(TABELA_GERAL[[#This Row],[DESCRIÇÃO]],'TABELA MÃE'!D:D,'TABELA MÃE'!A:A)</f>
        <v>#VALUE!</v>
      </c>
      <c r="C45" s="29" t="e">
        <f>_xlfn.XLOOKUP(TABELA_GERAL[[#This Row],[DESCRIÇÃO]],'TABELA MÃE'!D:D,'TABELA MÃE'!B:B)</f>
        <v>#VALUE!</v>
      </c>
      <c r="D45" s="29" t="e">
        <f t="shared" si="6"/>
        <v>#VALUE!</v>
      </c>
      <c r="E45" s="63" t="e">
        <f>TABELA_GERAL[[#This Row],[VALOR TOTAL R$]]</f>
        <v>#VALUE!</v>
      </c>
      <c r="F45" s="63" t="e">
        <f t="shared" si="7"/>
        <v>#VALUE!</v>
      </c>
      <c r="H45" s="61"/>
      <c r="I45" s="29" t="str">
        <f t="shared" si="8"/>
        <v/>
      </c>
      <c r="J45" s="29" t="str">
        <f t="shared" si="9"/>
        <v/>
      </c>
      <c r="K45" s="63" t="str">
        <f t="shared" si="10"/>
        <v/>
      </c>
      <c r="L45" s="64" t="str">
        <f t="shared" si="5"/>
        <v/>
      </c>
    </row>
    <row r="46" spans="2:12" x14ac:dyDescent="0.25">
      <c r="B46" s="29" t="e">
        <f>_xlfn.XLOOKUP(TABELA_GERAL[[#This Row],[DESCRIÇÃO]],'TABELA MÃE'!D:D,'TABELA MÃE'!A:A)</f>
        <v>#VALUE!</v>
      </c>
      <c r="C46" s="29" t="e">
        <f>_xlfn.XLOOKUP(TABELA_GERAL[[#This Row],[DESCRIÇÃO]],'TABELA MÃE'!D:D,'TABELA MÃE'!B:B)</f>
        <v>#VALUE!</v>
      </c>
      <c r="D46" s="29" t="e">
        <f t="shared" si="6"/>
        <v>#VALUE!</v>
      </c>
      <c r="E46" s="63" t="e">
        <f>TABELA_GERAL[[#This Row],[VALOR TOTAL R$]]</f>
        <v>#VALUE!</v>
      </c>
      <c r="F46" s="63" t="e">
        <f t="shared" si="7"/>
        <v>#VALUE!</v>
      </c>
      <c r="H46" s="58"/>
      <c r="I46" s="29" t="str">
        <f t="shared" si="8"/>
        <v/>
      </c>
      <c r="J46" s="29" t="str">
        <f t="shared" si="9"/>
        <v/>
      </c>
      <c r="K46" s="63" t="str">
        <f t="shared" si="10"/>
        <v/>
      </c>
      <c r="L46" s="64" t="str">
        <f t="shared" si="5"/>
        <v/>
      </c>
    </row>
    <row r="47" spans="2:12" x14ac:dyDescent="0.25">
      <c r="B47" s="29" t="e">
        <f>_xlfn.XLOOKUP(TABELA_GERAL[[#This Row],[DESCRIÇÃO]],'TABELA MÃE'!D:D,'TABELA MÃE'!A:A)</f>
        <v>#VALUE!</v>
      </c>
      <c r="C47" s="29" t="e">
        <f>_xlfn.XLOOKUP(TABELA_GERAL[[#This Row],[DESCRIÇÃO]],'TABELA MÃE'!D:D,'TABELA MÃE'!B:B)</f>
        <v>#VALUE!</v>
      </c>
      <c r="D47" s="29" t="e">
        <f t="shared" si="6"/>
        <v>#VALUE!</v>
      </c>
      <c r="E47" s="63" t="e">
        <f>TABELA_GERAL[[#This Row],[VALOR TOTAL R$]]</f>
        <v>#VALUE!</v>
      </c>
      <c r="F47" s="63" t="e">
        <f t="shared" si="7"/>
        <v>#VALUE!</v>
      </c>
      <c r="H47" s="61"/>
      <c r="I47" s="29" t="str">
        <f t="shared" si="8"/>
        <v/>
      </c>
      <c r="J47" s="29" t="str">
        <f t="shared" si="9"/>
        <v/>
      </c>
      <c r="K47" s="63" t="str">
        <f t="shared" si="10"/>
        <v/>
      </c>
      <c r="L47" s="64" t="str">
        <f t="shared" si="5"/>
        <v/>
      </c>
    </row>
    <row r="48" spans="2:12" x14ac:dyDescent="0.25">
      <c r="B48" s="29" t="e">
        <f>_xlfn.XLOOKUP(TABELA_GERAL[[#This Row],[DESCRIÇÃO]],'TABELA MÃE'!D:D,'TABELA MÃE'!A:A)</f>
        <v>#VALUE!</v>
      </c>
      <c r="C48" s="29" t="e">
        <f>_xlfn.XLOOKUP(TABELA_GERAL[[#This Row],[DESCRIÇÃO]],'TABELA MÃE'!D:D,'TABELA MÃE'!B:B)</f>
        <v>#VALUE!</v>
      </c>
      <c r="D48" s="29" t="e">
        <f t="shared" si="6"/>
        <v>#VALUE!</v>
      </c>
      <c r="E48" s="63" t="e">
        <f>TABELA_GERAL[[#This Row],[VALOR TOTAL R$]]</f>
        <v>#VALUE!</v>
      </c>
      <c r="F48" s="63" t="e">
        <f t="shared" si="7"/>
        <v>#VALUE!</v>
      </c>
      <c r="H48" s="58"/>
      <c r="I48" s="29" t="str">
        <f t="shared" si="8"/>
        <v/>
      </c>
      <c r="J48" s="29" t="str">
        <f t="shared" si="9"/>
        <v/>
      </c>
      <c r="K48" s="63" t="str">
        <f t="shared" si="10"/>
        <v/>
      </c>
      <c r="L48" s="64" t="str">
        <f t="shared" si="5"/>
        <v/>
      </c>
    </row>
    <row r="49" spans="2:12" x14ac:dyDescent="0.25">
      <c r="B49" s="29" t="e">
        <f>_xlfn.XLOOKUP(TABELA_GERAL[[#This Row],[DESCRIÇÃO]],'TABELA MÃE'!D:D,'TABELA MÃE'!A:A)</f>
        <v>#VALUE!</v>
      </c>
      <c r="C49" s="29" t="e">
        <f>_xlfn.XLOOKUP(TABELA_GERAL[[#This Row],[DESCRIÇÃO]],'TABELA MÃE'!D:D,'TABELA MÃE'!B:B)</f>
        <v>#VALUE!</v>
      </c>
      <c r="D49" s="29" t="e">
        <f t="shared" si="6"/>
        <v>#VALUE!</v>
      </c>
      <c r="E49" s="63" t="e">
        <f>TABELA_GERAL[[#This Row],[VALOR TOTAL R$]]</f>
        <v>#VALUE!</v>
      </c>
      <c r="F49" s="63" t="e">
        <f t="shared" si="7"/>
        <v>#VALUE!</v>
      </c>
      <c r="H49" s="61"/>
      <c r="I49" s="29" t="str">
        <f t="shared" si="8"/>
        <v/>
      </c>
      <c r="J49" s="29" t="str">
        <f t="shared" si="9"/>
        <v/>
      </c>
      <c r="K49" s="63" t="str">
        <f t="shared" si="10"/>
        <v/>
      </c>
      <c r="L49" s="64" t="str">
        <f t="shared" si="5"/>
        <v/>
      </c>
    </row>
    <row r="50" spans="2:12" x14ac:dyDescent="0.25">
      <c r="B50" s="29" t="e">
        <f>_xlfn.XLOOKUP(TABELA_GERAL[[#This Row],[DESCRIÇÃO]],'TABELA MÃE'!D:D,'TABELA MÃE'!A:A)</f>
        <v>#VALUE!</v>
      </c>
      <c r="C50" s="29" t="e">
        <f>_xlfn.XLOOKUP(TABELA_GERAL[[#This Row],[DESCRIÇÃO]],'TABELA MÃE'!D:D,'TABELA MÃE'!B:B)</f>
        <v>#VALUE!</v>
      </c>
      <c r="D50" s="29" t="e">
        <f t="shared" si="6"/>
        <v>#VALUE!</v>
      </c>
      <c r="E50" s="63" t="e">
        <f>TABELA_GERAL[[#This Row],[VALOR TOTAL R$]]</f>
        <v>#VALUE!</v>
      </c>
      <c r="F50" s="63" t="e">
        <f t="shared" si="7"/>
        <v>#VALUE!</v>
      </c>
      <c r="H50" s="58"/>
      <c r="I50" s="29" t="str">
        <f t="shared" si="8"/>
        <v/>
      </c>
      <c r="J50" s="29" t="str">
        <f t="shared" si="9"/>
        <v/>
      </c>
      <c r="K50" s="63" t="str">
        <f t="shared" si="10"/>
        <v/>
      </c>
      <c r="L50" s="64" t="str">
        <f t="shared" si="5"/>
        <v/>
      </c>
    </row>
    <row r="51" spans="2:12" x14ac:dyDescent="0.25">
      <c r="B51" s="29" t="e">
        <f>_xlfn.XLOOKUP(TABELA_GERAL[[#This Row],[DESCRIÇÃO]],'TABELA MÃE'!D:D,'TABELA MÃE'!A:A)</f>
        <v>#VALUE!</v>
      </c>
      <c r="C51" s="29" t="e">
        <f>_xlfn.XLOOKUP(TABELA_GERAL[[#This Row],[DESCRIÇÃO]],'TABELA MÃE'!D:D,'TABELA MÃE'!B:B)</f>
        <v>#VALUE!</v>
      </c>
      <c r="D51" s="29" t="e">
        <f t="shared" si="6"/>
        <v>#VALUE!</v>
      </c>
      <c r="E51" s="63" t="e">
        <f>TABELA_GERAL[[#This Row],[VALOR TOTAL R$]]</f>
        <v>#VALUE!</v>
      </c>
      <c r="F51" s="63" t="e">
        <f t="shared" si="7"/>
        <v>#VALUE!</v>
      </c>
      <c r="H51" s="61"/>
      <c r="I51" s="29" t="str">
        <f t="shared" si="8"/>
        <v/>
      </c>
      <c r="J51" s="29" t="str">
        <f t="shared" si="9"/>
        <v/>
      </c>
      <c r="K51" s="63" t="str">
        <f t="shared" si="10"/>
        <v/>
      </c>
      <c r="L51" s="64" t="str">
        <f t="shared" si="5"/>
        <v/>
      </c>
    </row>
    <row r="52" spans="2:12" x14ac:dyDescent="0.25">
      <c r="B52" s="29" t="e">
        <f>_xlfn.XLOOKUP(TABELA_GERAL[[#This Row],[DESCRIÇÃO]],'TABELA MÃE'!D:D,'TABELA MÃE'!A:A)</f>
        <v>#VALUE!</v>
      </c>
      <c r="C52" s="29" t="e">
        <f>_xlfn.XLOOKUP(TABELA_GERAL[[#This Row],[DESCRIÇÃO]],'TABELA MÃE'!D:D,'TABELA MÃE'!B:B)</f>
        <v>#VALUE!</v>
      </c>
      <c r="D52" s="29" t="e">
        <f t="shared" si="6"/>
        <v>#VALUE!</v>
      </c>
      <c r="E52" s="63" t="e">
        <f>TABELA_GERAL[[#This Row],[VALOR TOTAL R$]]</f>
        <v>#VALUE!</v>
      </c>
      <c r="F52" s="63" t="e">
        <f t="shared" si="7"/>
        <v>#VALUE!</v>
      </c>
      <c r="H52" s="58"/>
      <c r="I52" s="29" t="str">
        <f t="shared" si="8"/>
        <v/>
      </c>
      <c r="J52" s="29" t="str">
        <f t="shared" si="9"/>
        <v/>
      </c>
      <c r="K52" s="63" t="str">
        <f t="shared" si="10"/>
        <v/>
      </c>
      <c r="L52" s="64" t="str">
        <f t="shared" si="5"/>
        <v/>
      </c>
    </row>
    <row r="53" spans="2:12" x14ac:dyDescent="0.25">
      <c r="B53" s="29" t="e">
        <f>_xlfn.XLOOKUP(TABELA_GERAL[[#This Row],[DESCRIÇÃO]],'TABELA MÃE'!D:D,'TABELA MÃE'!A:A)</f>
        <v>#VALUE!</v>
      </c>
      <c r="C53" s="29" t="e">
        <f>_xlfn.XLOOKUP(TABELA_GERAL[[#This Row],[DESCRIÇÃO]],'TABELA MÃE'!D:D,'TABELA MÃE'!B:B)</f>
        <v>#VALUE!</v>
      </c>
      <c r="D53" s="29" t="e">
        <f t="shared" si="6"/>
        <v>#VALUE!</v>
      </c>
      <c r="E53" s="63" t="e">
        <f>TABELA_GERAL[[#This Row],[VALOR TOTAL R$]]</f>
        <v>#VALUE!</v>
      </c>
      <c r="F53" s="63" t="e">
        <f t="shared" si="7"/>
        <v>#VALUE!</v>
      </c>
      <c r="H53" s="61"/>
      <c r="I53" s="29" t="str">
        <f t="shared" si="8"/>
        <v/>
      </c>
      <c r="J53" s="29" t="str">
        <f t="shared" si="9"/>
        <v/>
      </c>
      <c r="K53" s="63" t="str">
        <f t="shared" si="10"/>
        <v/>
      </c>
      <c r="L53" s="64" t="str">
        <f t="shared" si="5"/>
        <v/>
      </c>
    </row>
    <row r="54" spans="2:12" x14ac:dyDescent="0.25">
      <c r="B54" s="29" t="e">
        <f>_xlfn.XLOOKUP(TABELA_GERAL[[#This Row],[DESCRIÇÃO]],'TABELA MÃE'!D:D,'TABELA MÃE'!A:A)</f>
        <v>#VALUE!</v>
      </c>
      <c r="C54" s="29" t="e">
        <f>_xlfn.XLOOKUP(TABELA_GERAL[[#This Row],[DESCRIÇÃO]],'TABELA MÃE'!D:D,'TABELA MÃE'!B:B)</f>
        <v>#VALUE!</v>
      </c>
      <c r="D54" s="29" t="e">
        <f t="shared" si="6"/>
        <v>#VALUE!</v>
      </c>
      <c r="E54" s="63" t="e">
        <f>TABELA_GERAL[[#This Row],[VALOR TOTAL R$]]</f>
        <v>#VALUE!</v>
      </c>
      <c r="F54" s="63" t="e">
        <f t="shared" si="7"/>
        <v>#VALUE!</v>
      </c>
      <c r="H54" s="58"/>
      <c r="I54" s="29" t="str">
        <f t="shared" si="8"/>
        <v/>
      </c>
      <c r="J54" s="29" t="str">
        <f t="shared" si="9"/>
        <v/>
      </c>
      <c r="K54" s="63" t="str">
        <f t="shared" si="10"/>
        <v/>
      </c>
      <c r="L54" s="64" t="str">
        <f t="shared" si="5"/>
        <v/>
      </c>
    </row>
    <row r="55" spans="2:12" x14ac:dyDescent="0.25">
      <c r="B55" s="29" t="e">
        <f>_xlfn.XLOOKUP(TABELA_GERAL[[#This Row],[DESCRIÇÃO]],'TABELA MÃE'!D:D,'TABELA MÃE'!A:A)</f>
        <v>#VALUE!</v>
      </c>
      <c r="C55" s="29" t="e">
        <f>_xlfn.XLOOKUP(TABELA_GERAL[[#This Row],[DESCRIÇÃO]],'TABELA MÃE'!D:D,'TABELA MÃE'!B:B)</f>
        <v>#VALUE!</v>
      </c>
      <c r="D55" s="29" t="e">
        <f t="shared" si="6"/>
        <v>#VALUE!</v>
      </c>
      <c r="E55" s="63" t="e">
        <f>TABELA_GERAL[[#This Row],[VALOR TOTAL R$]]</f>
        <v>#VALUE!</v>
      </c>
      <c r="F55" s="63" t="e">
        <f t="shared" si="7"/>
        <v>#VALUE!</v>
      </c>
      <c r="H55" s="61"/>
      <c r="I55" s="29" t="str">
        <f t="shared" si="8"/>
        <v/>
      </c>
      <c r="J55" s="29" t="str">
        <f t="shared" si="9"/>
        <v/>
      </c>
      <c r="K55" s="63" t="str">
        <f t="shared" si="10"/>
        <v/>
      </c>
      <c r="L55" s="64" t="str">
        <f t="shared" si="5"/>
        <v/>
      </c>
    </row>
    <row r="56" spans="2:12" x14ac:dyDescent="0.25">
      <c r="B56" s="29" t="e">
        <f>_xlfn.XLOOKUP(TABELA_GERAL[[#This Row],[DESCRIÇÃO]],'TABELA MÃE'!D:D,'TABELA MÃE'!A:A)</f>
        <v>#VALUE!</v>
      </c>
      <c r="C56" s="29" t="e">
        <f>_xlfn.XLOOKUP(TABELA_GERAL[[#This Row],[DESCRIÇÃO]],'TABELA MÃE'!D:D,'TABELA MÃE'!B:B)</f>
        <v>#VALUE!</v>
      </c>
      <c r="D56" s="29" t="e">
        <f t="shared" si="6"/>
        <v>#VALUE!</v>
      </c>
      <c r="E56" s="63" t="e">
        <f>TABELA_GERAL[[#This Row],[VALOR TOTAL R$]]</f>
        <v>#VALUE!</v>
      </c>
      <c r="F56" s="63" t="e">
        <f t="shared" si="7"/>
        <v>#VALUE!</v>
      </c>
      <c r="H56" s="58"/>
      <c r="I56" s="29" t="str">
        <f t="shared" si="8"/>
        <v/>
      </c>
      <c r="J56" s="29" t="str">
        <f t="shared" si="9"/>
        <v/>
      </c>
      <c r="K56" s="63" t="str">
        <f t="shared" si="10"/>
        <v/>
      </c>
      <c r="L56" s="64" t="str">
        <f t="shared" si="5"/>
        <v/>
      </c>
    </row>
    <row r="57" spans="2:12" x14ac:dyDescent="0.25">
      <c r="B57" s="29" t="e">
        <f>_xlfn.XLOOKUP(TABELA_GERAL[[#This Row],[DESCRIÇÃO]],'TABELA MÃE'!D:D,'TABELA MÃE'!A:A)</f>
        <v>#VALUE!</v>
      </c>
      <c r="C57" s="29" t="e">
        <f>_xlfn.XLOOKUP(TABELA_GERAL[[#This Row],[DESCRIÇÃO]],'TABELA MÃE'!D:D,'TABELA MÃE'!B:B)</f>
        <v>#VALUE!</v>
      </c>
      <c r="D57" s="29" t="e">
        <f t="shared" si="6"/>
        <v>#VALUE!</v>
      </c>
      <c r="E57" s="63" t="e">
        <f>TABELA_GERAL[[#This Row],[VALOR TOTAL R$]]</f>
        <v>#VALUE!</v>
      </c>
      <c r="F57" s="63" t="e">
        <f t="shared" si="7"/>
        <v>#VALUE!</v>
      </c>
      <c r="H57" s="61"/>
      <c r="I57" s="29" t="str">
        <f t="shared" si="8"/>
        <v/>
      </c>
      <c r="J57" s="29" t="str">
        <f t="shared" si="9"/>
        <v/>
      </c>
      <c r="K57" s="63" t="str">
        <f t="shared" si="10"/>
        <v/>
      </c>
      <c r="L57" s="64" t="str">
        <f t="shared" si="5"/>
        <v/>
      </c>
    </row>
    <row r="58" spans="2:12" x14ac:dyDescent="0.25">
      <c r="B58" s="29" t="e">
        <f>_xlfn.XLOOKUP(TABELA_GERAL[[#This Row],[DESCRIÇÃO]],'TABELA MÃE'!D:D,'TABELA MÃE'!A:A)</f>
        <v>#VALUE!</v>
      </c>
      <c r="C58" s="29" t="e">
        <f>_xlfn.XLOOKUP(TABELA_GERAL[[#This Row],[DESCRIÇÃO]],'TABELA MÃE'!D:D,'TABELA MÃE'!B:B)</f>
        <v>#VALUE!</v>
      </c>
      <c r="D58" s="29" t="e">
        <f t="shared" si="6"/>
        <v>#VALUE!</v>
      </c>
      <c r="E58" s="63" t="e">
        <f>TABELA_GERAL[[#This Row],[VALOR TOTAL R$]]</f>
        <v>#VALUE!</v>
      </c>
      <c r="F58" s="63" t="e">
        <f t="shared" si="7"/>
        <v>#VALUE!</v>
      </c>
      <c r="H58" s="58"/>
      <c r="I58" s="29" t="str">
        <f t="shared" si="8"/>
        <v/>
      </c>
      <c r="J58" s="29" t="str">
        <f t="shared" si="9"/>
        <v/>
      </c>
      <c r="K58" s="63" t="str">
        <f t="shared" si="10"/>
        <v/>
      </c>
      <c r="L58" s="64" t="str">
        <f t="shared" si="5"/>
        <v/>
      </c>
    </row>
    <row r="59" spans="2:12" x14ac:dyDescent="0.25">
      <c r="B59" s="29" t="e">
        <f>_xlfn.XLOOKUP(TABELA_GERAL[[#This Row],[DESCRIÇÃO]],'TABELA MÃE'!D:D,'TABELA MÃE'!A:A)</f>
        <v>#VALUE!</v>
      </c>
      <c r="C59" s="29" t="e">
        <f>_xlfn.XLOOKUP(TABELA_GERAL[[#This Row],[DESCRIÇÃO]],'TABELA MÃE'!D:D,'TABELA MÃE'!B:B)</f>
        <v>#VALUE!</v>
      </c>
      <c r="D59" s="29" t="e">
        <f t="shared" si="6"/>
        <v>#VALUE!</v>
      </c>
      <c r="E59" s="63" t="e">
        <f>TABELA_GERAL[[#This Row],[VALOR TOTAL R$]]</f>
        <v>#VALUE!</v>
      </c>
      <c r="F59" s="63" t="e">
        <f t="shared" si="7"/>
        <v>#VALUE!</v>
      </c>
      <c r="H59" s="61"/>
      <c r="I59" s="29" t="str">
        <f t="shared" si="8"/>
        <v/>
      </c>
      <c r="J59" s="29" t="str">
        <f t="shared" si="9"/>
        <v/>
      </c>
      <c r="K59" s="63" t="str">
        <f t="shared" si="10"/>
        <v/>
      </c>
      <c r="L59" s="64" t="str">
        <f t="shared" si="5"/>
        <v/>
      </c>
    </row>
    <row r="60" spans="2:12" x14ac:dyDescent="0.25">
      <c r="B60" s="29" t="e">
        <f>_xlfn.XLOOKUP(TABELA_GERAL[[#This Row],[DESCRIÇÃO]],'TABELA MÃE'!D:D,'TABELA MÃE'!A:A)</f>
        <v>#VALUE!</v>
      </c>
      <c r="C60" s="29" t="e">
        <f>_xlfn.XLOOKUP(TABELA_GERAL[[#This Row],[DESCRIÇÃO]],'TABELA MÃE'!D:D,'TABELA MÃE'!B:B)</f>
        <v>#VALUE!</v>
      </c>
      <c r="D60" s="29" t="e">
        <f t="shared" si="6"/>
        <v>#VALUE!</v>
      </c>
      <c r="E60" s="63" t="e">
        <f>TABELA_GERAL[[#This Row],[VALOR TOTAL R$]]</f>
        <v>#VALUE!</v>
      </c>
      <c r="F60" s="63" t="e">
        <f t="shared" si="7"/>
        <v>#VALUE!</v>
      </c>
      <c r="H60" s="58"/>
      <c r="I60" s="29" t="str">
        <f t="shared" si="8"/>
        <v/>
      </c>
      <c r="J60" s="29" t="str">
        <f t="shared" si="9"/>
        <v/>
      </c>
      <c r="K60" s="63" t="str">
        <f t="shared" si="10"/>
        <v/>
      </c>
      <c r="L60" s="64" t="str">
        <f t="shared" si="5"/>
        <v/>
      </c>
    </row>
    <row r="61" spans="2:12" x14ac:dyDescent="0.25">
      <c r="B61" s="29" t="e">
        <f>_xlfn.XLOOKUP(TABELA_GERAL[[#This Row],[DESCRIÇÃO]],'TABELA MÃE'!D:D,'TABELA MÃE'!A:A)</f>
        <v>#VALUE!</v>
      </c>
      <c r="C61" s="29" t="e">
        <f>_xlfn.XLOOKUP(TABELA_GERAL[[#This Row],[DESCRIÇÃO]],'TABELA MÃE'!D:D,'TABELA MÃE'!B:B)</f>
        <v>#VALUE!</v>
      </c>
      <c r="D61" s="29" t="e">
        <f t="shared" si="6"/>
        <v>#VALUE!</v>
      </c>
      <c r="E61" s="63" t="e">
        <f>TABELA_GERAL[[#This Row],[VALOR TOTAL R$]]</f>
        <v>#VALUE!</v>
      </c>
      <c r="F61" s="63" t="e">
        <f t="shared" si="7"/>
        <v>#VALUE!</v>
      </c>
      <c r="H61" s="61"/>
      <c r="I61" s="29" t="str">
        <f t="shared" si="8"/>
        <v/>
      </c>
      <c r="J61" s="29" t="str">
        <f t="shared" si="9"/>
        <v/>
      </c>
      <c r="K61" s="63" t="str">
        <f t="shared" si="10"/>
        <v/>
      </c>
      <c r="L61" s="64" t="str">
        <f t="shared" si="5"/>
        <v/>
      </c>
    </row>
    <row r="62" spans="2:12" x14ac:dyDescent="0.25">
      <c r="B62" s="29" t="e">
        <f>_xlfn.XLOOKUP(TABELA_GERAL[[#This Row],[DESCRIÇÃO]],'TABELA MÃE'!D:D,'TABELA MÃE'!A:A)</f>
        <v>#VALUE!</v>
      </c>
      <c r="C62" s="29" t="e">
        <f>_xlfn.XLOOKUP(TABELA_GERAL[[#This Row],[DESCRIÇÃO]],'TABELA MÃE'!D:D,'TABELA MÃE'!B:B)</f>
        <v>#VALUE!</v>
      </c>
      <c r="D62" s="29" t="e">
        <f t="shared" si="6"/>
        <v>#VALUE!</v>
      </c>
      <c r="E62" s="63" t="e">
        <f>TABELA_GERAL[[#This Row],[VALOR TOTAL R$]]</f>
        <v>#VALUE!</v>
      </c>
      <c r="F62" s="63" t="e">
        <f t="shared" si="7"/>
        <v>#VALUE!</v>
      </c>
      <c r="H62" s="58"/>
      <c r="I62" s="29" t="str">
        <f t="shared" si="8"/>
        <v/>
      </c>
      <c r="J62" s="29" t="str">
        <f t="shared" si="9"/>
        <v/>
      </c>
      <c r="K62" s="63" t="str">
        <f t="shared" si="10"/>
        <v/>
      </c>
      <c r="L62" s="64" t="str">
        <f t="shared" si="5"/>
        <v/>
      </c>
    </row>
    <row r="63" spans="2:12" x14ac:dyDescent="0.25">
      <c r="B63" s="29" t="e">
        <f>_xlfn.XLOOKUP(TABELA_GERAL[[#This Row],[DESCRIÇÃO]],'TABELA MÃE'!D:D,'TABELA MÃE'!A:A)</f>
        <v>#VALUE!</v>
      </c>
      <c r="C63" s="29" t="e">
        <f>_xlfn.XLOOKUP(TABELA_GERAL[[#This Row],[DESCRIÇÃO]],'TABELA MÃE'!D:D,'TABELA MÃE'!B:B)</f>
        <v>#VALUE!</v>
      </c>
      <c r="D63" s="29" t="e">
        <f t="shared" si="6"/>
        <v>#VALUE!</v>
      </c>
      <c r="E63" s="63" t="e">
        <f>TABELA_GERAL[[#This Row],[VALOR TOTAL R$]]</f>
        <v>#VALUE!</v>
      </c>
      <c r="F63" s="63" t="e">
        <f t="shared" si="7"/>
        <v>#VALUE!</v>
      </c>
      <c r="H63" s="61"/>
      <c r="I63" s="29" t="str">
        <f t="shared" si="8"/>
        <v/>
      </c>
      <c r="J63" s="29" t="str">
        <f t="shared" si="9"/>
        <v/>
      </c>
      <c r="K63" s="63" t="str">
        <f t="shared" si="10"/>
        <v/>
      </c>
      <c r="L63" s="64" t="str">
        <f t="shared" si="5"/>
        <v/>
      </c>
    </row>
    <row r="64" spans="2:12" x14ac:dyDescent="0.25">
      <c r="B64" s="29" t="e">
        <f>_xlfn.XLOOKUP(TABELA_GERAL[[#This Row],[DESCRIÇÃO]],'TABELA MÃE'!D:D,'TABELA MÃE'!A:A)</f>
        <v>#VALUE!</v>
      </c>
      <c r="C64" s="29" t="e">
        <f>_xlfn.XLOOKUP(TABELA_GERAL[[#This Row],[DESCRIÇÃO]],'TABELA MÃE'!D:D,'TABELA MÃE'!B:B)</f>
        <v>#VALUE!</v>
      </c>
      <c r="D64" s="29" t="e">
        <f t="shared" si="6"/>
        <v>#VALUE!</v>
      </c>
      <c r="E64" s="63" t="e">
        <f>TABELA_GERAL[[#This Row],[VALOR TOTAL R$]]</f>
        <v>#VALUE!</v>
      </c>
      <c r="F64" s="63" t="e">
        <f t="shared" si="7"/>
        <v>#VALUE!</v>
      </c>
      <c r="H64" s="58"/>
      <c r="I64" s="29" t="str">
        <f t="shared" si="8"/>
        <v/>
      </c>
      <c r="J64" s="29" t="str">
        <f t="shared" si="9"/>
        <v/>
      </c>
      <c r="K64" s="63" t="str">
        <f t="shared" si="10"/>
        <v/>
      </c>
      <c r="L64" s="64" t="str">
        <f t="shared" si="5"/>
        <v/>
      </c>
    </row>
    <row r="65" spans="2:12" x14ac:dyDescent="0.25">
      <c r="B65" s="29" t="e">
        <f>_xlfn.XLOOKUP(TABELA_GERAL[[#This Row],[DESCRIÇÃO]],'TABELA MÃE'!D:D,'TABELA MÃE'!A:A)</f>
        <v>#VALUE!</v>
      </c>
      <c r="C65" s="29" t="e">
        <f>_xlfn.XLOOKUP(TABELA_GERAL[[#This Row],[DESCRIÇÃO]],'TABELA MÃE'!D:D,'TABELA MÃE'!B:B)</f>
        <v>#VALUE!</v>
      </c>
      <c r="D65" s="29" t="e">
        <f t="shared" si="6"/>
        <v>#VALUE!</v>
      </c>
      <c r="E65" s="63" t="e">
        <f>TABELA_GERAL[[#This Row],[VALOR TOTAL R$]]</f>
        <v>#VALUE!</v>
      </c>
      <c r="F65" s="63" t="e">
        <f t="shared" si="7"/>
        <v>#VALUE!</v>
      </c>
      <c r="H65" s="61"/>
      <c r="I65" s="29" t="str">
        <f t="shared" si="8"/>
        <v/>
      </c>
      <c r="J65" s="29" t="str">
        <f t="shared" si="9"/>
        <v/>
      </c>
      <c r="K65" s="63" t="str">
        <f t="shared" si="10"/>
        <v/>
      </c>
      <c r="L65" s="64" t="str">
        <f t="shared" si="5"/>
        <v/>
      </c>
    </row>
    <row r="66" spans="2:12" x14ac:dyDescent="0.25">
      <c r="B66" s="29" t="e">
        <f>_xlfn.XLOOKUP(TABELA_GERAL[[#This Row],[DESCRIÇÃO]],'TABELA MÃE'!D:D,'TABELA MÃE'!A:A)</f>
        <v>#VALUE!</v>
      </c>
      <c r="C66" s="29" t="e">
        <f>_xlfn.XLOOKUP(TABELA_GERAL[[#This Row],[DESCRIÇÃO]],'TABELA MÃE'!D:D,'TABELA MÃE'!B:B)</f>
        <v>#VALUE!</v>
      </c>
      <c r="D66" s="29" t="e">
        <f t="shared" si="6"/>
        <v>#VALUE!</v>
      </c>
      <c r="E66" s="63" t="e">
        <f>TABELA_GERAL[[#This Row],[VALOR TOTAL R$]]</f>
        <v>#VALUE!</v>
      </c>
      <c r="F66" s="63" t="e">
        <f t="shared" si="7"/>
        <v>#VALUE!</v>
      </c>
      <c r="H66" s="58"/>
      <c r="I66" s="29" t="str">
        <f t="shared" si="8"/>
        <v/>
      </c>
      <c r="J66" s="29" t="str">
        <f t="shared" si="9"/>
        <v/>
      </c>
      <c r="K66" s="63" t="str">
        <f t="shared" si="10"/>
        <v/>
      </c>
      <c r="L66" s="64" t="str">
        <f t="shared" si="5"/>
        <v/>
      </c>
    </row>
    <row r="67" spans="2:12" x14ac:dyDescent="0.25">
      <c r="B67" s="29" t="e">
        <f>_xlfn.XLOOKUP(TABELA_GERAL[[#This Row],[DESCRIÇÃO]],'TABELA MÃE'!D:D,'TABELA MÃE'!A:A)</f>
        <v>#VALUE!</v>
      </c>
      <c r="C67" s="29" t="e">
        <f>_xlfn.XLOOKUP(TABELA_GERAL[[#This Row],[DESCRIÇÃO]],'TABELA MÃE'!D:D,'TABELA MÃE'!B:B)</f>
        <v>#VALUE!</v>
      </c>
      <c r="D67" s="29" t="e">
        <f t="shared" si="6"/>
        <v>#VALUE!</v>
      </c>
      <c r="E67" s="63" t="e">
        <f>TABELA_GERAL[[#This Row],[VALOR TOTAL R$]]</f>
        <v>#VALUE!</v>
      </c>
      <c r="F67" s="63" t="e">
        <f t="shared" si="7"/>
        <v>#VALUE!</v>
      </c>
      <c r="H67" s="61"/>
      <c r="I67" s="29" t="str">
        <f t="shared" si="8"/>
        <v/>
      </c>
      <c r="J67" s="29" t="str">
        <f t="shared" si="9"/>
        <v/>
      </c>
      <c r="K67" s="63" t="str">
        <f t="shared" si="10"/>
        <v/>
      </c>
      <c r="L67" s="64" t="str">
        <f t="shared" si="5"/>
        <v/>
      </c>
    </row>
    <row r="68" spans="2:12" x14ac:dyDescent="0.25">
      <c r="B68" s="29" t="e">
        <f>_xlfn.XLOOKUP(TABELA_GERAL[[#This Row],[DESCRIÇÃO]],'TABELA MÃE'!D:D,'TABELA MÃE'!A:A)</f>
        <v>#VALUE!</v>
      </c>
      <c r="C68" s="29" t="e">
        <f>_xlfn.XLOOKUP(TABELA_GERAL[[#This Row],[DESCRIÇÃO]],'TABELA MÃE'!D:D,'TABELA MÃE'!B:B)</f>
        <v>#VALUE!</v>
      </c>
      <c r="D68" s="29" t="e">
        <f t="shared" si="6"/>
        <v>#VALUE!</v>
      </c>
      <c r="E68" s="63" t="e">
        <f>TABELA_GERAL[[#This Row],[VALOR TOTAL R$]]</f>
        <v>#VALUE!</v>
      </c>
      <c r="F68" s="63" t="e">
        <f t="shared" si="7"/>
        <v>#VALUE!</v>
      </c>
      <c r="H68" s="58"/>
      <c r="I68" s="29" t="str">
        <f t="shared" si="8"/>
        <v/>
      </c>
      <c r="J68" s="29" t="str">
        <f t="shared" si="9"/>
        <v/>
      </c>
      <c r="K68" s="63" t="str">
        <f t="shared" si="10"/>
        <v/>
      </c>
      <c r="L68" s="64" t="str">
        <f t="shared" si="5"/>
        <v/>
      </c>
    </row>
    <row r="69" spans="2:12" x14ac:dyDescent="0.25">
      <c r="B69" s="29" t="e">
        <f>_xlfn.XLOOKUP(TABELA_GERAL[[#This Row],[DESCRIÇÃO]],'TABELA MÃE'!D:D,'TABELA MÃE'!A:A)</f>
        <v>#VALUE!</v>
      </c>
      <c r="C69" s="29" t="e">
        <f>_xlfn.XLOOKUP(TABELA_GERAL[[#This Row],[DESCRIÇÃO]],'TABELA MÃE'!D:D,'TABELA MÃE'!B:B)</f>
        <v>#VALUE!</v>
      </c>
      <c r="D69" s="29" t="e">
        <f t="shared" si="6"/>
        <v>#VALUE!</v>
      </c>
      <c r="E69" s="63" t="e">
        <f>TABELA_GERAL[[#This Row],[VALOR TOTAL R$]]</f>
        <v>#VALUE!</v>
      </c>
      <c r="F69" s="63" t="e">
        <f t="shared" si="7"/>
        <v>#VALUE!</v>
      </c>
      <c r="H69" s="61"/>
      <c r="I69" s="29" t="str">
        <f t="shared" si="8"/>
        <v/>
      </c>
      <c r="J69" s="29" t="str">
        <f t="shared" si="9"/>
        <v/>
      </c>
      <c r="K69" s="63" t="str">
        <f t="shared" si="10"/>
        <v/>
      </c>
      <c r="L69" s="64" t="str">
        <f t="shared" si="5"/>
        <v/>
      </c>
    </row>
    <row r="70" spans="2:12" x14ac:dyDescent="0.25">
      <c r="B70" s="29" t="e">
        <f>_xlfn.XLOOKUP(TABELA_GERAL[[#This Row],[DESCRIÇÃO]],'TABELA MÃE'!D:D,'TABELA MÃE'!A:A)</f>
        <v>#VALUE!</v>
      </c>
      <c r="C70" s="29" t="e">
        <f>_xlfn.XLOOKUP(TABELA_GERAL[[#This Row],[DESCRIÇÃO]],'TABELA MÃE'!D:D,'TABELA MÃE'!B:B)</f>
        <v>#VALUE!</v>
      </c>
      <c r="D70" s="29" t="e">
        <f t="shared" si="6"/>
        <v>#VALUE!</v>
      </c>
      <c r="E70" s="63" t="e">
        <f>TABELA_GERAL[[#This Row],[VALOR TOTAL R$]]</f>
        <v>#VALUE!</v>
      </c>
      <c r="F70" s="63" t="e">
        <f t="shared" si="7"/>
        <v>#VALUE!</v>
      </c>
      <c r="H70" s="58"/>
      <c r="I70" s="29" t="str">
        <f t="shared" si="8"/>
        <v/>
      </c>
      <c r="J70" s="29" t="str">
        <f t="shared" si="9"/>
        <v/>
      </c>
      <c r="K70" s="63" t="str">
        <f t="shared" si="10"/>
        <v/>
      </c>
      <c r="L70" s="64" t="str">
        <f t="shared" si="5"/>
        <v/>
      </c>
    </row>
    <row r="71" spans="2:12" x14ac:dyDescent="0.25">
      <c r="B71" s="29" t="e">
        <f>_xlfn.XLOOKUP(TABELA_GERAL[[#This Row],[DESCRIÇÃO]],'TABELA MÃE'!D:D,'TABELA MÃE'!A:A)</f>
        <v>#VALUE!</v>
      </c>
      <c r="C71" s="29" t="e">
        <f>_xlfn.XLOOKUP(TABELA_GERAL[[#This Row],[DESCRIÇÃO]],'TABELA MÃE'!D:D,'TABELA MÃE'!B:B)</f>
        <v>#VALUE!</v>
      </c>
      <c r="D71" s="29" t="e">
        <f t="shared" si="6"/>
        <v>#VALUE!</v>
      </c>
      <c r="E71" s="63" t="e">
        <f>TABELA_GERAL[[#This Row],[VALOR TOTAL R$]]</f>
        <v>#VALUE!</v>
      </c>
      <c r="F71" s="63" t="e">
        <f t="shared" si="7"/>
        <v>#VALUE!</v>
      </c>
      <c r="H71" s="61"/>
      <c r="I71" s="29" t="str">
        <f t="shared" si="8"/>
        <v/>
      </c>
      <c r="J71" s="29" t="str">
        <f t="shared" si="9"/>
        <v/>
      </c>
      <c r="K71" s="63" t="str">
        <f t="shared" si="10"/>
        <v/>
      </c>
      <c r="L71" s="64" t="str">
        <f t="shared" si="5"/>
        <v/>
      </c>
    </row>
    <row r="72" spans="2:12" x14ac:dyDescent="0.25">
      <c r="B72" s="29" t="e">
        <f>_xlfn.XLOOKUP(TABELA_GERAL[[#This Row],[DESCRIÇÃO]],'TABELA MÃE'!D:D,'TABELA MÃE'!A:A)</f>
        <v>#VALUE!</v>
      </c>
      <c r="C72" s="29" t="e">
        <f>_xlfn.XLOOKUP(TABELA_GERAL[[#This Row],[DESCRIÇÃO]],'TABELA MÃE'!D:D,'TABELA MÃE'!B:B)</f>
        <v>#VALUE!</v>
      </c>
      <c r="D72" s="29" t="e">
        <f t="shared" ref="D72:D100" si="11">CONCATENATE(B72,"-",C72)</f>
        <v>#VALUE!</v>
      </c>
      <c r="E72" s="63" t="e">
        <f>TABELA_GERAL[[#This Row],[VALOR TOTAL R$]]</f>
        <v>#VALUE!</v>
      </c>
      <c r="F72" s="63" t="e">
        <f t="shared" ref="F72:F103" si="12">SUMIF($D$8:$D$200,D72,$E$8:$E$200)</f>
        <v>#VALUE!</v>
      </c>
      <c r="H72" s="58"/>
      <c r="I72" s="29" t="str">
        <f t="shared" ref="I72:I100" si="13">IF(IFERROR(_xlfn.XLOOKUP($H72,$D:$D,B:B),"")=0,"",IFERROR(_xlfn.XLOOKUP($H72,$D:$D,B:B),""))</f>
        <v/>
      </c>
      <c r="J72" s="29" t="str">
        <f t="shared" ref="J72:J100" si="14">IF(IFERROR(_xlfn.XLOOKUP($H72,$D:$D,C:C),"")=0,"",IFERROR(_xlfn.XLOOKUP($H72,$D:$D,C:C),""))</f>
        <v/>
      </c>
      <c r="K72" s="63" t="str">
        <f t="shared" ref="K72:K100" si="15">IFERROR(VLOOKUP(H72,$D$8:$F$200,3,FALSE),"")</f>
        <v/>
      </c>
      <c r="L72" s="64" t="str">
        <f t="shared" ref="L72:L100" si="16">IFERROR(K72/SUM($C$204:$C$213),"")</f>
        <v/>
      </c>
    </row>
    <row r="73" spans="2:12" x14ac:dyDescent="0.25">
      <c r="B73" s="29" t="e">
        <f>_xlfn.XLOOKUP(TABELA_GERAL[[#This Row],[DESCRIÇÃO]],'TABELA MÃE'!D:D,'TABELA MÃE'!A:A)</f>
        <v>#VALUE!</v>
      </c>
      <c r="C73" s="29" t="e">
        <f>_xlfn.XLOOKUP(TABELA_GERAL[[#This Row],[DESCRIÇÃO]],'TABELA MÃE'!D:D,'TABELA MÃE'!B:B)</f>
        <v>#VALUE!</v>
      </c>
      <c r="D73" s="29" t="e">
        <f t="shared" si="11"/>
        <v>#VALUE!</v>
      </c>
      <c r="E73" s="63" t="e">
        <f>TABELA_GERAL[[#This Row],[VALOR TOTAL R$]]</f>
        <v>#VALUE!</v>
      </c>
      <c r="F73" s="63" t="e">
        <f t="shared" si="12"/>
        <v>#VALUE!</v>
      </c>
      <c r="H73" s="61"/>
      <c r="I73" s="29" t="str">
        <f t="shared" si="13"/>
        <v/>
      </c>
      <c r="J73" s="29" t="str">
        <f t="shared" si="14"/>
        <v/>
      </c>
      <c r="K73" s="63" t="str">
        <f t="shared" si="15"/>
        <v/>
      </c>
      <c r="L73" s="64" t="str">
        <f t="shared" si="16"/>
        <v/>
      </c>
    </row>
    <row r="74" spans="2:12" x14ac:dyDescent="0.25">
      <c r="B74" s="29" t="e">
        <f>_xlfn.XLOOKUP(TABELA_GERAL[[#This Row],[DESCRIÇÃO]],'TABELA MÃE'!D:D,'TABELA MÃE'!A:A)</f>
        <v>#VALUE!</v>
      </c>
      <c r="C74" s="29" t="e">
        <f>_xlfn.XLOOKUP(TABELA_GERAL[[#This Row],[DESCRIÇÃO]],'TABELA MÃE'!D:D,'TABELA MÃE'!B:B)</f>
        <v>#VALUE!</v>
      </c>
      <c r="D74" s="29" t="e">
        <f t="shared" si="11"/>
        <v>#VALUE!</v>
      </c>
      <c r="E74" s="63" t="e">
        <f>TABELA_GERAL[[#This Row],[VALOR TOTAL R$]]</f>
        <v>#VALUE!</v>
      </c>
      <c r="F74" s="63" t="e">
        <f t="shared" si="12"/>
        <v>#VALUE!</v>
      </c>
      <c r="H74" s="58"/>
      <c r="I74" s="29" t="str">
        <f t="shared" si="13"/>
        <v/>
      </c>
      <c r="J74" s="29" t="str">
        <f t="shared" si="14"/>
        <v/>
      </c>
      <c r="K74" s="63" t="str">
        <f t="shared" si="15"/>
        <v/>
      </c>
      <c r="L74" s="64" t="str">
        <f t="shared" si="16"/>
        <v/>
      </c>
    </row>
    <row r="75" spans="2:12" x14ac:dyDescent="0.25">
      <c r="B75" s="29" t="e">
        <f>_xlfn.XLOOKUP(TABELA_GERAL[[#This Row],[DESCRIÇÃO]],'TABELA MÃE'!D:D,'TABELA MÃE'!A:A)</f>
        <v>#VALUE!</v>
      </c>
      <c r="C75" s="29" t="e">
        <f>_xlfn.XLOOKUP(TABELA_GERAL[[#This Row],[DESCRIÇÃO]],'TABELA MÃE'!D:D,'TABELA MÃE'!B:B)</f>
        <v>#VALUE!</v>
      </c>
      <c r="D75" s="29" t="e">
        <f t="shared" si="11"/>
        <v>#VALUE!</v>
      </c>
      <c r="E75" s="63" t="e">
        <f>TABELA_GERAL[[#This Row],[VALOR TOTAL R$]]</f>
        <v>#VALUE!</v>
      </c>
      <c r="F75" s="63" t="e">
        <f t="shared" si="12"/>
        <v>#VALUE!</v>
      </c>
      <c r="H75" s="61"/>
      <c r="I75" s="29" t="str">
        <f t="shared" si="13"/>
        <v/>
      </c>
      <c r="J75" s="29" t="str">
        <f t="shared" si="14"/>
        <v/>
      </c>
      <c r="K75" s="63" t="str">
        <f t="shared" si="15"/>
        <v/>
      </c>
      <c r="L75" s="64" t="str">
        <f t="shared" si="16"/>
        <v/>
      </c>
    </row>
    <row r="76" spans="2:12" x14ac:dyDescent="0.25">
      <c r="B76" s="29" t="e">
        <f>_xlfn.XLOOKUP(TABELA_GERAL[[#This Row],[DESCRIÇÃO]],'TABELA MÃE'!D:D,'TABELA MÃE'!A:A)</f>
        <v>#VALUE!</v>
      </c>
      <c r="C76" s="29" t="e">
        <f>_xlfn.XLOOKUP(TABELA_GERAL[[#This Row],[DESCRIÇÃO]],'TABELA MÃE'!D:D,'TABELA MÃE'!B:B)</f>
        <v>#VALUE!</v>
      </c>
      <c r="D76" s="29" t="e">
        <f t="shared" si="11"/>
        <v>#VALUE!</v>
      </c>
      <c r="E76" s="63" t="e">
        <f>TABELA_GERAL[[#This Row],[VALOR TOTAL R$]]</f>
        <v>#VALUE!</v>
      </c>
      <c r="F76" s="63" t="e">
        <f t="shared" si="12"/>
        <v>#VALUE!</v>
      </c>
      <c r="H76" s="58"/>
      <c r="I76" s="29" t="str">
        <f t="shared" si="13"/>
        <v/>
      </c>
      <c r="J76" s="29" t="str">
        <f t="shared" si="14"/>
        <v/>
      </c>
      <c r="K76" s="63" t="str">
        <f t="shared" si="15"/>
        <v/>
      </c>
      <c r="L76" s="64" t="str">
        <f t="shared" si="16"/>
        <v/>
      </c>
    </row>
    <row r="77" spans="2:12" x14ac:dyDescent="0.25">
      <c r="B77" s="29" t="e">
        <f>_xlfn.XLOOKUP(TABELA_GERAL[[#This Row],[DESCRIÇÃO]],'TABELA MÃE'!D:D,'TABELA MÃE'!A:A)</f>
        <v>#VALUE!</v>
      </c>
      <c r="C77" s="29" t="e">
        <f>_xlfn.XLOOKUP(TABELA_GERAL[[#This Row],[DESCRIÇÃO]],'TABELA MÃE'!D:D,'TABELA MÃE'!B:B)</f>
        <v>#VALUE!</v>
      </c>
      <c r="D77" s="29" t="e">
        <f t="shared" si="11"/>
        <v>#VALUE!</v>
      </c>
      <c r="E77" s="63" t="e">
        <f>TABELA_GERAL[[#This Row],[VALOR TOTAL R$]]</f>
        <v>#VALUE!</v>
      </c>
      <c r="F77" s="63" t="e">
        <f t="shared" si="12"/>
        <v>#VALUE!</v>
      </c>
      <c r="H77" s="61"/>
      <c r="I77" s="29" t="str">
        <f t="shared" si="13"/>
        <v/>
      </c>
      <c r="J77" s="29" t="str">
        <f t="shared" si="14"/>
        <v/>
      </c>
      <c r="K77" s="63" t="str">
        <f t="shared" si="15"/>
        <v/>
      </c>
      <c r="L77" s="64" t="str">
        <f t="shared" si="16"/>
        <v/>
      </c>
    </row>
    <row r="78" spans="2:12" x14ac:dyDescent="0.25">
      <c r="B78" s="29" t="e">
        <f>_xlfn.XLOOKUP(TABELA_GERAL[[#This Row],[DESCRIÇÃO]],'TABELA MÃE'!D:D,'TABELA MÃE'!A:A)</f>
        <v>#VALUE!</v>
      </c>
      <c r="C78" s="29" t="e">
        <f>_xlfn.XLOOKUP(TABELA_GERAL[[#This Row],[DESCRIÇÃO]],'TABELA MÃE'!D:D,'TABELA MÃE'!B:B)</f>
        <v>#VALUE!</v>
      </c>
      <c r="D78" s="29" t="e">
        <f t="shared" si="11"/>
        <v>#VALUE!</v>
      </c>
      <c r="E78" s="63" t="e">
        <f>TABELA_GERAL[[#This Row],[VALOR TOTAL R$]]</f>
        <v>#VALUE!</v>
      </c>
      <c r="F78" s="63" t="e">
        <f t="shared" si="12"/>
        <v>#VALUE!</v>
      </c>
      <c r="H78" s="58"/>
      <c r="I78" s="29" t="str">
        <f t="shared" si="13"/>
        <v/>
      </c>
      <c r="J78" s="29" t="str">
        <f t="shared" si="14"/>
        <v/>
      </c>
      <c r="K78" s="63" t="str">
        <f t="shared" si="15"/>
        <v/>
      </c>
      <c r="L78" s="64" t="str">
        <f t="shared" si="16"/>
        <v/>
      </c>
    </row>
    <row r="79" spans="2:12" x14ac:dyDescent="0.25">
      <c r="B79" s="29" t="e">
        <f>_xlfn.XLOOKUP(TABELA_GERAL[[#This Row],[DESCRIÇÃO]],'TABELA MÃE'!D:D,'TABELA MÃE'!A:A)</f>
        <v>#VALUE!</v>
      </c>
      <c r="C79" s="29" t="e">
        <f>_xlfn.XLOOKUP(TABELA_GERAL[[#This Row],[DESCRIÇÃO]],'TABELA MÃE'!D:D,'TABELA MÃE'!B:B)</f>
        <v>#VALUE!</v>
      </c>
      <c r="D79" s="29" t="e">
        <f t="shared" si="11"/>
        <v>#VALUE!</v>
      </c>
      <c r="E79" s="63" t="e">
        <f>TABELA_GERAL[[#This Row],[VALOR TOTAL R$]]</f>
        <v>#VALUE!</v>
      </c>
      <c r="F79" s="63" t="e">
        <f t="shared" si="12"/>
        <v>#VALUE!</v>
      </c>
      <c r="H79" s="61"/>
      <c r="I79" s="29" t="str">
        <f t="shared" si="13"/>
        <v/>
      </c>
      <c r="J79" s="29" t="str">
        <f t="shared" si="14"/>
        <v/>
      </c>
      <c r="K79" s="63" t="str">
        <f t="shared" si="15"/>
        <v/>
      </c>
      <c r="L79" s="64" t="str">
        <f t="shared" si="16"/>
        <v/>
      </c>
    </row>
    <row r="80" spans="2:12" x14ac:dyDescent="0.25">
      <c r="B80" s="29" t="e">
        <f>_xlfn.XLOOKUP(TABELA_GERAL[[#This Row],[DESCRIÇÃO]],'TABELA MÃE'!D:D,'TABELA MÃE'!A:A)</f>
        <v>#VALUE!</v>
      </c>
      <c r="C80" s="29" t="e">
        <f>_xlfn.XLOOKUP(TABELA_GERAL[[#This Row],[DESCRIÇÃO]],'TABELA MÃE'!D:D,'TABELA MÃE'!B:B)</f>
        <v>#VALUE!</v>
      </c>
      <c r="D80" s="29" t="e">
        <f t="shared" si="11"/>
        <v>#VALUE!</v>
      </c>
      <c r="E80" s="63" t="e">
        <f>TABELA_GERAL[[#This Row],[VALOR TOTAL R$]]</f>
        <v>#VALUE!</v>
      </c>
      <c r="F80" s="63" t="e">
        <f t="shared" si="12"/>
        <v>#VALUE!</v>
      </c>
      <c r="H80" s="58"/>
      <c r="I80" s="29" t="str">
        <f t="shared" si="13"/>
        <v/>
      </c>
      <c r="J80" s="29" t="str">
        <f t="shared" si="14"/>
        <v/>
      </c>
      <c r="K80" s="63" t="str">
        <f t="shared" si="15"/>
        <v/>
      </c>
      <c r="L80" s="64" t="str">
        <f t="shared" si="16"/>
        <v/>
      </c>
    </row>
    <row r="81" spans="2:12" x14ac:dyDescent="0.25">
      <c r="B81" s="29" t="e">
        <f>_xlfn.XLOOKUP(TABELA_GERAL[[#This Row],[DESCRIÇÃO]],'TABELA MÃE'!D:D,'TABELA MÃE'!A:A)</f>
        <v>#VALUE!</v>
      </c>
      <c r="C81" s="29" t="e">
        <f>_xlfn.XLOOKUP(TABELA_GERAL[[#This Row],[DESCRIÇÃO]],'TABELA MÃE'!D:D,'TABELA MÃE'!B:B)</f>
        <v>#VALUE!</v>
      </c>
      <c r="D81" s="29" t="e">
        <f t="shared" si="11"/>
        <v>#VALUE!</v>
      </c>
      <c r="E81" s="63" t="e">
        <f>TABELA_GERAL[[#This Row],[VALOR TOTAL R$]]</f>
        <v>#VALUE!</v>
      </c>
      <c r="F81" s="63" t="e">
        <f t="shared" si="12"/>
        <v>#VALUE!</v>
      </c>
      <c r="H81" s="61"/>
      <c r="I81" s="29" t="str">
        <f t="shared" si="13"/>
        <v/>
      </c>
      <c r="J81" s="29" t="str">
        <f t="shared" si="14"/>
        <v/>
      </c>
      <c r="K81" s="63" t="str">
        <f t="shared" si="15"/>
        <v/>
      </c>
      <c r="L81" s="64" t="str">
        <f t="shared" si="16"/>
        <v/>
      </c>
    </row>
    <row r="82" spans="2:12" x14ac:dyDescent="0.25">
      <c r="B82" s="29" t="e">
        <f>_xlfn.XLOOKUP(TABELA_GERAL[[#This Row],[DESCRIÇÃO]],'TABELA MÃE'!D:D,'TABELA MÃE'!A:A)</f>
        <v>#VALUE!</v>
      </c>
      <c r="C82" s="29" t="e">
        <f>_xlfn.XLOOKUP(TABELA_GERAL[[#This Row],[DESCRIÇÃO]],'TABELA MÃE'!D:D,'TABELA MÃE'!B:B)</f>
        <v>#VALUE!</v>
      </c>
      <c r="D82" s="29" t="e">
        <f t="shared" si="11"/>
        <v>#VALUE!</v>
      </c>
      <c r="E82" s="63" t="e">
        <f>TABELA_GERAL[[#This Row],[VALOR TOTAL R$]]</f>
        <v>#VALUE!</v>
      </c>
      <c r="F82" s="63" t="e">
        <f t="shared" si="12"/>
        <v>#VALUE!</v>
      </c>
      <c r="H82" s="58"/>
      <c r="I82" s="29" t="str">
        <f t="shared" si="13"/>
        <v/>
      </c>
      <c r="J82" s="29" t="str">
        <f t="shared" si="14"/>
        <v/>
      </c>
      <c r="K82" s="63" t="str">
        <f t="shared" si="15"/>
        <v/>
      </c>
      <c r="L82" s="64" t="str">
        <f t="shared" si="16"/>
        <v/>
      </c>
    </row>
    <row r="83" spans="2:12" x14ac:dyDescent="0.25">
      <c r="B83" s="29" t="e">
        <f>_xlfn.XLOOKUP(TABELA_GERAL[[#This Row],[DESCRIÇÃO]],'TABELA MÃE'!D:D,'TABELA MÃE'!A:A)</f>
        <v>#VALUE!</v>
      </c>
      <c r="C83" s="29" t="e">
        <f>_xlfn.XLOOKUP(TABELA_GERAL[[#This Row],[DESCRIÇÃO]],'TABELA MÃE'!D:D,'TABELA MÃE'!B:B)</f>
        <v>#VALUE!</v>
      </c>
      <c r="D83" s="29" t="e">
        <f t="shared" si="11"/>
        <v>#VALUE!</v>
      </c>
      <c r="E83" s="63" t="e">
        <f>TABELA_GERAL[[#This Row],[VALOR TOTAL R$]]</f>
        <v>#VALUE!</v>
      </c>
      <c r="F83" s="63" t="e">
        <f t="shared" si="12"/>
        <v>#VALUE!</v>
      </c>
      <c r="H83" s="61"/>
      <c r="I83" s="29" t="str">
        <f t="shared" si="13"/>
        <v/>
      </c>
      <c r="J83" s="29" t="str">
        <f t="shared" si="14"/>
        <v/>
      </c>
      <c r="K83" s="63" t="str">
        <f t="shared" si="15"/>
        <v/>
      </c>
      <c r="L83" s="64" t="str">
        <f t="shared" si="16"/>
        <v/>
      </c>
    </row>
    <row r="84" spans="2:12" x14ac:dyDescent="0.25">
      <c r="B84" s="29" t="e">
        <f>_xlfn.XLOOKUP(TABELA_GERAL[[#This Row],[DESCRIÇÃO]],'TABELA MÃE'!D:D,'TABELA MÃE'!A:A)</f>
        <v>#VALUE!</v>
      </c>
      <c r="C84" s="29" t="e">
        <f>_xlfn.XLOOKUP(TABELA_GERAL[[#This Row],[DESCRIÇÃO]],'TABELA MÃE'!D:D,'TABELA MÃE'!B:B)</f>
        <v>#VALUE!</v>
      </c>
      <c r="D84" s="29" t="e">
        <f t="shared" si="11"/>
        <v>#VALUE!</v>
      </c>
      <c r="E84" s="63" t="e">
        <f>TABELA_GERAL[[#This Row],[VALOR TOTAL R$]]</f>
        <v>#VALUE!</v>
      </c>
      <c r="F84" s="63" t="e">
        <f t="shared" si="12"/>
        <v>#VALUE!</v>
      </c>
      <c r="H84" s="58"/>
      <c r="I84" s="29" t="str">
        <f t="shared" si="13"/>
        <v/>
      </c>
      <c r="J84" s="29" t="str">
        <f t="shared" si="14"/>
        <v/>
      </c>
      <c r="K84" s="63" t="str">
        <f t="shared" si="15"/>
        <v/>
      </c>
      <c r="L84" s="64" t="str">
        <f t="shared" si="16"/>
        <v/>
      </c>
    </row>
    <row r="85" spans="2:12" x14ac:dyDescent="0.25">
      <c r="B85" s="29" t="e">
        <f>_xlfn.XLOOKUP(TABELA_GERAL[[#This Row],[DESCRIÇÃO]],'TABELA MÃE'!D:D,'TABELA MÃE'!A:A)</f>
        <v>#VALUE!</v>
      </c>
      <c r="C85" s="29" t="e">
        <f>_xlfn.XLOOKUP(TABELA_GERAL[[#This Row],[DESCRIÇÃO]],'TABELA MÃE'!D:D,'TABELA MÃE'!B:B)</f>
        <v>#VALUE!</v>
      </c>
      <c r="D85" s="29" t="e">
        <f t="shared" si="11"/>
        <v>#VALUE!</v>
      </c>
      <c r="E85" s="63" t="e">
        <f>TABELA_GERAL[[#This Row],[VALOR TOTAL R$]]</f>
        <v>#VALUE!</v>
      </c>
      <c r="F85" s="63" t="e">
        <f t="shared" si="12"/>
        <v>#VALUE!</v>
      </c>
      <c r="H85" s="61"/>
      <c r="I85" s="29" t="str">
        <f t="shared" si="13"/>
        <v/>
      </c>
      <c r="J85" s="29" t="str">
        <f t="shared" si="14"/>
        <v/>
      </c>
      <c r="K85" s="63" t="str">
        <f t="shared" si="15"/>
        <v/>
      </c>
      <c r="L85" s="64" t="str">
        <f t="shared" si="16"/>
        <v/>
      </c>
    </row>
    <row r="86" spans="2:12" x14ac:dyDescent="0.25">
      <c r="B86" s="29" t="e">
        <f>_xlfn.XLOOKUP(TABELA_GERAL[[#This Row],[DESCRIÇÃO]],'TABELA MÃE'!D:D,'TABELA MÃE'!A:A)</f>
        <v>#VALUE!</v>
      </c>
      <c r="C86" s="29" t="e">
        <f>_xlfn.XLOOKUP(TABELA_GERAL[[#This Row],[DESCRIÇÃO]],'TABELA MÃE'!D:D,'TABELA MÃE'!B:B)</f>
        <v>#VALUE!</v>
      </c>
      <c r="D86" s="29" t="e">
        <f t="shared" si="11"/>
        <v>#VALUE!</v>
      </c>
      <c r="E86" s="63" t="e">
        <f>TABELA_GERAL[[#This Row],[VALOR TOTAL R$]]</f>
        <v>#VALUE!</v>
      </c>
      <c r="F86" s="63" t="e">
        <f t="shared" si="12"/>
        <v>#VALUE!</v>
      </c>
      <c r="H86" s="58"/>
      <c r="I86" s="29" t="str">
        <f t="shared" si="13"/>
        <v/>
      </c>
      <c r="J86" s="29" t="str">
        <f t="shared" si="14"/>
        <v/>
      </c>
      <c r="K86" s="63" t="str">
        <f t="shared" si="15"/>
        <v/>
      </c>
      <c r="L86" s="64" t="str">
        <f t="shared" si="16"/>
        <v/>
      </c>
    </row>
    <row r="87" spans="2:12" x14ac:dyDescent="0.25">
      <c r="B87" s="29" t="e">
        <f>_xlfn.XLOOKUP(TABELA_GERAL[[#This Row],[DESCRIÇÃO]],'TABELA MÃE'!D:D,'TABELA MÃE'!A:A)</f>
        <v>#VALUE!</v>
      </c>
      <c r="C87" s="29" t="e">
        <f>_xlfn.XLOOKUP(TABELA_GERAL[[#This Row],[DESCRIÇÃO]],'TABELA MÃE'!D:D,'TABELA MÃE'!B:B)</f>
        <v>#VALUE!</v>
      </c>
      <c r="D87" s="29" t="e">
        <f t="shared" si="11"/>
        <v>#VALUE!</v>
      </c>
      <c r="E87" s="63" t="e">
        <f>TABELA_GERAL[[#This Row],[VALOR TOTAL R$]]</f>
        <v>#VALUE!</v>
      </c>
      <c r="F87" s="63" t="e">
        <f t="shared" si="12"/>
        <v>#VALUE!</v>
      </c>
      <c r="H87" s="61"/>
      <c r="I87" s="29" t="str">
        <f t="shared" si="13"/>
        <v/>
      </c>
      <c r="J87" s="29" t="str">
        <f t="shared" si="14"/>
        <v/>
      </c>
      <c r="K87" s="63" t="str">
        <f t="shared" si="15"/>
        <v/>
      </c>
      <c r="L87" s="64" t="str">
        <f t="shared" si="16"/>
        <v/>
      </c>
    </row>
    <row r="88" spans="2:12" x14ac:dyDescent="0.25">
      <c r="B88" s="29" t="e">
        <f>_xlfn.XLOOKUP(TABELA_GERAL[[#This Row],[DESCRIÇÃO]],'TABELA MÃE'!D:D,'TABELA MÃE'!A:A)</f>
        <v>#VALUE!</v>
      </c>
      <c r="C88" s="29" t="e">
        <f>_xlfn.XLOOKUP(TABELA_GERAL[[#This Row],[DESCRIÇÃO]],'TABELA MÃE'!D:D,'TABELA MÃE'!B:B)</f>
        <v>#VALUE!</v>
      </c>
      <c r="D88" s="29" t="e">
        <f t="shared" si="11"/>
        <v>#VALUE!</v>
      </c>
      <c r="E88" s="63" t="e">
        <f>TABELA_GERAL[[#This Row],[VALOR TOTAL R$]]</f>
        <v>#VALUE!</v>
      </c>
      <c r="F88" s="63" t="e">
        <f t="shared" si="12"/>
        <v>#VALUE!</v>
      </c>
      <c r="H88" s="58"/>
      <c r="I88" s="29" t="str">
        <f t="shared" si="13"/>
        <v/>
      </c>
      <c r="J88" s="29" t="str">
        <f t="shared" si="14"/>
        <v/>
      </c>
      <c r="K88" s="63" t="str">
        <f t="shared" si="15"/>
        <v/>
      </c>
      <c r="L88" s="64" t="str">
        <f t="shared" si="16"/>
        <v/>
      </c>
    </row>
    <row r="89" spans="2:12" x14ac:dyDescent="0.25">
      <c r="B89" s="29" t="e">
        <f>_xlfn.XLOOKUP(TABELA_GERAL[[#This Row],[DESCRIÇÃO]],'TABELA MÃE'!D:D,'TABELA MÃE'!A:A)</f>
        <v>#VALUE!</v>
      </c>
      <c r="C89" s="29" t="e">
        <f>_xlfn.XLOOKUP(TABELA_GERAL[[#This Row],[DESCRIÇÃO]],'TABELA MÃE'!D:D,'TABELA MÃE'!B:B)</f>
        <v>#VALUE!</v>
      </c>
      <c r="D89" s="29" t="e">
        <f t="shared" si="11"/>
        <v>#VALUE!</v>
      </c>
      <c r="E89" s="63" t="e">
        <f>TABELA_GERAL[[#This Row],[VALOR TOTAL R$]]</f>
        <v>#VALUE!</v>
      </c>
      <c r="F89" s="63" t="e">
        <f t="shared" si="12"/>
        <v>#VALUE!</v>
      </c>
      <c r="H89" s="61"/>
      <c r="I89" s="29" t="str">
        <f t="shared" si="13"/>
        <v/>
      </c>
      <c r="J89" s="29" t="str">
        <f t="shared" si="14"/>
        <v/>
      </c>
      <c r="K89" s="63" t="str">
        <f t="shared" si="15"/>
        <v/>
      </c>
      <c r="L89" s="64" t="str">
        <f t="shared" si="16"/>
        <v/>
      </c>
    </row>
    <row r="90" spans="2:12" x14ac:dyDescent="0.25">
      <c r="B90" s="29" t="e">
        <f>_xlfn.XLOOKUP(TABELA_GERAL[[#This Row],[DESCRIÇÃO]],'TABELA MÃE'!D:D,'TABELA MÃE'!A:A)</f>
        <v>#VALUE!</v>
      </c>
      <c r="C90" s="29" t="e">
        <f>_xlfn.XLOOKUP(TABELA_GERAL[[#This Row],[DESCRIÇÃO]],'TABELA MÃE'!D:D,'TABELA MÃE'!B:B)</f>
        <v>#VALUE!</v>
      </c>
      <c r="D90" s="29" t="e">
        <f t="shared" si="11"/>
        <v>#VALUE!</v>
      </c>
      <c r="E90" s="63" t="e">
        <f>TABELA_GERAL[[#This Row],[VALOR TOTAL R$]]</f>
        <v>#VALUE!</v>
      </c>
      <c r="F90" s="63" t="e">
        <f t="shared" si="12"/>
        <v>#VALUE!</v>
      </c>
      <c r="H90" s="58"/>
      <c r="I90" s="29" t="str">
        <f t="shared" si="13"/>
        <v/>
      </c>
      <c r="J90" s="29" t="str">
        <f t="shared" si="14"/>
        <v/>
      </c>
      <c r="K90" s="63" t="str">
        <f t="shared" si="15"/>
        <v/>
      </c>
      <c r="L90" s="64" t="str">
        <f t="shared" si="16"/>
        <v/>
      </c>
    </row>
    <row r="91" spans="2:12" x14ac:dyDescent="0.25">
      <c r="B91" s="29" t="e">
        <f>_xlfn.XLOOKUP(TABELA_GERAL[[#This Row],[DESCRIÇÃO]],'TABELA MÃE'!D:D,'TABELA MÃE'!A:A)</f>
        <v>#VALUE!</v>
      </c>
      <c r="C91" s="29" t="e">
        <f>_xlfn.XLOOKUP(TABELA_GERAL[[#This Row],[DESCRIÇÃO]],'TABELA MÃE'!D:D,'TABELA MÃE'!B:B)</f>
        <v>#VALUE!</v>
      </c>
      <c r="D91" s="29" t="e">
        <f t="shared" si="11"/>
        <v>#VALUE!</v>
      </c>
      <c r="E91" s="63" t="e">
        <f>TABELA_GERAL[[#This Row],[VALOR TOTAL R$]]</f>
        <v>#VALUE!</v>
      </c>
      <c r="F91" s="63" t="e">
        <f t="shared" si="12"/>
        <v>#VALUE!</v>
      </c>
      <c r="H91" s="61"/>
      <c r="I91" s="29" t="str">
        <f t="shared" si="13"/>
        <v/>
      </c>
      <c r="J91" s="29" t="str">
        <f t="shared" si="14"/>
        <v/>
      </c>
      <c r="K91" s="63" t="str">
        <f t="shared" si="15"/>
        <v/>
      </c>
      <c r="L91" s="64" t="str">
        <f t="shared" si="16"/>
        <v/>
      </c>
    </row>
    <row r="92" spans="2:12" x14ac:dyDescent="0.25">
      <c r="B92" s="29" t="e">
        <f>_xlfn.XLOOKUP(TABELA_GERAL[[#This Row],[DESCRIÇÃO]],'TABELA MÃE'!D:D,'TABELA MÃE'!A:A)</f>
        <v>#VALUE!</v>
      </c>
      <c r="C92" s="29" t="e">
        <f>_xlfn.XLOOKUP(TABELA_GERAL[[#This Row],[DESCRIÇÃO]],'TABELA MÃE'!D:D,'TABELA MÃE'!B:B)</f>
        <v>#VALUE!</v>
      </c>
      <c r="D92" s="29" t="e">
        <f t="shared" si="11"/>
        <v>#VALUE!</v>
      </c>
      <c r="E92" s="63" t="e">
        <f>TABELA_GERAL[[#This Row],[VALOR TOTAL R$]]</f>
        <v>#VALUE!</v>
      </c>
      <c r="F92" s="63" t="e">
        <f t="shared" si="12"/>
        <v>#VALUE!</v>
      </c>
      <c r="H92" s="58"/>
      <c r="I92" s="29" t="str">
        <f t="shared" si="13"/>
        <v/>
      </c>
      <c r="J92" s="29" t="str">
        <f t="shared" si="14"/>
        <v/>
      </c>
      <c r="K92" s="63" t="str">
        <f t="shared" si="15"/>
        <v/>
      </c>
      <c r="L92" s="64" t="str">
        <f t="shared" si="16"/>
        <v/>
      </c>
    </row>
    <row r="93" spans="2:12" x14ac:dyDescent="0.25">
      <c r="B93" s="29" t="e">
        <f>_xlfn.XLOOKUP(TABELA_GERAL[[#This Row],[DESCRIÇÃO]],'TABELA MÃE'!D:D,'TABELA MÃE'!A:A)</f>
        <v>#VALUE!</v>
      </c>
      <c r="C93" s="29" t="e">
        <f>_xlfn.XLOOKUP(TABELA_GERAL[[#This Row],[DESCRIÇÃO]],'TABELA MÃE'!D:D,'TABELA MÃE'!B:B)</f>
        <v>#VALUE!</v>
      </c>
      <c r="D93" s="29" t="e">
        <f t="shared" si="11"/>
        <v>#VALUE!</v>
      </c>
      <c r="E93" s="63" t="e">
        <f>TABELA_GERAL[[#This Row],[VALOR TOTAL R$]]</f>
        <v>#VALUE!</v>
      </c>
      <c r="F93" s="63" t="e">
        <f t="shared" si="12"/>
        <v>#VALUE!</v>
      </c>
      <c r="H93" s="61"/>
      <c r="I93" s="29" t="str">
        <f t="shared" si="13"/>
        <v/>
      </c>
      <c r="J93" s="29" t="str">
        <f t="shared" si="14"/>
        <v/>
      </c>
      <c r="K93" s="63" t="str">
        <f t="shared" si="15"/>
        <v/>
      </c>
      <c r="L93" s="64" t="str">
        <f t="shared" si="16"/>
        <v/>
      </c>
    </row>
    <row r="94" spans="2:12" x14ac:dyDescent="0.25">
      <c r="B94" s="29" t="e">
        <f>_xlfn.XLOOKUP(TABELA_GERAL[[#This Row],[DESCRIÇÃO]],'TABELA MÃE'!D:D,'TABELA MÃE'!A:A)</f>
        <v>#VALUE!</v>
      </c>
      <c r="C94" s="29" t="e">
        <f>_xlfn.XLOOKUP(TABELA_GERAL[[#This Row],[DESCRIÇÃO]],'TABELA MÃE'!D:D,'TABELA MÃE'!B:B)</f>
        <v>#VALUE!</v>
      </c>
      <c r="D94" s="29" t="e">
        <f t="shared" si="11"/>
        <v>#VALUE!</v>
      </c>
      <c r="E94" s="63" t="e">
        <f>TABELA_GERAL[[#This Row],[VALOR TOTAL R$]]</f>
        <v>#VALUE!</v>
      </c>
      <c r="F94" s="63" t="e">
        <f t="shared" si="12"/>
        <v>#VALUE!</v>
      </c>
      <c r="H94" s="58"/>
      <c r="I94" s="29" t="str">
        <f t="shared" si="13"/>
        <v/>
      </c>
      <c r="J94" s="29" t="str">
        <f t="shared" si="14"/>
        <v/>
      </c>
      <c r="K94" s="63" t="str">
        <f t="shared" si="15"/>
        <v/>
      </c>
      <c r="L94" s="64" t="str">
        <f t="shared" si="16"/>
        <v/>
      </c>
    </row>
    <row r="95" spans="2:12" x14ac:dyDescent="0.25">
      <c r="B95" s="29" t="e">
        <f>_xlfn.XLOOKUP(TABELA_GERAL[[#This Row],[DESCRIÇÃO]],'TABELA MÃE'!D:D,'TABELA MÃE'!A:A)</f>
        <v>#VALUE!</v>
      </c>
      <c r="C95" s="29" t="e">
        <f>_xlfn.XLOOKUP(TABELA_GERAL[[#This Row],[DESCRIÇÃO]],'TABELA MÃE'!D:D,'TABELA MÃE'!B:B)</f>
        <v>#VALUE!</v>
      </c>
      <c r="D95" s="29" t="e">
        <f t="shared" si="11"/>
        <v>#VALUE!</v>
      </c>
      <c r="E95" s="63" t="e">
        <f>TABELA_GERAL[[#This Row],[VALOR TOTAL R$]]</f>
        <v>#VALUE!</v>
      </c>
      <c r="F95" s="63" t="e">
        <f t="shared" si="12"/>
        <v>#VALUE!</v>
      </c>
      <c r="H95" s="61"/>
      <c r="I95" s="29" t="str">
        <f t="shared" si="13"/>
        <v/>
      </c>
      <c r="J95" s="29" t="str">
        <f t="shared" si="14"/>
        <v/>
      </c>
      <c r="K95" s="63" t="str">
        <f t="shared" si="15"/>
        <v/>
      </c>
      <c r="L95" s="64" t="str">
        <f t="shared" si="16"/>
        <v/>
      </c>
    </row>
    <row r="96" spans="2:12" x14ac:dyDescent="0.25">
      <c r="B96" s="29" t="e">
        <f>_xlfn.XLOOKUP(TABELA_GERAL[[#This Row],[DESCRIÇÃO]],'TABELA MÃE'!D:D,'TABELA MÃE'!A:A)</f>
        <v>#VALUE!</v>
      </c>
      <c r="C96" s="29" t="e">
        <f>_xlfn.XLOOKUP(TABELA_GERAL[[#This Row],[DESCRIÇÃO]],'TABELA MÃE'!D:D,'TABELA MÃE'!B:B)</f>
        <v>#VALUE!</v>
      </c>
      <c r="D96" s="29" t="e">
        <f t="shared" si="11"/>
        <v>#VALUE!</v>
      </c>
      <c r="E96" s="63" t="e">
        <f>TABELA_GERAL[[#This Row],[VALOR TOTAL R$]]</f>
        <v>#VALUE!</v>
      </c>
      <c r="F96" s="63" t="e">
        <f t="shared" si="12"/>
        <v>#VALUE!</v>
      </c>
      <c r="H96" s="58"/>
      <c r="I96" s="29" t="str">
        <f t="shared" si="13"/>
        <v/>
      </c>
      <c r="J96" s="29" t="str">
        <f t="shared" si="14"/>
        <v/>
      </c>
      <c r="K96" s="63" t="str">
        <f t="shared" si="15"/>
        <v/>
      </c>
      <c r="L96" s="64" t="str">
        <f t="shared" si="16"/>
        <v/>
      </c>
    </row>
    <row r="97" spans="2:12" x14ac:dyDescent="0.25">
      <c r="B97" s="29" t="e">
        <f>_xlfn.XLOOKUP(TABELA_GERAL[[#This Row],[DESCRIÇÃO]],'TABELA MÃE'!D:D,'TABELA MÃE'!A:A)</f>
        <v>#VALUE!</v>
      </c>
      <c r="C97" s="29" t="e">
        <f>_xlfn.XLOOKUP(TABELA_GERAL[[#This Row],[DESCRIÇÃO]],'TABELA MÃE'!D:D,'TABELA MÃE'!B:B)</f>
        <v>#VALUE!</v>
      </c>
      <c r="D97" s="29" t="e">
        <f t="shared" si="11"/>
        <v>#VALUE!</v>
      </c>
      <c r="E97" s="63" t="e">
        <f>TABELA_GERAL[[#This Row],[VALOR TOTAL R$]]</f>
        <v>#VALUE!</v>
      </c>
      <c r="F97" s="63" t="e">
        <f t="shared" si="12"/>
        <v>#VALUE!</v>
      </c>
      <c r="H97" s="61"/>
      <c r="I97" s="29" t="str">
        <f t="shared" si="13"/>
        <v/>
      </c>
      <c r="J97" s="29" t="str">
        <f t="shared" si="14"/>
        <v/>
      </c>
      <c r="K97" s="63" t="str">
        <f t="shared" si="15"/>
        <v/>
      </c>
      <c r="L97" s="64" t="str">
        <f t="shared" si="16"/>
        <v/>
      </c>
    </row>
    <row r="98" spans="2:12" x14ac:dyDescent="0.25">
      <c r="B98" s="29" t="e">
        <f>_xlfn.XLOOKUP(TABELA_GERAL[[#This Row],[DESCRIÇÃO]],'TABELA MÃE'!D:D,'TABELA MÃE'!A:A)</f>
        <v>#VALUE!</v>
      </c>
      <c r="C98" s="29" t="e">
        <f>_xlfn.XLOOKUP(TABELA_GERAL[[#This Row],[DESCRIÇÃO]],'TABELA MÃE'!D:D,'TABELA MÃE'!B:B)</f>
        <v>#VALUE!</v>
      </c>
      <c r="D98" s="29" t="e">
        <f t="shared" si="11"/>
        <v>#VALUE!</v>
      </c>
      <c r="E98" s="63" t="e">
        <f>TABELA_GERAL[[#This Row],[VALOR TOTAL R$]]</f>
        <v>#VALUE!</v>
      </c>
      <c r="F98" s="63" t="e">
        <f t="shared" si="12"/>
        <v>#VALUE!</v>
      </c>
      <c r="H98" s="58"/>
      <c r="I98" s="29" t="str">
        <f t="shared" si="13"/>
        <v/>
      </c>
      <c r="J98" s="29" t="str">
        <f t="shared" si="14"/>
        <v/>
      </c>
      <c r="K98" s="63" t="str">
        <f t="shared" si="15"/>
        <v/>
      </c>
      <c r="L98" s="64" t="str">
        <f t="shared" si="16"/>
        <v/>
      </c>
    </row>
    <row r="99" spans="2:12" x14ac:dyDescent="0.25">
      <c r="B99" s="29" t="e">
        <f>_xlfn.XLOOKUP(TABELA_GERAL[[#This Row],[DESCRIÇÃO]],'TABELA MÃE'!D:D,'TABELA MÃE'!A:A)</f>
        <v>#VALUE!</v>
      </c>
      <c r="C99" s="29" t="e">
        <f>_xlfn.XLOOKUP(TABELA_GERAL[[#This Row],[DESCRIÇÃO]],'TABELA MÃE'!D:D,'TABELA MÃE'!B:B)</f>
        <v>#VALUE!</v>
      </c>
      <c r="D99" s="29" t="e">
        <f t="shared" si="11"/>
        <v>#VALUE!</v>
      </c>
      <c r="E99" s="63" t="e">
        <f>TABELA_GERAL[[#This Row],[VALOR TOTAL R$]]</f>
        <v>#VALUE!</v>
      </c>
      <c r="F99" s="63" t="e">
        <f t="shared" si="12"/>
        <v>#VALUE!</v>
      </c>
      <c r="H99" s="61"/>
      <c r="I99" s="29" t="str">
        <f t="shared" si="13"/>
        <v/>
      </c>
      <c r="J99" s="29" t="str">
        <f t="shared" si="14"/>
        <v/>
      </c>
      <c r="K99" s="63" t="str">
        <f t="shared" si="15"/>
        <v/>
      </c>
      <c r="L99" s="64" t="str">
        <f t="shared" si="16"/>
        <v/>
      </c>
    </row>
    <row r="100" spans="2:12" x14ac:dyDescent="0.25">
      <c r="B100" s="29" t="e">
        <f>_xlfn.XLOOKUP(TABELA_GERAL[[#This Row],[DESCRIÇÃO]],'TABELA MÃE'!D:D,'TABELA MÃE'!A:A)</f>
        <v>#VALUE!</v>
      </c>
      <c r="C100" s="29" t="e">
        <f>_xlfn.XLOOKUP(TABELA_GERAL[[#This Row],[DESCRIÇÃO]],'TABELA MÃE'!D:D,'TABELA MÃE'!B:B)</f>
        <v>#VALUE!</v>
      </c>
      <c r="D100" s="29" t="e">
        <f t="shared" si="11"/>
        <v>#VALUE!</v>
      </c>
      <c r="E100" s="63" t="e">
        <f>TABELA_GERAL[[#This Row],[VALOR TOTAL R$]]</f>
        <v>#VALUE!</v>
      </c>
      <c r="F100" s="63" t="e">
        <f t="shared" si="12"/>
        <v>#VALUE!</v>
      </c>
      <c r="H100" s="58"/>
      <c r="I100" s="29" t="str">
        <f t="shared" si="13"/>
        <v/>
      </c>
      <c r="J100" s="29" t="str">
        <f t="shared" si="14"/>
        <v/>
      </c>
      <c r="K100" s="63" t="str">
        <f t="shared" si="15"/>
        <v/>
      </c>
      <c r="L100" s="64" t="str">
        <f t="shared" si="16"/>
        <v/>
      </c>
    </row>
    <row r="101" spans="2:12" x14ac:dyDescent="0.25">
      <c r="B101" s="29" t="e">
        <f>_xlfn.XLOOKUP(TABELA_GERAL[[#This Row],[DESCRIÇÃO]],'TABELA MÃE'!D:D,'TABELA MÃE'!A:A)</f>
        <v>#VALUE!</v>
      </c>
      <c r="C101" s="29" t="e">
        <f>_xlfn.XLOOKUP(TABELA_GERAL[[#This Row],[DESCRIÇÃO]],'TABELA MÃE'!D:D,'TABELA MÃE'!B:B)</f>
        <v>#VALUE!</v>
      </c>
      <c r="D101" s="29" t="e">
        <f t="shared" ref="D101:D164" si="17">CONCATENATE(B101,"-",C101)</f>
        <v>#VALUE!</v>
      </c>
      <c r="E101" s="63" t="e">
        <f>TABELA_GERAL[[#This Row],[VALOR TOTAL R$]]</f>
        <v>#VALUE!</v>
      </c>
      <c r="F101" s="63" t="e">
        <f t="shared" si="12"/>
        <v>#VALUE!</v>
      </c>
    </row>
    <row r="102" spans="2:12" x14ac:dyDescent="0.25">
      <c r="B102" s="29" t="e">
        <f>_xlfn.XLOOKUP(TABELA_GERAL[[#This Row],[DESCRIÇÃO]],'TABELA MÃE'!D:D,'TABELA MÃE'!A:A)</f>
        <v>#VALUE!</v>
      </c>
      <c r="C102" s="29" t="e">
        <f>_xlfn.XLOOKUP(TABELA_GERAL[[#This Row],[DESCRIÇÃO]],'TABELA MÃE'!D:D,'TABELA MÃE'!B:B)</f>
        <v>#VALUE!</v>
      </c>
      <c r="D102" s="29" t="e">
        <f t="shared" si="17"/>
        <v>#VALUE!</v>
      </c>
      <c r="E102" s="63" t="e">
        <f>TABELA_GERAL[[#This Row],[VALOR TOTAL R$]]</f>
        <v>#VALUE!</v>
      </c>
      <c r="F102" s="63" t="e">
        <f t="shared" si="12"/>
        <v>#VALUE!</v>
      </c>
    </row>
    <row r="103" spans="2:12" x14ac:dyDescent="0.25">
      <c r="B103" s="29" t="e">
        <f>_xlfn.XLOOKUP(TABELA_GERAL[[#This Row],[DESCRIÇÃO]],'TABELA MÃE'!D:D,'TABELA MÃE'!A:A)</f>
        <v>#VALUE!</v>
      </c>
      <c r="C103" s="29" t="e">
        <f>_xlfn.XLOOKUP(TABELA_GERAL[[#This Row],[DESCRIÇÃO]],'TABELA MÃE'!D:D,'TABELA MÃE'!B:B)</f>
        <v>#VALUE!</v>
      </c>
      <c r="D103" s="29" t="e">
        <f t="shared" si="17"/>
        <v>#VALUE!</v>
      </c>
      <c r="E103" s="63" t="e">
        <f>TABELA_GERAL[[#This Row],[VALOR TOTAL R$]]</f>
        <v>#VALUE!</v>
      </c>
      <c r="F103" s="63" t="e">
        <f t="shared" si="12"/>
        <v>#VALUE!</v>
      </c>
    </row>
    <row r="104" spans="2:12" x14ac:dyDescent="0.25">
      <c r="B104" s="29" t="e">
        <f>_xlfn.XLOOKUP(TABELA_GERAL[[#This Row],[DESCRIÇÃO]],'TABELA MÃE'!D:D,'TABELA MÃE'!A:A)</f>
        <v>#VALUE!</v>
      </c>
      <c r="C104" s="29" t="e">
        <f>_xlfn.XLOOKUP(TABELA_GERAL[[#This Row],[DESCRIÇÃO]],'TABELA MÃE'!D:D,'TABELA MÃE'!B:B)</f>
        <v>#VALUE!</v>
      </c>
      <c r="D104" s="29" t="e">
        <f t="shared" si="17"/>
        <v>#VALUE!</v>
      </c>
      <c r="E104" s="63" t="e">
        <f>TABELA_GERAL[[#This Row],[VALOR TOTAL R$]]</f>
        <v>#VALUE!</v>
      </c>
      <c r="F104" s="63" t="e">
        <f t="shared" ref="F104:F135" si="18">SUMIF($D$8:$D$200,D104,$E$8:$E$200)</f>
        <v>#VALUE!</v>
      </c>
    </row>
    <row r="105" spans="2:12" x14ac:dyDescent="0.25">
      <c r="B105" s="29" t="e">
        <f>_xlfn.XLOOKUP(TABELA_GERAL[[#This Row],[DESCRIÇÃO]],'TABELA MÃE'!D:D,'TABELA MÃE'!A:A)</f>
        <v>#VALUE!</v>
      </c>
      <c r="C105" s="29" t="e">
        <f>_xlfn.XLOOKUP(TABELA_GERAL[[#This Row],[DESCRIÇÃO]],'TABELA MÃE'!D:D,'TABELA MÃE'!B:B)</f>
        <v>#VALUE!</v>
      </c>
      <c r="D105" s="29" t="e">
        <f t="shared" si="17"/>
        <v>#VALUE!</v>
      </c>
      <c r="E105" s="63" t="e">
        <f>TABELA_GERAL[[#This Row],[VALOR TOTAL R$]]</f>
        <v>#VALUE!</v>
      </c>
      <c r="F105" s="63" t="e">
        <f t="shared" si="18"/>
        <v>#VALUE!</v>
      </c>
    </row>
    <row r="106" spans="2:12" x14ac:dyDescent="0.25">
      <c r="B106" s="29" t="e">
        <f>_xlfn.XLOOKUP(TABELA_GERAL[[#This Row],[DESCRIÇÃO]],'TABELA MÃE'!D:D,'TABELA MÃE'!A:A)</f>
        <v>#VALUE!</v>
      </c>
      <c r="C106" s="29" t="e">
        <f>_xlfn.XLOOKUP(TABELA_GERAL[[#This Row],[DESCRIÇÃO]],'TABELA MÃE'!D:D,'TABELA MÃE'!B:B)</f>
        <v>#VALUE!</v>
      </c>
      <c r="D106" s="29" t="e">
        <f t="shared" si="17"/>
        <v>#VALUE!</v>
      </c>
      <c r="E106" s="63" t="e">
        <f>TABELA_GERAL[[#This Row],[VALOR TOTAL R$]]</f>
        <v>#VALUE!</v>
      </c>
      <c r="F106" s="63" t="e">
        <f t="shared" si="18"/>
        <v>#VALUE!</v>
      </c>
    </row>
    <row r="107" spans="2:12" x14ac:dyDescent="0.25">
      <c r="B107" s="29" t="e">
        <f>_xlfn.XLOOKUP(TABELA_GERAL[[#This Row],[DESCRIÇÃO]],'TABELA MÃE'!D:D,'TABELA MÃE'!A:A)</f>
        <v>#VALUE!</v>
      </c>
      <c r="C107" s="29" t="e">
        <f>_xlfn.XLOOKUP(TABELA_GERAL[[#This Row],[DESCRIÇÃO]],'TABELA MÃE'!D:D,'TABELA MÃE'!B:B)</f>
        <v>#VALUE!</v>
      </c>
      <c r="D107" s="29" t="e">
        <f t="shared" si="17"/>
        <v>#VALUE!</v>
      </c>
      <c r="E107" s="63" t="e">
        <f>TABELA_GERAL[[#This Row],[VALOR TOTAL R$]]</f>
        <v>#VALUE!</v>
      </c>
      <c r="F107" s="63" t="e">
        <f t="shared" si="18"/>
        <v>#VALUE!</v>
      </c>
    </row>
    <row r="108" spans="2:12" x14ac:dyDescent="0.25">
      <c r="B108" s="29" t="e">
        <f>_xlfn.XLOOKUP(TABELA_GERAL[[#This Row],[DESCRIÇÃO]],'TABELA MÃE'!D:D,'TABELA MÃE'!A:A)</f>
        <v>#VALUE!</v>
      </c>
      <c r="C108" s="29" t="e">
        <f>_xlfn.XLOOKUP(TABELA_GERAL[[#This Row],[DESCRIÇÃO]],'TABELA MÃE'!D:D,'TABELA MÃE'!B:B)</f>
        <v>#VALUE!</v>
      </c>
      <c r="D108" s="29" t="e">
        <f t="shared" si="17"/>
        <v>#VALUE!</v>
      </c>
      <c r="E108" s="63" t="e">
        <f>TABELA_GERAL[[#This Row],[VALOR TOTAL R$]]</f>
        <v>#VALUE!</v>
      </c>
      <c r="F108" s="63" t="e">
        <f t="shared" si="18"/>
        <v>#VALUE!</v>
      </c>
    </row>
    <row r="109" spans="2:12" x14ac:dyDescent="0.25">
      <c r="B109" s="29" t="e">
        <f>_xlfn.XLOOKUP(TABELA_GERAL[[#This Row],[DESCRIÇÃO]],'TABELA MÃE'!D:D,'TABELA MÃE'!A:A)</f>
        <v>#VALUE!</v>
      </c>
      <c r="C109" s="29" t="e">
        <f>_xlfn.XLOOKUP(TABELA_GERAL[[#This Row],[DESCRIÇÃO]],'TABELA MÃE'!D:D,'TABELA MÃE'!B:B)</f>
        <v>#VALUE!</v>
      </c>
      <c r="D109" s="29" t="e">
        <f t="shared" si="17"/>
        <v>#VALUE!</v>
      </c>
      <c r="E109" s="63" t="e">
        <f>TABELA_GERAL[[#This Row],[VALOR TOTAL R$]]</f>
        <v>#VALUE!</v>
      </c>
      <c r="F109" s="63" t="e">
        <f t="shared" si="18"/>
        <v>#VALUE!</v>
      </c>
    </row>
    <row r="110" spans="2:12" x14ac:dyDescent="0.25">
      <c r="B110" s="29" t="e">
        <f>_xlfn.XLOOKUP(TABELA_GERAL[[#This Row],[DESCRIÇÃO]],'TABELA MÃE'!D:D,'TABELA MÃE'!A:A)</f>
        <v>#VALUE!</v>
      </c>
      <c r="C110" s="29" t="e">
        <f>_xlfn.XLOOKUP(TABELA_GERAL[[#This Row],[DESCRIÇÃO]],'TABELA MÃE'!D:D,'TABELA MÃE'!B:B)</f>
        <v>#VALUE!</v>
      </c>
      <c r="D110" s="29" t="e">
        <f t="shared" si="17"/>
        <v>#VALUE!</v>
      </c>
      <c r="E110" s="63" t="e">
        <f>TABELA_GERAL[[#This Row],[VALOR TOTAL R$]]</f>
        <v>#VALUE!</v>
      </c>
      <c r="F110" s="63" t="e">
        <f t="shared" si="18"/>
        <v>#VALUE!</v>
      </c>
    </row>
    <row r="111" spans="2:12" x14ac:dyDescent="0.25">
      <c r="B111" s="29" t="e">
        <f>_xlfn.XLOOKUP(TABELA_GERAL[[#This Row],[DESCRIÇÃO]],'TABELA MÃE'!D:D,'TABELA MÃE'!A:A)</f>
        <v>#VALUE!</v>
      </c>
      <c r="C111" s="29" t="e">
        <f>_xlfn.XLOOKUP(TABELA_GERAL[[#This Row],[DESCRIÇÃO]],'TABELA MÃE'!D:D,'TABELA MÃE'!B:B)</f>
        <v>#VALUE!</v>
      </c>
      <c r="D111" s="29" t="e">
        <f t="shared" si="17"/>
        <v>#VALUE!</v>
      </c>
      <c r="E111" s="63" t="e">
        <f>TABELA_GERAL[[#This Row],[VALOR TOTAL R$]]</f>
        <v>#VALUE!</v>
      </c>
      <c r="F111" s="63" t="e">
        <f t="shared" si="18"/>
        <v>#VALUE!</v>
      </c>
    </row>
    <row r="112" spans="2:12" x14ac:dyDescent="0.25">
      <c r="B112" s="29" t="e">
        <f>_xlfn.XLOOKUP(TABELA_GERAL[[#This Row],[DESCRIÇÃO]],'TABELA MÃE'!D:D,'TABELA MÃE'!A:A)</f>
        <v>#VALUE!</v>
      </c>
      <c r="C112" s="29" t="e">
        <f>_xlfn.XLOOKUP(TABELA_GERAL[[#This Row],[DESCRIÇÃO]],'TABELA MÃE'!D:D,'TABELA MÃE'!B:B)</f>
        <v>#VALUE!</v>
      </c>
      <c r="D112" s="29" t="e">
        <f t="shared" si="17"/>
        <v>#VALUE!</v>
      </c>
      <c r="E112" s="63" t="e">
        <f>TABELA_GERAL[[#This Row],[VALOR TOTAL R$]]</f>
        <v>#VALUE!</v>
      </c>
      <c r="F112" s="63" t="e">
        <f t="shared" si="18"/>
        <v>#VALUE!</v>
      </c>
    </row>
    <row r="113" spans="2:6" x14ac:dyDescent="0.25">
      <c r="B113" s="29" t="e">
        <f>_xlfn.XLOOKUP(TABELA_GERAL[[#This Row],[DESCRIÇÃO]],'TABELA MÃE'!D:D,'TABELA MÃE'!A:A)</f>
        <v>#VALUE!</v>
      </c>
      <c r="C113" s="29" t="e">
        <f>_xlfn.XLOOKUP(TABELA_GERAL[[#This Row],[DESCRIÇÃO]],'TABELA MÃE'!D:D,'TABELA MÃE'!B:B)</f>
        <v>#VALUE!</v>
      </c>
      <c r="D113" s="29" t="e">
        <f t="shared" si="17"/>
        <v>#VALUE!</v>
      </c>
      <c r="E113" s="63" t="e">
        <f>TABELA_GERAL[[#This Row],[VALOR TOTAL R$]]</f>
        <v>#VALUE!</v>
      </c>
      <c r="F113" s="63" t="e">
        <f t="shared" si="18"/>
        <v>#VALUE!</v>
      </c>
    </row>
    <row r="114" spans="2:6" x14ac:dyDescent="0.25">
      <c r="B114" s="29" t="e">
        <f>_xlfn.XLOOKUP(TABELA_GERAL[[#This Row],[DESCRIÇÃO]],'TABELA MÃE'!D:D,'TABELA MÃE'!A:A)</f>
        <v>#VALUE!</v>
      </c>
      <c r="C114" s="29" t="e">
        <f>_xlfn.XLOOKUP(TABELA_GERAL[[#This Row],[DESCRIÇÃO]],'TABELA MÃE'!D:D,'TABELA MÃE'!B:B)</f>
        <v>#VALUE!</v>
      </c>
      <c r="D114" s="29" t="e">
        <f t="shared" si="17"/>
        <v>#VALUE!</v>
      </c>
      <c r="E114" s="63" t="e">
        <f>TABELA_GERAL[[#This Row],[VALOR TOTAL R$]]</f>
        <v>#VALUE!</v>
      </c>
      <c r="F114" s="63" t="e">
        <f t="shared" si="18"/>
        <v>#VALUE!</v>
      </c>
    </row>
    <row r="115" spans="2:6" x14ac:dyDescent="0.25">
      <c r="B115" s="29" t="e">
        <f>_xlfn.XLOOKUP(TABELA_GERAL[[#This Row],[DESCRIÇÃO]],'TABELA MÃE'!D:D,'TABELA MÃE'!A:A)</f>
        <v>#VALUE!</v>
      </c>
      <c r="C115" s="29" t="e">
        <f>_xlfn.XLOOKUP(TABELA_GERAL[[#This Row],[DESCRIÇÃO]],'TABELA MÃE'!D:D,'TABELA MÃE'!B:B)</f>
        <v>#VALUE!</v>
      </c>
      <c r="D115" s="29" t="e">
        <f t="shared" si="17"/>
        <v>#VALUE!</v>
      </c>
      <c r="E115" s="63" t="e">
        <f>TABELA_GERAL[[#This Row],[VALOR TOTAL R$]]</f>
        <v>#VALUE!</v>
      </c>
      <c r="F115" s="63" t="e">
        <f t="shared" si="18"/>
        <v>#VALUE!</v>
      </c>
    </row>
    <row r="116" spans="2:6" x14ac:dyDescent="0.25">
      <c r="B116" s="29" t="e">
        <f>_xlfn.XLOOKUP(TABELA_GERAL[[#This Row],[DESCRIÇÃO]],'TABELA MÃE'!D:D,'TABELA MÃE'!A:A)</f>
        <v>#VALUE!</v>
      </c>
      <c r="C116" s="29" t="e">
        <f>_xlfn.XLOOKUP(TABELA_GERAL[[#This Row],[DESCRIÇÃO]],'TABELA MÃE'!D:D,'TABELA MÃE'!B:B)</f>
        <v>#VALUE!</v>
      </c>
      <c r="D116" s="29" t="e">
        <f t="shared" si="17"/>
        <v>#VALUE!</v>
      </c>
      <c r="E116" s="63" t="e">
        <f>TABELA_GERAL[[#This Row],[VALOR TOTAL R$]]</f>
        <v>#VALUE!</v>
      </c>
      <c r="F116" s="63" t="e">
        <f t="shared" si="18"/>
        <v>#VALUE!</v>
      </c>
    </row>
    <row r="117" spans="2:6" x14ac:dyDescent="0.25">
      <c r="B117" s="29" t="e">
        <f>_xlfn.XLOOKUP(TABELA_GERAL[[#This Row],[DESCRIÇÃO]],'TABELA MÃE'!D:D,'TABELA MÃE'!A:A)</f>
        <v>#VALUE!</v>
      </c>
      <c r="C117" s="29" t="e">
        <f>_xlfn.XLOOKUP(TABELA_GERAL[[#This Row],[DESCRIÇÃO]],'TABELA MÃE'!D:D,'TABELA MÃE'!B:B)</f>
        <v>#VALUE!</v>
      </c>
      <c r="D117" s="29" t="e">
        <f t="shared" si="17"/>
        <v>#VALUE!</v>
      </c>
      <c r="E117" s="63" t="e">
        <f>TABELA_GERAL[[#This Row],[VALOR TOTAL R$]]</f>
        <v>#VALUE!</v>
      </c>
      <c r="F117" s="63" t="e">
        <f t="shared" si="18"/>
        <v>#VALUE!</v>
      </c>
    </row>
    <row r="118" spans="2:6" x14ac:dyDescent="0.25">
      <c r="B118" s="29" t="e">
        <f>_xlfn.XLOOKUP(TABELA_GERAL[[#This Row],[DESCRIÇÃO]],'TABELA MÃE'!D:D,'TABELA MÃE'!A:A)</f>
        <v>#VALUE!</v>
      </c>
      <c r="C118" s="29" t="e">
        <f>_xlfn.XLOOKUP(TABELA_GERAL[[#This Row],[DESCRIÇÃO]],'TABELA MÃE'!D:D,'TABELA MÃE'!B:B)</f>
        <v>#VALUE!</v>
      </c>
      <c r="D118" s="29" t="e">
        <f t="shared" si="17"/>
        <v>#VALUE!</v>
      </c>
      <c r="E118" s="63" t="e">
        <f>TABELA_GERAL[[#This Row],[VALOR TOTAL R$]]</f>
        <v>#VALUE!</v>
      </c>
      <c r="F118" s="63" t="e">
        <f t="shared" si="18"/>
        <v>#VALUE!</v>
      </c>
    </row>
    <row r="119" spans="2:6" x14ac:dyDescent="0.25">
      <c r="B119" s="29" t="e">
        <f>_xlfn.XLOOKUP(TABELA_GERAL[[#This Row],[DESCRIÇÃO]],'TABELA MÃE'!D:D,'TABELA MÃE'!A:A)</f>
        <v>#VALUE!</v>
      </c>
      <c r="C119" s="29" t="e">
        <f>_xlfn.XLOOKUP(TABELA_GERAL[[#This Row],[DESCRIÇÃO]],'TABELA MÃE'!D:D,'TABELA MÃE'!B:B)</f>
        <v>#VALUE!</v>
      </c>
      <c r="D119" s="29" t="e">
        <f t="shared" si="17"/>
        <v>#VALUE!</v>
      </c>
      <c r="E119" s="63" t="e">
        <f>TABELA_GERAL[[#This Row],[VALOR TOTAL R$]]</f>
        <v>#VALUE!</v>
      </c>
      <c r="F119" s="63" t="e">
        <f t="shared" si="18"/>
        <v>#VALUE!</v>
      </c>
    </row>
    <row r="120" spans="2:6" x14ac:dyDescent="0.25">
      <c r="B120" s="29" t="e">
        <f>_xlfn.XLOOKUP(TABELA_GERAL[[#This Row],[DESCRIÇÃO]],'TABELA MÃE'!D:D,'TABELA MÃE'!A:A)</f>
        <v>#VALUE!</v>
      </c>
      <c r="C120" s="29" t="e">
        <f>_xlfn.XLOOKUP(TABELA_GERAL[[#This Row],[DESCRIÇÃO]],'TABELA MÃE'!D:D,'TABELA MÃE'!B:B)</f>
        <v>#VALUE!</v>
      </c>
      <c r="D120" s="29" t="e">
        <f t="shared" si="17"/>
        <v>#VALUE!</v>
      </c>
      <c r="E120" s="63" t="e">
        <f>TABELA_GERAL[[#This Row],[VALOR TOTAL R$]]</f>
        <v>#VALUE!</v>
      </c>
      <c r="F120" s="63" t="e">
        <f t="shared" si="18"/>
        <v>#VALUE!</v>
      </c>
    </row>
    <row r="121" spans="2:6" x14ac:dyDescent="0.25">
      <c r="B121" s="29" t="e">
        <f>_xlfn.XLOOKUP(TABELA_GERAL[[#This Row],[DESCRIÇÃO]],'TABELA MÃE'!D:D,'TABELA MÃE'!A:A)</f>
        <v>#VALUE!</v>
      </c>
      <c r="C121" s="29" t="e">
        <f>_xlfn.XLOOKUP(TABELA_GERAL[[#This Row],[DESCRIÇÃO]],'TABELA MÃE'!D:D,'TABELA MÃE'!B:B)</f>
        <v>#VALUE!</v>
      </c>
      <c r="D121" s="29" t="e">
        <f t="shared" si="17"/>
        <v>#VALUE!</v>
      </c>
      <c r="E121" s="63" t="e">
        <f>TABELA_GERAL[[#This Row],[VALOR TOTAL R$]]</f>
        <v>#VALUE!</v>
      </c>
      <c r="F121" s="63" t="e">
        <f t="shared" si="18"/>
        <v>#VALUE!</v>
      </c>
    </row>
    <row r="122" spans="2:6" x14ac:dyDescent="0.25">
      <c r="B122" s="29" t="e">
        <f>_xlfn.XLOOKUP(TABELA_GERAL[[#This Row],[DESCRIÇÃO]],'TABELA MÃE'!D:D,'TABELA MÃE'!A:A)</f>
        <v>#VALUE!</v>
      </c>
      <c r="C122" s="29" t="e">
        <f>_xlfn.XLOOKUP(TABELA_GERAL[[#This Row],[DESCRIÇÃO]],'TABELA MÃE'!D:D,'TABELA MÃE'!B:B)</f>
        <v>#VALUE!</v>
      </c>
      <c r="D122" s="29" t="e">
        <f t="shared" si="17"/>
        <v>#VALUE!</v>
      </c>
      <c r="E122" s="63" t="e">
        <f>TABELA_GERAL[[#This Row],[VALOR TOTAL R$]]</f>
        <v>#VALUE!</v>
      </c>
      <c r="F122" s="63" t="e">
        <f t="shared" si="18"/>
        <v>#VALUE!</v>
      </c>
    </row>
    <row r="123" spans="2:6" x14ac:dyDescent="0.25">
      <c r="B123" s="29" t="e">
        <f>_xlfn.XLOOKUP(TABELA_GERAL[[#This Row],[DESCRIÇÃO]],'TABELA MÃE'!D:D,'TABELA MÃE'!A:A)</f>
        <v>#VALUE!</v>
      </c>
      <c r="C123" s="29" t="e">
        <f>_xlfn.XLOOKUP(TABELA_GERAL[[#This Row],[DESCRIÇÃO]],'TABELA MÃE'!D:D,'TABELA MÃE'!B:B)</f>
        <v>#VALUE!</v>
      </c>
      <c r="D123" s="29" t="e">
        <f t="shared" si="17"/>
        <v>#VALUE!</v>
      </c>
      <c r="E123" s="63" t="e">
        <f>TABELA_GERAL[[#This Row],[VALOR TOTAL R$]]</f>
        <v>#VALUE!</v>
      </c>
      <c r="F123" s="63" t="e">
        <f t="shared" si="18"/>
        <v>#VALUE!</v>
      </c>
    </row>
    <row r="124" spans="2:6" x14ac:dyDescent="0.25">
      <c r="B124" s="29" t="e">
        <f>_xlfn.XLOOKUP(TABELA_GERAL[[#This Row],[DESCRIÇÃO]],'TABELA MÃE'!D:D,'TABELA MÃE'!A:A)</f>
        <v>#VALUE!</v>
      </c>
      <c r="C124" s="29" t="e">
        <f>_xlfn.XLOOKUP(TABELA_GERAL[[#This Row],[DESCRIÇÃO]],'TABELA MÃE'!D:D,'TABELA MÃE'!B:B)</f>
        <v>#VALUE!</v>
      </c>
      <c r="D124" s="29" t="e">
        <f t="shared" si="17"/>
        <v>#VALUE!</v>
      </c>
      <c r="E124" s="63" t="e">
        <f>TABELA_GERAL[[#This Row],[VALOR TOTAL R$]]</f>
        <v>#VALUE!</v>
      </c>
      <c r="F124" s="63" t="e">
        <f t="shared" si="18"/>
        <v>#VALUE!</v>
      </c>
    </row>
    <row r="125" spans="2:6" x14ac:dyDescent="0.25">
      <c r="B125" s="29" t="e">
        <f>_xlfn.XLOOKUP(TABELA_GERAL[[#This Row],[DESCRIÇÃO]],'TABELA MÃE'!D:D,'TABELA MÃE'!A:A)</f>
        <v>#VALUE!</v>
      </c>
      <c r="C125" s="29" t="e">
        <f>_xlfn.XLOOKUP(TABELA_GERAL[[#This Row],[DESCRIÇÃO]],'TABELA MÃE'!D:D,'TABELA MÃE'!B:B)</f>
        <v>#VALUE!</v>
      </c>
      <c r="D125" s="29" t="e">
        <f t="shared" si="17"/>
        <v>#VALUE!</v>
      </c>
      <c r="E125" s="63" t="e">
        <f>TABELA_GERAL[[#This Row],[VALOR TOTAL R$]]</f>
        <v>#VALUE!</v>
      </c>
      <c r="F125" s="63" t="e">
        <f t="shared" si="18"/>
        <v>#VALUE!</v>
      </c>
    </row>
    <row r="126" spans="2:6" x14ac:dyDescent="0.25">
      <c r="B126" s="29" t="e">
        <f>_xlfn.XLOOKUP(TABELA_GERAL[[#This Row],[DESCRIÇÃO]],'TABELA MÃE'!D:D,'TABELA MÃE'!A:A)</f>
        <v>#VALUE!</v>
      </c>
      <c r="C126" s="29" t="e">
        <f>_xlfn.XLOOKUP(TABELA_GERAL[[#This Row],[DESCRIÇÃO]],'TABELA MÃE'!D:D,'TABELA MÃE'!B:B)</f>
        <v>#VALUE!</v>
      </c>
      <c r="D126" s="29" t="e">
        <f t="shared" si="17"/>
        <v>#VALUE!</v>
      </c>
      <c r="E126" s="63" t="e">
        <f>TABELA_GERAL[[#This Row],[VALOR TOTAL R$]]</f>
        <v>#VALUE!</v>
      </c>
      <c r="F126" s="63" t="e">
        <f t="shared" si="18"/>
        <v>#VALUE!</v>
      </c>
    </row>
    <row r="127" spans="2:6" x14ac:dyDescent="0.25">
      <c r="B127" s="29" t="e">
        <f>_xlfn.XLOOKUP(TABELA_GERAL[[#This Row],[DESCRIÇÃO]],'TABELA MÃE'!D:D,'TABELA MÃE'!A:A)</f>
        <v>#VALUE!</v>
      </c>
      <c r="C127" s="29" t="e">
        <f>_xlfn.XLOOKUP(TABELA_GERAL[[#This Row],[DESCRIÇÃO]],'TABELA MÃE'!D:D,'TABELA MÃE'!B:B)</f>
        <v>#VALUE!</v>
      </c>
      <c r="D127" s="29" t="e">
        <f t="shared" si="17"/>
        <v>#VALUE!</v>
      </c>
      <c r="E127" s="63" t="e">
        <f>TABELA_GERAL[[#This Row],[VALOR TOTAL R$]]</f>
        <v>#VALUE!</v>
      </c>
      <c r="F127" s="63" t="e">
        <f t="shared" si="18"/>
        <v>#VALUE!</v>
      </c>
    </row>
    <row r="128" spans="2:6" x14ac:dyDescent="0.25">
      <c r="B128" s="29" t="e">
        <f>_xlfn.XLOOKUP(TABELA_GERAL[[#This Row],[DESCRIÇÃO]],'TABELA MÃE'!D:D,'TABELA MÃE'!A:A)</f>
        <v>#VALUE!</v>
      </c>
      <c r="C128" s="29" t="e">
        <f>_xlfn.XLOOKUP(TABELA_GERAL[[#This Row],[DESCRIÇÃO]],'TABELA MÃE'!D:D,'TABELA MÃE'!B:B)</f>
        <v>#VALUE!</v>
      </c>
      <c r="D128" s="29" t="e">
        <f t="shared" si="17"/>
        <v>#VALUE!</v>
      </c>
      <c r="E128" s="63" t="e">
        <f>TABELA_GERAL[[#This Row],[VALOR TOTAL R$]]</f>
        <v>#VALUE!</v>
      </c>
      <c r="F128" s="63" t="e">
        <f t="shared" si="18"/>
        <v>#VALUE!</v>
      </c>
    </row>
    <row r="129" spans="2:6" x14ac:dyDescent="0.25">
      <c r="B129" s="29" t="e">
        <f>_xlfn.XLOOKUP(TABELA_GERAL[[#This Row],[DESCRIÇÃO]],'TABELA MÃE'!D:D,'TABELA MÃE'!A:A)</f>
        <v>#VALUE!</v>
      </c>
      <c r="C129" s="29" t="e">
        <f>_xlfn.XLOOKUP(TABELA_GERAL[[#This Row],[DESCRIÇÃO]],'TABELA MÃE'!D:D,'TABELA MÃE'!B:B)</f>
        <v>#VALUE!</v>
      </c>
      <c r="D129" s="29" t="e">
        <f t="shared" si="17"/>
        <v>#VALUE!</v>
      </c>
      <c r="E129" s="63" t="e">
        <f>TABELA_GERAL[[#This Row],[VALOR TOTAL R$]]</f>
        <v>#VALUE!</v>
      </c>
      <c r="F129" s="63" t="e">
        <f t="shared" si="18"/>
        <v>#VALUE!</v>
      </c>
    </row>
    <row r="130" spans="2:6" x14ac:dyDescent="0.25">
      <c r="B130" s="29" t="e">
        <f>_xlfn.XLOOKUP(TABELA_GERAL[[#This Row],[DESCRIÇÃO]],'TABELA MÃE'!D:D,'TABELA MÃE'!A:A)</f>
        <v>#VALUE!</v>
      </c>
      <c r="C130" s="29" t="e">
        <f>_xlfn.XLOOKUP(TABELA_GERAL[[#This Row],[DESCRIÇÃO]],'TABELA MÃE'!D:D,'TABELA MÃE'!B:B)</f>
        <v>#VALUE!</v>
      </c>
      <c r="D130" s="29" t="e">
        <f t="shared" si="17"/>
        <v>#VALUE!</v>
      </c>
      <c r="E130" s="63" t="e">
        <f>TABELA_GERAL[[#This Row],[VALOR TOTAL R$]]</f>
        <v>#VALUE!</v>
      </c>
      <c r="F130" s="63" t="e">
        <f t="shared" si="18"/>
        <v>#VALUE!</v>
      </c>
    </row>
    <row r="131" spans="2:6" x14ac:dyDescent="0.25">
      <c r="B131" s="29" t="e">
        <f>_xlfn.XLOOKUP(TABELA_GERAL[[#This Row],[DESCRIÇÃO]],'TABELA MÃE'!D:D,'TABELA MÃE'!A:A)</f>
        <v>#VALUE!</v>
      </c>
      <c r="C131" s="29" t="e">
        <f>_xlfn.XLOOKUP(TABELA_GERAL[[#This Row],[DESCRIÇÃO]],'TABELA MÃE'!D:D,'TABELA MÃE'!B:B)</f>
        <v>#VALUE!</v>
      </c>
      <c r="D131" s="29" t="e">
        <f t="shared" si="17"/>
        <v>#VALUE!</v>
      </c>
      <c r="E131" s="63" t="e">
        <f>TABELA_GERAL[[#This Row],[VALOR TOTAL R$]]</f>
        <v>#VALUE!</v>
      </c>
      <c r="F131" s="63" t="e">
        <f t="shared" si="18"/>
        <v>#VALUE!</v>
      </c>
    </row>
    <row r="132" spans="2:6" x14ac:dyDescent="0.25">
      <c r="B132" s="29" t="e">
        <f>_xlfn.XLOOKUP(TABELA_GERAL[[#This Row],[DESCRIÇÃO]],'TABELA MÃE'!D:D,'TABELA MÃE'!A:A)</f>
        <v>#VALUE!</v>
      </c>
      <c r="C132" s="29" t="e">
        <f>_xlfn.XLOOKUP(TABELA_GERAL[[#This Row],[DESCRIÇÃO]],'TABELA MÃE'!D:D,'TABELA MÃE'!B:B)</f>
        <v>#VALUE!</v>
      </c>
      <c r="D132" s="29" t="e">
        <f t="shared" si="17"/>
        <v>#VALUE!</v>
      </c>
      <c r="E132" s="63" t="e">
        <f>TABELA_GERAL[[#This Row],[VALOR TOTAL R$]]</f>
        <v>#VALUE!</v>
      </c>
      <c r="F132" s="63" t="e">
        <f t="shared" si="18"/>
        <v>#VALUE!</v>
      </c>
    </row>
    <row r="133" spans="2:6" x14ac:dyDescent="0.25">
      <c r="B133" s="29" t="e">
        <f>_xlfn.XLOOKUP(TABELA_GERAL[[#This Row],[DESCRIÇÃO]],'TABELA MÃE'!D:D,'TABELA MÃE'!A:A)</f>
        <v>#VALUE!</v>
      </c>
      <c r="C133" s="29" t="e">
        <f>_xlfn.XLOOKUP(TABELA_GERAL[[#This Row],[DESCRIÇÃO]],'TABELA MÃE'!D:D,'TABELA MÃE'!B:B)</f>
        <v>#VALUE!</v>
      </c>
      <c r="D133" s="29" t="e">
        <f t="shared" si="17"/>
        <v>#VALUE!</v>
      </c>
      <c r="E133" s="63" t="e">
        <f>TABELA_GERAL[[#This Row],[VALOR TOTAL R$]]</f>
        <v>#VALUE!</v>
      </c>
      <c r="F133" s="63" t="e">
        <f t="shared" si="18"/>
        <v>#VALUE!</v>
      </c>
    </row>
    <row r="134" spans="2:6" x14ac:dyDescent="0.25">
      <c r="B134" s="29" t="e">
        <f>_xlfn.XLOOKUP(TABELA_GERAL[[#This Row],[DESCRIÇÃO]],'TABELA MÃE'!D:D,'TABELA MÃE'!A:A)</f>
        <v>#VALUE!</v>
      </c>
      <c r="C134" s="29" t="e">
        <f>_xlfn.XLOOKUP(TABELA_GERAL[[#This Row],[DESCRIÇÃO]],'TABELA MÃE'!D:D,'TABELA MÃE'!B:B)</f>
        <v>#VALUE!</v>
      </c>
      <c r="D134" s="29" t="e">
        <f t="shared" si="17"/>
        <v>#VALUE!</v>
      </c>
      <c r="E134" s="63" t="e">
        <f>TABELA_GERAL[[#This Row],[VALOR TOTAL R$]]</f>
        <v>#VALUE!</v>
      </c>
      <c r="F134" s="63" t="e">
        <f t="shared" si="18"/>
        <v>#VALUE!</v>
      </c>
    </row>
    <row r="135" spans="2:6" x14ac:dyDescent="0.25">
      <c r="B135" s="29" t="e">
        <f>_xlfn.XLOOKUP(TABELA_GERAL[[#This Row],[DESCRIÇÃO]],'TABELA MÃE'!D:D,'TABELA MÃE'!A:A)</f>
        <v>#VALUE!</v>
      </c>
      <c r="C135" s="29" t="e">
        <f>_xlfn.XLOOKUP(TABELA_GERAL[[#This Row],[DESCRIÇÃO]],'TABELA MÃE'!D:D,'TABELA MÃE'!B:B)</f>
        <v>#VALUE!</v>
      </c>
      <c r="D135" s="29" t="e">
        <f t="shared" si="17"/>
        <v>#VALUE!</v>
      </c>
      <c r="E135" s="63" t="e">
        <f>TABELA_GERAL[[#This Row],[VALOR TOTAL R$]]</f>
        <v>#VALUE!</v>
      </c>
      <c r="F135" s="63" t="e">
        <f t="shared" si="18"/>
        <v>#VALUE!</v>
      </c>
    </row>
    <row r="136" spans="2:6" x14ac:dyDescent="0.25">
      <c r="B136" s="29" t="e">
        <f>_xlfn.XLOOKUP(TABELA_GERAL[[#This Row],[DESCRIÇÃO]],'TABELA MÃE'!D:D,'TABELA MÃE'!A:A)</f>
        <v>#VALUE!</v>
      </c>
      <c r="C136" s="29" t="e">
        <f>_xlfn.XLOOKUP(TABELA_GERAL[[#This Row],[DESCRIÇÃO]],'TABELA MÃE'!D:D,'TABELA MÃE'!B:B)</f>
        <v>#VALUE!</v>
      </c>
      <c r="D136" s="29" t="e">
        <f t="shared" si="17"/>
        <v>#VALUE!</v>
      </c>
      <c r="E136" s="63" t="e">
        <f>TABELA_GERAL[[#This Row],[VALOR TOTAL R$]]</f>
        <v>#VALUE!</v>
      </c>
      <c r="F136" s="63" t="e">
        <f t="shared" ref="F136:F167" si="19">SUMIF($D$8:$D$200,D136,$E$8:$E$200)</f>
        <v>#VALUE!</v>
      </c>
    </row>
    <row r="137" spans="2:6" x14ac:dyDescent="0.25">
      <c r="B137" s="29" t="e">
        <f>_xlfn.XLOOKUP(TABELA_GERAL[[#This Row],[DESCRIÇÃO]],'TABELA MÃE'!D:D,'TABELA MÃE'!A:A)</f>
        <v>#VALUE!</v>
      </c>
      <c r="C137" s="29" t="e">
        <f>_xlfn.XLOOKUP(TABELA_GERAL[[#This Row],[DESCRIÇÃO]],'TABELA MÃE'!D:D,'TABELA MÃE'!B:B)</f>
        <v>#VALUE!</v>
      </c>
      <c r="D137" s="29" t="e">
        <f t="shared" si="17"/>
        <v>#VALUE!</v>
      </c>
      <c r="E137" s="63" t="e">
        <f>TABELA_GERAL[[#This Row],[VALOR TOTAL R$]]</f>
        <v>#VALUE!</v>
      </c>
      <c r="F137" s="63" t="e">
        <f t="shared" si="19"/>
        <v>#VALUE!</v>
      </c>
    </row>
    <row r="138" spans="2:6" x14ac:dyDescent="0.25">
      <c r="B138" s="29" t="e">
        <f>_xlfn.XLOOKUP(TABELA_GERAL[[#This Row],[DESCRIÇÃO]],'TABELA MÃE'!D:D,'TABELA MÃE'!A:A)</f>
        <v>#VALUE!</v>
      </c>
      <c r="C138" s="29" t="e">
        <f>_xlfn.XLOOKUP(TABELA_GERAL[[#This Row],[DESCRIÇÃO]],'TABELA MÃE'!D:D,'TABELA MÃE'!B:B)</f>
        <v>#VALUE!</v>
      </c>
      <c r="D138" s="29" t="e">
        <f t="shared" si="17"/>
        <v>#VALUE!</v>
      </c>
      <c r="E138" s="63" t="e">
        <f>TABELA_GERAL[[#This Row],[VALOR TOTAL R$]]</f>
        <v>#VALUE!</v>
      </c>
      <c r="F138" s="63" t="e">
        <f t="shared" si="19"/>
        <v>#VALUE!</v>
      </c>
    </row>
    <row r="139" spans="2:6" x14ac:dyDescent="0.25">
      <c r="B139" s="29" t="e">
        <f>_xlfn.XLOOKUP(TABELA_GERAL[[#This Row],[DESCRIÇÃO]],'TABELA MÃE'!D:D,'TABELA MÃE'!A:A)</f>
        <v>#VALUE!</v>
      </c>
      <c r="C139" s="29" t="e">
        <f>_xlfn.XLOOKUP(TABELA_GERAL[[#This Row],[DESCRIÇÃO]],'TABELA MÃE'!D:D,'TABELA MÃE'!B:B)</f>
        <v>#VALUE!</v>
      </c>
      <c r="D139" s="29" t="e">
        <f t="shared" si="17"/>
        <v>#VALUE!</v>
      </c>
      <c r="E139" s="63" t="e">
        <f>TABELA_GERAL[[#This Row],[VALOR TOTAL R$]]</f>
        <v>#VALUE!</v>
      </c>
      <c r="F139" s="63" t="e">
        <f t="shared" si="19"/>
        <v>#VALUE!</v>
      </c>
    </row>
    <row r="140" spans="2:6" x14ac:dyDescent="0.25">
      <c r="B140" s="29" t="e">
        <f>_xlfn.XLOOKUP(TABELA_GERAL[[#This Row],[DESCRIÇÃO]],'TABELA MÃE'!D:D,'TABELA MÃE'!A:A)</f>
        <v>#VALUE!</v>
      </c>
      <c r="C140" s="29" t="e">
        <f>_xlfn.XLOOKUP(TABELA_GERAL[[#This Row],[DESCRIÇÃO]],'TABELA MÃE'!D:D,'TABELA MÃE'!B:B)</f>
        <v>#VALUE!</v>
      </c>
      <c r="D140" s="29" t="e">
        <f t="shared" si="17"/>
        <v>#VALUE!</v>
      </c>
      <c r="E140" s="63" t="e">
        <f>TABELA_GERAL[[#This Row],[VALOR TOTAL R$]]</f>
        <v>#VALUE!</v>
      </c>
      <c r="F140" s="63" t="e">
        <f t="shared" si="19"/>
        <v>#VALUE!</v>
      </c>
    </row>
    <row r="141" spans="2:6" x14ac:dyDescent="0.25">
      <c r="B141" s="29" t="e">
        <f>_xlfn.XLOOKUP(TABELA_GERAL[[#This Row],[DESCRIÇÃO]],'TABELA MÃE'!D:D,'TABELA MÃE'!A:A)</f>
        <v>#VALUE!</v>
      </c>
      <c r="C141" s="29" t="e">
        <f>_xlfn.XLOOKUP(TABELA_GERAL[[#This Row],[DESCRIÇÃO]],'TABELA MÃE'!D:D,'TABELA MÃE'!B:B)</f>
        <v>#VALUE!</v>
      </c>
      <c r="D141" s="29" t="e">
        <f t="shared" si="17"/>
        <v>#VALUE!</v>
      </c>
      <c r="E141" s="63" t="e">
        <f>TABELA_GERAL[[#This Row],[VALOR TOTAL R$]]</f>
        <v>#VALUE!</v>
      </c>
      <c r="F141" s="63" t="e">
        <f t="shared" si="19"/>
        <v>#VALUE!</v>
      </c>
    </row>
    <row r="142" spans="2:6" x14ac:dyDescent="0.25">
      <c r="B142" s="29" t="e">
        <f>_xlfn.XLOOKUP(TABELA_GERAL[[#This Row],[DESCRIÇÃO]],'TABELA MÃE'!D:D,'TABELA MÃE'!A:A)</f>
        <v>#VALUE!</v>
      </c>
      <c r="C142" s="29" t="e">
        <f>_xlfn.XLOOKUP(TABELA_GERAL[[#This Row],[DESCRIÇÃO]],'TABELA MÃE'!D:D,'TABELA MÃE'!B:B)</f>
        <v>#VALUE!</v>
      </c>
      <c r="D142" s="29" t="e">
        <f t="shared" si="17"/>
        <v>#VALUE!</v>
      </c>
      <c r="E142" s="63" t="e">
        <f>TABELA_GERAL[[#This Row],[VALOR TOTAL R$]]</f>
        <v>#VALUE!</v>
      </c>
      <c r="F142" s="63" t="e">
        <f t="shared" si="19"/>
        <v>#VALUE!</v>
      </c>
    </row>
    <row r="143" spans="2:6" x14ac:dyDescent="0.25">
      <c r="B143" s="29" t="e">
        <f>_xlfn.XLOOKUP(TABELA_GERAL[[#This Row],[DESCRIÇÃO]],'TABELA MÃE'!D:D,'TABELA MÃE'!A:A)</f>
        <v>#VALUE!</v>
      </c>
      <c r="C143" s="29" t="e">
        <f>_xlfn.XLOOKUP(TABELA_GERAL[[#This Row],[DESCRIÇÃO]],'TABELA MÃE'!D:D,'TABELA MÃE'!B:B)</f>
        <v>#VALUE!</v>
      </c>
      <c r="D143" s="29" t="e">
        <f t="shared" si="17"/>
        <v>#VALUE!</v>
      </c>
      <c r="E143" s="63" t="e">
        <f>TABELA_GERAL[[#This Row],[VALOR TOTAL R$]]</f>
        <v>#VALUE!</v>
      </c>
      <c r="F143" s="63" t="e">
        <f t="shared" si="19"/>
        <v>#VALUE!</v>
      </c>
    </row>
    <row r="144" spans="2:6" x14ac:dyDescent="0.25">
      <c r="B144" s="29" t="e">
        <f>_xlfn.XLOOKUP(TABELA_GERAL[[#This Row],[DESCRIÇÃO]],'TABELA MÃE'!D:D,'TABELA MÃE'!A:A)</f>
        <v>#VALUE!</v>
      </c>
      <c r="C144" s="29" t="e">
        <f>_xlfn.XLOOKUP(TABELA_GERAL[[#This Row],[DESCRIÇÃO]],'TABELA MÃE'!D:D,'TABELA MÃE'!B:B)</f>
        <v>#VALUE!</v>
      </c>
      <c r="D144" s="29" t="e">
        <f t="shared" si="17"/>
        <v>#VALUE!</v>
      </c>
      <c r="E144" s="63" t="e">
        <f>TABELA_GERAL[[#This Row],[VALOR TOTAL R$]]</f>
        <v>#VALUE!</v>
      </c>
      <c r="F144" s="63" t="e">
        <f t="shared" si="19"/>
        <v>#VALUE!</v>
      </c>
    </row>
    <row r="145" spans="2:6" x14ac:dyDescent="0.25">
      <c r="B145" s="29" t="e">
        <f>_xlfn.XLOOKUP(TABELA_GERAL[[#This Row],[DESCRIÇÃO]],'TABELA MÃE'!D:D,'TABELA MÃE'!A:A)</f>
        <v>#VALUE!</v>
      </c>
      <c r="C145" s="29" t="e">
        <f>_xlfn.XLOOKUP(TABELA_GERAL[[#This Row],[DESCRIÇÃO]],'TABELA MÃE'!D:D,'TABELA MÃE'!B:B)</f>
        <v>#VALUE!</v>
      </c>
      <c r="D145" s="29" t="e">
        <f t="shared" si="17"/>
        <v>#VALUE!</v>
      </c>
      <c r="E145" s="63" t="e">
        <f>TABELA_GERAL[[#This Row],[VALOR TOTAL R$]]</f>
        <v>#VALUE!</v>
      </c>
      <c r="F145" s="63" t="e">
        <f t="shared" si="19"/>
        <v>#VALUE!</v>
      </c>
    </row>
    <row r="146" spans="2:6" x14ac:dyDescent="0.25">
      <c r="B146" s="29" t="e">
        <f>_xlfn.XLOOKUP(TABELA_GERAL[[#This Row],[DESCRIÇÃO]],'TABELA MÃE'!D:D,'TABELA MÃE'!A:A)</f>
        <v>#VALUE!</v>
      </c>
      <c r="C146" s="29" t="e">
        <f>_xlfn.XLOOKUP(TABELA_GERAL[[#This Row],[DESCRIÇÃO]],'TABELA MÃE'!D:D,'TABELA MÃE'!B:B)</f>
        <v>#VALUE!</v>
      </c>
      <c r="D146" s="29" t="e">
        <f t="shared" si="17"/>
        <v>#VALUE!</v>
      </c>
      <c r="E146" s="63" t="e">
        <f>TABELA_GERAL[[#This Row],[VALOR TOTAL R$]]</f>
        <v>#VALUE!</v>
      </c>
      <c r="F146" s="63" t="e">
        <f t="shared" si="19"/>
        <v>#VALUE!</v>
      </c>
    </row>
    <row r="147" spans="2:6" x14ac:dyDescent="0.25">
      <c r="B147" s="29" t="e">
        <f>_xlfn.XLOOKUP(TABELA_GERAL[[#This Row],[DESCRIÇÃO]],'TABELA MÃE'!D:D,'TABELA MÃE'!A:A)</f>
        <v>#VALUE!</v>
      </c>
      <c r="C147" s="29" t="e">
        <f>_xlfn.XLOOKUP(TABELA_GERAL[[#This Row],[DESCRIÇÃO]],'TABELA MÃE'!D:D,'TABELA MÃE'!B:B)</f>
        <v>#VALUE!</v>
      </c>
      <c r="D147" s="29" t="e">
        <f t="shared" si="17"/>
        <v>#VALUE!</v>
      </c>
      <c r="E147" s="63" t="e">
        <f>TABELA_GERAL[[#This Row],[VALOR TOTAL R$]]</f>
        <v>#VALUE!</v>
      </c>
      <c r="F147" s="63" t="e">
        <f t="shared" si="19"/>
        <v>#VALUE!</v>
      </c>
    </row>
    <row r="148" spans="2:6" x14ac:dyDescent="0.25">
      <c r="B148" s="29" t="e">
        <f>_xlfn.XLOOKUP(TABELA_GERAL[[#This Row],[DESCRIÇÃO]],'TABELA MÃE'!D:D,'TABELA MÃE'!A:A)</f>
        <v>#VALUE!</v>
      </c>
      <c r="C148" s="29" t="e">
        <f>_xlfn.XLOOKUP(TABELA_GERAL[[#This Row],[DESCRIÇÃO]],'TABELA MÃE'!D:D,'TABELA MÃE'!B:B)</f>
        <v>#VALUE!</v>
      </c>
      <c r="D148" s="29" t="e">
        <f t="shared" si="17"/>
        <v>#VALUE!</v>
      </c>
      <c r="E148" s="63" t="e">
        <f>TABELA_GERAL[[#This Row],[VALOR TOTAL R$]]</f>
        <v>#VALUE!</v>
      </c>
      <c r="F148" s="63" t="e">
        <f t="shared" si="19"/>
        <v>#VALUE!</v>
      </c>
    </row>
    <row r="149" spans="2:6" x14ac:dyDescent="0.25">
      <c r="B149" s="29" t="e">
        <f>_xlfn.XLOOKUP(TABELA_GERAL[[#This Row],[DESCRIÇÃO]],'TABELA MÃE'!D:D,'TABELA MÃE'!A:A)</f>
        <v>#VALUE!</v>
      </c>
      <c r="C149" s="29" t="e">
        <f>_xlfn.XLOOKUP(TABELA_GERAL[[#This Row],[DESCRIÇÃO]],'TABELA MÃE'!D:D,'TABELA MÃE'!B:B)</f>
        <v>#VALUE!</v>
      </c>
      <c r="D149" s="29" t="e">
        <f t="shared" si="17"/>
        <v>#VALUE!</v>
      </c>
      <c r="E149" s="63" t="e">
        <f>TABELA_GERAL[[#This Row],[VALOR TOTAL R$]]</f>
        <v>#VALUE!</v>
      </c>
      <c r="F149" s="63" t="e">
        <f t="shared" si="19"/>
        <v>#VALUE!</v>
      </c>
    </row>
    <row r="150" spans="2:6" x14ac:dyDescent="0.25">
      <c r="B150" s="29" t="e">
        <f>_xlfn.XLOOKUP(TABELA_GERAL[[#This Row],[DESCRIÇÃO]],'TABELA MÃE'!D:D,'TABELA MÃE'!A:A)</f>
        <v>#VALUE!</v>
      </c>
      <c r="C150" s="29" t="e">
        <f>_xlfn.XLOOKUP(TABELA_GERAL[[#This Row],[DESCRIÇÃO]],'TABELA MÃE'!D:D,'TABELA MÃE'!B:B)</f>
        <v>#VALUE!</v>
      </c>
      <c r="D150" s="29" t="e">
        <f t="shared" si="17"/>
        <v>#VALUE!</v>
      </c>
      <c r="E150" s="63" t="e">
        <f>TABELA_GERAL[[#This Row],[VALOR TOTAL R$]]</f>
        <v>#VALUE!</v>
      </c>
      <c r="F150" s="63" t="e">
        <f t="shared" si="19"/>
        <v>#VALUE!</v>
      </c>
    </row>
    <row r="151" spans="2:6" x14ac:dyDescent="0.25">
      <c r="B151" s="29" t="e">
        <f>_xlfn.XLOOKUP(TABELA_GERAL[[#This Row],[DESCRIÇÃO]],'TABELA MÃE'!D:D,'TABELA MÃE'!A:A)</f>
        <v>#VALUE!</v>
      </c>
      <c r="C151" s="29" t="e">
        <f>_xlfn.XLOOKUP(TABELA_GERAL[[#This Row],[DESCRIÇÃO]],'TABELA MÃE'!D:D,'TABELA MÃE'!B:B)</f>
        <v>#VALUE!</v>
      </c>
      <c r="D151" s="29" t="e">
        <f t="shared" si="17"/>
        <v>#VALUE!</v>
      </c>
      <c r="E151" s="63" t="e">
        <f>TABELA_GERAL[[#This Row],[VALOR TOTAL R$]]</f>
        <v>#VALUE!</v>
      </c>
      <c r="F151" s="63" t="e">
        <f t="shared" si="19"/>
        <v>#VALUE!</v>
      </c>
    </row>
    <row r="152" spans="2:6" x14ac:dyDescent="0.25">
      <c r="B152" s="29" t="e">
        <f>_xlfn.XLOOKUP(TABELA_GERAL[[#This Row],[DESCRIÇÃO]],'TABELA MÃE'!D:D,'TABELA MÃE'!A:A)</f>
        <v>#VALUE!</v>
      </c>
      <c r="C152" s="29" t="e">
        <f>_xlfn.XLOOKUP(TABELA_GERAL[[#This Row],[DESCRIÇÃO]],'TABELA MÃE'!D:D,'TABELA MÃE'!B:B)</f>
        <v>#VALUE!</v>
      </c>
      <c r="D152" s="29" t="e">
        <f t="shared" si="17"/>
        <v>#VALUE!</v>
      </c>
      <c r="E152" s="63" t="e">
        <f>TABELA_GERAL[[#This Row],[VALOR TOTAL R$]]</f>
        <v>#VALUE!</v>
      </c>
      <c r="F152" s="63" t="e">
        <f t="shared" si="19"/>
        <v>#VALUE!</v>
      </c>
    </row>
    <row r="153" spans="2:6" x14ac:dyDescent="0.25">
      <c r="B153" s="29" t="e">
        <f>_xlfn.XLOOKUP(TABELA_GERAL[[#This Row],[DESCRIÇÃO]],'TABELA MÃE'!D:D,'TABELA MÃE'!A:A)</f>
        <v>#VALUE!</v>
      </c>
      <c r="C153" s="29" t="e">
        <f>_xlfn.XLOOKUP(TABELA_GERAL[[#This Row],[DESCRIÇÃO]],'TABELA MÃE'!D:D,'TABELA MÃE'!B:B)</f>
        <v>#VALUE!</v>
      </c>
      <c r="D153" s="29" t="e">
        <f t="shared" si="17"/>
        <v>#VALUE!</v>
      </c>
      <c r="E153" s="63" t="e">
        <f>TABELA_GERAL[[#This Row],[VALOR TOTAL R$]]</f>
        <v>#VALUE!</v>
      </c>
      <c r="F153" s="63" t="e">
        <f t="shared" si="19"/>
        <v>#VALUE!</v>
      </c>
    </row>
    <row r="154" spans="2:6" x14ac:dyDescent="0.25">
      <c r="B154" s="29" t="e">
        <f>_xlfn.XLOOKUP(TABELA_GERAL[[#This Row],[DESCRIÇÃO]],'TABELA MÃE'!D:D,'TABELA MÃE'!A:A)</f>
        <v>#VALUE!</v>
      </c>
      <c r="C154" s="29" t="e">
        <f>_xlfn.XLOOKUP(TABELA_GERAL[[#This Row],[DESCRIÇÃO]],'TABELA MÃE'!D:D,'TABELA MÃE'!B:B)</f>
        <v>#VALUE!</v>
      </c>
      <c r="D154" s="29" t="e">
        <f t="shared" si="17"/>
        <v>#VALUE!</v>
      </c>
      <c r="E154" s="63" t="e">
        <f>TABELA_GERAL[[#This Row],[VALOR TOTAL R$]]</f>
        <v>#VALUE!</v>
      </c>
      <c r="F154" s="63" t="e">
        <f t="shared" si="19"/>
        <v>#VALUE!</v>
      </c>
    </row>
    <row r="155" spans="2:6" x14ac:dyDescent="0.25">
      <c r="B155" s="29" t="e">
        <f>_xlfn.XLOOKUP(TABELA_GERAL[[#This Row],[DESCRIÇÃO]],'TABELA MÃE'!D:D,'TABELA MÃE'!A:A)</f>
        <v>#VALUE!</v>
      </c>
      <c r="C155" s="29" t="e">
        <f>_xlfn.XLOOKUP(TABELA_GERAL[[#This Row],[DESCRIÇÃO]],'TABELA MÃE'!D:D,'TABELA MÃE'!B:B)</f>
        <v>#VALUE!</v>
      </c>
      <c r="D155" s="29" t="e">
        <f t="shared" si="17"/>
        <v>#VALUE!</v>
      </c>
      <c r="E155" s="63" t="e">
        <f>TABELA_GERAL[[#This Row],[VALOR TOTAL R$]]</f>
        <v>#VALUE!</v>
      </c>
      <c r="F155" s="63" t="e">
        <f t="shared" si="19"/>
        <v>#VALUE!</v>
      </c>
    </row>
    <row r="156" spans="2:6" x14ac:dyDescent="0.25">
      <c r="B156" s="29" t="e">
        <f>_xlfn.XLOOKUP(TABELA_GERAL[[#This Row],[DESCRIÇÃO]],'TABELA MÃE'!D:D,'TABELA MÃE'!A:A)</f>
        <v>#VALUE!</v>
      </c>
      <c r="C156" s="29" t="e">
        <f>_xlfn.XLOOKUP(TABELA_GERAL[[#This Row],[DESCRIÇÃO]],'TABELA MÃE'!D:D,'TABELA MÃE'!B:B)</f>
        <v>#VALUE!</v>
      </c>
      <c r="D156" s="29" t="e">
        <f t="shared" si="17"/>
        <v>#VALUE!</v>
      </c>
      <c r="E156" s="63" t="e">
        <f>TABELA_GERAL[[#This Row],[VALOR TOTAL R$]]</f>
        <v>#VALUE!</v>
      </c>
      <c r="F156" s="63" t="e">
        <f t="shared" si="19"/>
        <v>#VALUE!</v>
      </c>
    </row>
    <row r="157" spans="2:6" x14ac:dyDescent="0.25">
      <c r="B157" s="29" t="e">
        <f>_xlfn.XLOOKUP(TABELA_GERAL[[#This Row],[DESCRIÇÃO]],'TABELA MÃE'!D:D,'TABELA MÃE'!A:A)</f>
        <v>#VALUE!</v>
      </c>
      <c r="C157" s="29" t="e">
        <f>_xlfn.XLOOKUP(TABELA_GERAL[[#This Row],[DESCRIÇÃO]],'TABELA MÃE'!D:D,'TABELA MÃE'!B:B)</f>
        <v>#VALUE!</v>
      </c>
      <c r="D157" s="29" t="e">
        <f t="shared" si="17"/>
        <v>#VALUE!</v>
      </c>
      <c r="E157" s="63" t="e">
        <f>TABELA_GERAL[[#This Row],[VALOR TOTAL R$]]</f>
        <v>#VALUE!</v>
      </c>
      <c r="F157" s="63" t="e">
        <f t="shared" si="19"/>
        <v>#VALUE!</v>
      </c>
    </row>
    <row r="158" spans="2:6" x14ac:dyDescent="0.25">
      <c r="B158" s="29" t="e">
        <f>_xlfn.XLOOKUP(TABELA_GERAL[[#This Row],[DESCRIÇÃO]],'TABELA MÃE'!D:D,'TABELA MÃE'!A:A)</f>
        <v>#VALUE!</v>
      </c>
      <c r="C158" s="29" t="e">
        <f>_xlfn.XLOOKUP(TABELA_GERAL[[#This Row],[DESCRIÇÃO]],'TABELA MÃE'!D:D,'TABELA MÃE'!B:B)</f>
        <v>#VALUE!</v>
      </c>
      <c r="D158" s="29" t="e">
        <f t="shared" si="17"/>
        <v>#VALUE!</v>
      </c>
      <c r="E158" s="63" t="e">
        <f>TABELA_GERAL[[#This Row],[VALOR TOTAL R$]]</f>
        <v>#VALUE!</v>
      </c>
      <c r="F158" s="63" t="e">
        <f t="shared" si="19"/>
        <v>#VALUE!</v>
      </c>
    </row>
    <row r="159" spans="2:6" x14ac:dyDescent="0.25">
      <c r="B159" s="29" t="e">
        <f>_xlfn.XLOOKUP(TABELA_GERAL[[#This Row],[DESCRIÇÃO]],'TABELA MÃE'!D:D,'TABELA MÃE'!A:A)</f>
        <v>#VALUE!</v>
      </c>
      <c r="C159" s="29" t="e">
        <f>_xlfn.XLOOKUP(TABELA_GERAL[[#This Row],[DESCRIÇÃO]],'TABELA MÃE'!D:D,'TABELA MÃE'!B:B)</f>
        <v>#VALUE!</v>
      </c>
      <c r="D159" s="29" t="e">
        <f t="shared" si="17"/>
        <v>#VALUE!</v>
      </c>
      <c r="E159" s="63" t="e">
        <f>TABELA_GERAL[[#This Row],[VALOR TOTAL R$]]</f>
        <v>#VALUE!</v>
      </c>
      <c r="F159" s="63" t="e">
        <f t="shared" si="19"/>
        <v>#VALUE!</v>
      </c>
    </row>
    <row r="160" spans="2:6" x14ac:dyDescent="0.25">
      <c r="B160" s="29" t="e">
        <f>_xlfn.XLOOKUP(TABELA_GERAL[[#This Row],[DESCRIÇÃO]],'TABELA MÃE'!D:D,'TABELA MÃE'!A:A)</f>
        <v>#VALUE!</v>
      </c>
      <c r="C160" s="29" t="e">
        <f>_xlfn.XLOOKUP(TABELA_GERAL[[#This Row],[DESCRIÇÃO]],'TABELA MÃE'!D:D,'TABELA MÃE'!B:B)</f>
        <v>#VALUE!</v>
      </c>
      <c r="D160" s="29" t="e">
        <f t="shared" si="17"/>
        <v>#VALUE!</v>
      </c>
      <c r="E160" s="63" t="e">
        <f>TABELA_GERAL[[#This Row],[VALOR TOTAL R$]]</f>
        <v>#VALUE!</v>
      </c>
      <c r="F160" s="63" t="e">
        <f t="shared" si="19"/>
        <v>#VALUE!</v>
      </c>
    </row>
    <row r="161" spans="2:6" x14ac:dyDescent="0.25">
      <c r="B161" s="29" t="e">
        <f>_xlfn.XLOOKUP(TABELA_GERAL[[#This Row],[DESCRIÇÃO]],'TABELA MÃE'!D:D,'TABELA MÃE'!A:A)</f>
        <v>#VALUE!</v>
      </c>
      <c r="C161" s="29" t="e">
        <f>_xlfn.XLOOKUP(TABELA_GERAL[[#This Row],[DESCRIÇÃO]],'TABELA MÃE'!D:D,'TABELA MÃE'!B:B)</f>
        <v>#VALUE!</v>
      </c>
      <c r="D161" s="29" t="e">
        <f t="shared" si="17"/>
        <v>#VALUE!</v>
      </c>
      <c r="E161" s="63" t="e">
        <f>TABELA_GERAL[[#This Row],[VALOR TOTAL R$]]</f>
        <v>#VALUE!</v>
      </c>
      <c r="F161" s="63" t="e">
        <f t="shared" si="19"/>
        <v>#VALUE!</v>
      </c>
    </row>
    <row r="162" spans="2:6" x14ac:dyDescent="0.25">
      <c r="B162" s="29" t="e">
        <f>_xlfn.XLOOKUP(TABELA_GERAL[[#This Row],[DESCRIÇÃO]],'TABELA MÃE'!D:D,'TABELA MÃE'!A:A)</f>
        <v>#VALUE!</v>
      </c>
      <c r="C162" s="29" t="e">
        <f>_xlfn.XLOOKUP(TABELA_GERAL[[#This Row],[DESCRIÇÃO]],'TABELA MÃE'!D:D,'TABELA MÃE'!B:B)</f>
        <v>#VALUE!</v>
      </c>
      <c r="D162" s="29" t="e">
        <f t="shared" si="17"/>
        <v>#VALUE!</v>
      </c>
      <c r="E162" s="63" t="e">
        <f>TABELA_GERAL[[#This Row],[VALOR TOTAL R$]]</f>
        <v>#VALUE!</v>
      </c>
      <c r="F162" s="63" t="e">
        <f t="shared" si="19"/>
        <v>#VALUE!</v>
      </c>
    </row>
    <row r="163" spans="2:6" x14ac:dyDescent="0.25">
      <c r="B163" s="29" t="e">
        <f>_xlfn.XLOOKUP(TABELA_GERAL[[#This Row],[DESCRIÇÃO]],'TABELA MÃE'!D:D,'TABELA MÃE'!A:A)</f>
        <v>#VALUE!</v>
      </c>
      <c r="C163" s="29" t="e">
        <f>_xlfn.XLOOKUP(TABELA_GERAL[[#This Row],[DESCRIÇÃO]],'TABELA MÃE'!D:D,'TABELA MÃE'!B:B)</f>
        <v>#VALUE!</v>
      </c>
      <c r="D163" s="29" t="e">
        <f t="shared" si="17"/>
        <v>#VALUE!</v>
      </c>
      <c r="E163" s="63" t="e">
        <f>TABELA_GERAL[[#This Row],[VALOR TOTAL R$]]</f>
        <v>#VALUE!</v>
      </c>
      <c r="F163" s="63" t="e">
        <f t="shared" si="19"/>
        <v>#VALUE!</v>
      </c>
    </row>
    <row r="164" spans="2:6" x14ac:dyDescent="0.25">
      <c r="B164" s="29" t="e">
        <f>_xlfn.XLOOKUP(TABELA_GERAL[[#This Row],[DESCRIÇÃO]],'TABELA MÃE'!D:D,'TABELA MÃE'!A:A)</f>
        <v>#VALUE!</v>
      </c>
      <c r="C164" s="29" t="e">
        <f>_xlfn.XLOOKUP(TABELA_GERAL[[#This Row],[DESCRIÇÃO]],'TABELA MÃE'!D:D,'TABELA MÃE'!B:B)</f>
        <v>#VALUE!</v>
      </c>
      <c r="D164" s="29" t="e">
        <f t="shared" si="17"/>
        <v>#VALUE!</v>
      </c>
      <c r="E164" s="63" t="e">
        <f>TABELA_GERAL[[#This Row],[VALOR TOTAL R$]]</f>
        <v>#VALUE!</v>
      </c>
      <c r="F164" s="63" t="e">
        <f t="shared" si="19"/>
        <v>#VALUE!</v>
      </c>
    </row>
    <row r="165" spans="2:6" x14ac:dyDescent="0.25">
      <c r="B165" s="29" t="e">
        <f>_xlfn.XLOOKUP(TABELA_GERAL[[#This Row],[DESCRIÇÃO]],'TABELA MÃE'!D:D,'TABELA MÃE'!A:A)</f>
        <v>#VALUE!</v>
      </c>
      <c r="C165" s="29" t="e">
        <f>_xlfn.XLOOKUP(TABELA_GERAL[[#This Row],[DESCRIÇÃO]],'TABELA MÃE'!D:D,'TABELA MÃE'!B:B)</f>
        <v>#VALUE!</v>
      </c>
      <c r="D165" s="29" t="e">
        <f t="shared" ref="D165:D200" si="20">CONCATENATE(B165,"-",C165)</f>
        <v>#VALUE!</v>
      </c>
      <c r="E165" s="63" t="e">
        <f>TABELA_GERAL[[#This Row],[VALOR TOTAL R$]]</f>
        <v>#VALUE!</v>
      </c>
      <c r="F165" s="63" t="e">
        <f t="shared" si="19"/>
        <v>#VALUE!</v>
      </c>
    </row>
    <row r="166" spans="2:6" x14ac:dyDescent="0.25">
      <c r="B166" s="29" t="e">
        <f>_xlfn.XLOOKUP(TABELA_GERAL[[#This Row],[DESCRIÇÃO]],'TABELA MÃE'!D:D,'TABELA MÃE'!A:A)</f>
        <v>#VALUE!</v>
      </c>
      <c r="C166" s="29" t="e">
        <f>_xlfn.XLOOKUP(TABELA_GERAL[[#This Row],[DESCRIÇÃO]],'TABELA MÃE'!D:D,'TABELA MÃE'!B:B)</f>
        <v>#VALUE!</v>
      </c>
      <c r="D166" s="29" t="e">
        <f t="shared" si="20"/>
        <v>#VALUE!</v>
      </c>
      <c r="E166" s="63" t="e">
        <f>TABELA_GERAL[[#This Row],[VALOR TOTAL R$]]</f>
        <v>#VALUE!</v>
      </c>
      <c r="F166" s="63" t="e">
        <f t="shared" si="19"/>
        <v>#VALUE!</v>
      </c>
    </row>
    <row r="167" spans="2:6" x14ac:dyDescent="0.25">
      <c r="B167" s="29" t="e">
        <f>_xlfn.XLOOKUP(TABELA_GERAL[[#This Row],[DESCRIÇÃO]],'TABELA MÃE'!D:D,'TABELA MÃE'!A:A)</f>
        <v>#VALUE!</v>
      </c>
      <c r="C167" s="29" t="e">
        <f>_xlfn.XLOOKUP(TABELA_GERAL[[#This Row],[DESCRIÇÃO]],'TABELA MÃE'!D:D,'TABELA MÃE'!B:B)</f>
        <v>#VALUE!</v>
      </c>
      <c r="D167" s="29" t="e">
        <f t="shared" si="20"/>
        <v>#VALUE!</v>
      </c>
      <c r="E167" s="63" t="e">
        <f>TABELA_GERAL[[#This Row],[VALOR TOTAL R$]]</f>
        <v>#VALUE!</v>
      </c>
      <c r="F167" s="63" t="e">
        <f t="shared" si="19"/>
        <v>#VALUE!</v>
      </c>
    </row>
    <row r="168" spans="2:6" x14ac:dyDescent="0.25">
      <c r="B168" s="29" t="e">
        <f>_xlfn.XLOOKUP(TABELA_GERAL[[#This Row],[DESCRIÇÃO]],'TABELA MÃE'!D:D,'TABELA MÃE'!A:A)</f>
        <v>#VALUE!</v>
      </c>
      <c r="C168" s="29" t="e">
        <f>_xlfn.XLOOKUP(TABELA_GERAL[[#This Row],[DESCRIÇÃO]],'TABELA MÃE'!D:D,'TABELA MÃE'!B:B)</f>
        <v>#VALUE!</v>
      </c>
      <c r="D168" s="29" t="e">
        <f t="shared" si="20"/>
        <v>#VALUE!</v>
      </c>
      <c r="E168" s="63" t="e">
        <f>TABELA_GERAL[[#This Row],[VALOR TOTAL R$]]</f>
        <v>#VALUE!</v>
      </c>
      <c r="F168" s="63" t="e">
        <f t="shared" ref="F168:F200" si="21">SUMIF($D$8:$D$200,D168,$E$8:$E$200)</f>
        <v>#VALUE!</v>
      </c>
    </row>
    <row r="169" spans="2:6" x14ac:dyDescent="0.25">
      <c r="B169" s="29" t="e">
        <f>_xlfn.XLOOKUP(TABELA_GERAL[[#This Row],[DESCRIÇÃO]],'TABELA MÃE'!D:D,'TABELA MÃE'!A:A)</f>
        <v>#VALUE!</v>
      </c>
      <c r="C169" s="29" t="e">
        <f>_xlfn.XLOOKUP(TABELA_GERAL[[#This Row],[DESCRIÇÃO]],'TABELA MÃE'!D:D,'TABELA MÃE'!B:B)</f>
        <v>#VALUE!</v>
      </c>
      <c r="D169" s="29" t="e">
        <f t="shared" si="20"/>
        <v>#VALUE!</v>
      </c>
      <c r="E169" s="63" t="e">
        <f>TABELA_GERAL[[#This Row],[VALOR TOTAL R$]]</f>
        <v>#VALUE!</v>
      </c>
      <c r="F169" s="63" t="e">
        <f t="shared" si="21"/>
        <v>#VALUE!</v>
      </c>
    </row>
    <row r="170" spans="2:6" x14ac:dyDescent="0.25">
      <c r="B170" s="29" t="e">
        <f>_xlfn.XLOOKUP(TABELA_GERAL[[#This Row],[DESCRIÇÃO]],'TABELA MÃE'!D:D,'TABELA MÃE'!A:A)</f>
        <v>#VALUE!</v>
      </c>
      <c r="C170" s="29" t="e">
        <f>_xlfn.XLOOKUP(TABELA_GERAL[[#This Row],[DESCRIÇÃO]],'TABELA MÃE'!D:D,'TABELA MÃE'!B:B)</f>
        <v>#VALUE!</v>
      </c>
      <c r="D170" s="29" t="e">
        <f t="shared" si="20"/>
        <v>#VALUE!</v>
      </c>
      <c r="E170" s="63" t="e">
        <f>TABELA_GERAL[[#This Row],[VALOR TOTAL R$]]</f>
        <v>#VALUE!</v>
      </c>
      <c r="F170" s="63" t="e">
        <f t="shared" si="21"/>
        <v>#VALUE!</v>
      </c>
    </row>
    <row r="171" spans="2:6" x14ac:dyDescent="0.25">
      <c r="B171" s="29" t="e">
        <f>_xlfn.XLOOKUP(TABELA_GERAL[[#This Row],[DESCRIÇÃO]],'TABELA MÃE'!D:D,'TABELA MÃE'!A:A)</f>
        <v>#VALUE!</v>
      </c>
      <c r="C171" s="29" t="e">
        <f>_xlfn.XLOOKUP(TABELA_GERAL[[#This Row],[DESCRIÇÃO]],'TABELA MÃE'!D:D,'TABELA MÃE'!B:B)</f>
        <v>#VALUE!</v>
      </c>
      <c r="D171" s="29" t="e">
        <f t="shared" si="20"/>
        <v>#VALUE!</v>
      </c>
      <c r="E171" s="63" t="e">
        <f>TABELA_GERAL[[#This Row],[VALOR TOTAL R$]]</f>
        <v>#VALUE!</v>
      </c>
      <c r="F171" s="63" t="e">
        <f t="shared" si="21"/>
        <v>#VALUE!</v>
      </c>
    </row>
    <row r="172" spans="2:6" x14ac:dyDescent="0.25">
      <c r="B172" s="29" t="e">
        <f>_xlfn.XLOOKUP(TABELA_GERAL[[#This Row],[DESCRIÇÃO]],'TABELA MÃE'!D:D,'TABELA MÃE'!A:A)</f>
        <v>#VALUE!</v>
      </c>
      <c r="C172" s="29" t="e">
        <f>_xlfn.XLOOKUP(TABELA_GERAL[[#This Row],[DESCRIÇÃO]],'TABELA MÃE'!D:D,'TABELA MÃE'!B:B)</f>
        <v>#VALUE!</v>
      </c>
      <c r="D172" s="29" t="e">
        <f t="shared" si="20"/>
        <v>#VALUE!</v>
      </c>
      <c r="E172" s="63" t="e">
        <f>TABELA_GERAL[[#This Row],[VALOR TOTAL R$]]</f>
        <v>#VALUE!</v>
      </c>
      <c r="F172" s="63" t="e">
        <f t="shared" si="21"/>
        <v>#VALUE!</v>
      </c>
    </row>
    <row r="173" spans="2:6" x14ac:dyDescent="0.25">
      <c r="B173" s="29" t="e">
        <f>_xlfn.XLOOKUP(TABELA_GERAL[[#This Row],[DESCRIÇÃO]],'TABELA MÃE'!D:D,'TABELA MÃE'!A:A)</f>
        <v>#VALUE!</v>
      </c>
      <c r="C173" s="29" t="e">
        <f>_xlfn.XLOOKUP(TABELA_GERAL[[#This Row],[DESCRIÇÃO]],'TABELA MÃE'!D:D,'TABELA MÃE'!B:B)</f>
        <v>#VALUE!</v>
      </c>
      <c r="D173" s="29" t="e">
        <f t="shared" si="20"/>
        <v>#VALUE!</v>
      </c>
      <c r="E173" s="63" t="e">
        <f>TABELA_GERAL[[#This Row],[VALOR TOTAL R$]]</f>
        <v>#VALUE!</v>
      </c>
      <c r="F173" s="63" t="e">
        <f t="shared" si="21"/>
        <v>#VALUE!</v>
      </c>
    </row>
    <row r="174" spans="2:6" x14ac:dyDescent="0.25">
      <c r="B174" s="29" t="e">
        <f>_xlfn.XLOOKUP(TABELA_GERAL[[#This Row],[DESCRIÇÃO]],'TABELA MÃE'!D:D,'TABELA MÃE'!A:A)</f>
        <v>#VALUE!</v>
      </c>
      <c r="C174" s="29" t="e">
        <f>_xlfn.XLOOKUP(TABELA_GERAL[[#This Row],[DESCRIÇÃO]],'TABELA MÃE'!D:D,'TABELA MÃE'!B:B)</f>
        <v>#VALUE!</v>
      </c>
      <c r="D174" s="29" t="e">
        <f t="shared" si="20"/>
        <v>#VALUE!</v>
      </c>
      <c r="E174" s="63" t="e">
        <f>TABELA_GERAL[[#This Row],[VALOR TOTAL R$]]</f>
        <v>#VALUE!</v>
      </c>
      <c r="F174" s="63" t="e">
        <f t="shared" si="21"/>
        <v>#VALUE!</v>
      </c>
    </row>
    <row r="175" spans="2:6" x14ac:dyDescent="0.25">
      <c r="B175" s="29" t="e">
        <f>_xlfn.XLOOKUP(TABELA_GERAL[[#This Row],[DESCRIÇÃO]],'TABELA MÃE'!D:D,'TABELA MÃE'!A:A)</f>
        <v>#VALUE!</v>
      </c>
      <c r="C175" s="29" t="e">
        <f>_xlfn.XLOOKUP(TABELA_GERAL[[#This Row],[DESCRIÇÃO]],'TABELA MÃE'!D:D,'TABELA MÃE'!B:B)</f>
        <v>#VALUE!</v>
      </c>
      <c r="D175" s="29" t="e">
        <f t="shared" si="20"/>
        <v>#VALUE!</v>
      </c>
      <c r="E175" s="63" t="e">
        <f>TABELA_GERAL[[#This Row],[VALOR TOTAL R$]]</f>
        <v>#VALUE!</v>
      </c>
      <c r="F175" s="63" t="e">
        <f t="shared" si="21"/>
        <v>#VALUE!</v>
      </c>
    </row>
    <row r="176" spans="2:6" x14ac:dyDescent="0.25">
      <c r="B176" s="29" t="e">
        <f>_xlfn.XLOOKUP(TABELA_GERAL[[#This Row],[DESCRIÇÃO]],'TABELA MÃE'!D:D,'TABELA MÃE'!A:A)</f>
        <v>#VALUE!</v>
      </c>
      <c r="C176" s="29" t="e">
        <f>_xlfn.XLOOKUP(TABELA_GERAL[[#This Row],[DESCRIÇÃO]],'TABELA MÃE'!D:D,'TABELA MÃE'!B:B)</f>
        <v>#VALUE!</v>
      </c>
      <c r="D176" s="29" t="e">
        <f t="shared" si="20"/>
        <v>#VALUE!</v>
      </c>
      <c r="E176" s="63" t="e">
        <f>TABELA_GERAL[[#This Row],[VALOR TOTAL R$]]</f>
        <v>#VALUE!</v>
      </c>
      <c r="F176" s="63" t="e">
        <f t="shared" si="21"/>
        <v>#VALUE!</v>
      </c>
    </row>
    <row r="177" spans="2:6" x14ac:dyDescent="0.25">
      <c r="B177" s="29" t="e">
        <f>_xlfn.XLOOKUP(TABELA_GERAL[[#This Row],[DESCRIÇÃO]],'TABELA MÃE'!D:D,'TABELA MÃE'!A:A)</f>
        <v>#VALUE!</v>
      </c>
      <c r="C177" s="29" t="e">
        <f>_xlfn.XLOOKUP(TABELA_GERAL[[#This Row],[DESCRIÇÃO]],'TABELA MÃE'!D:D,'TABELA MÃE'!B:B)</f>
        <v>#VALUE!</v>
      </c>
      <c r="D177" s="29" t="e">
        <f t="shared" si="20"/>
        <v>#VALUE!</v>
      </c>
      <c r="E177" s="63" t="e">
        <f>TABELA_GERAL[[#This Row],[VALOR TOTAL R$]]</f>
        <v>#VALUE!</v>
      </c>
      <c r="F177" s="63" t="e">
        <f t="shared" si="21"/>
        <v>#VALUE!</v>
      </c>
    </row>
    <row r="178" spans="2:6" x14ac:dyDescent="0.25">
      <c r="B178" s="29" t="e">
        <f>_xlfn.XLOOKUP(TABELA_GERAL[[#This Row],[DESCRIÇÃO]],'TABELA MÃE'!D:D,'TABELA MÃE'!A:A)</f>
        <v>#VALUE!</v>
      </c>
      <c r="C178" s="29" t="e">
        <f>_xlfn.XLOOKUP(TABELA_GERAL[[#This Row],[DESCRIÇÃO]],'TABELA MÃE'!D:D,'TABELA MÃE'!B:B)</f>
        <v>#VALUE!</v>
      </c>
      <c r="D178" s="29" t="e">
        <f t="shared" si="20"/>
        <v>#VALUE!</v>
      </c>
      <c r="E178" s="63" t="e">
        <f>TABELA_GERAL[[#This Row],[VALOR TOTAL R$]]</f>
        <v>#VALUE!</v>
      </c>
      <c r="F178" s="63" t="e">
        <f t="shared" si="21"/>
        <v>#VALUE!</v>
      </c>
    </row>
    <row r="179" spans="2:6" x14ac:dyDescent="0.25">
      <c r="B179" s="29" t="e">
        <f>_xlfn.XLOOKUP(TABELA_GERAL[[#This Row],[DESCRIÇÃO]],'TABELA MÃE'!D:D,'TABELA MÃE'!A:A)</f>
        <v>#VALUE!</v>
      </c>
      <c r="C179" s="29" t="e">
        <f>_xlfn.XLOOKUP(TABELA_GERAL[[#This Row],[DESCRIÇÃO]],'TABELA MÃE'!D:D,'TABELA MÃE'!B:B)</f>
        <v>#VALUE!</v>
      </c>
      <c r="D179" s="29" t="e">
        <f t="shared" si="20"/>
        <v>#VALUE!</v>
      </c>
      <c r="E179" s="63" t="e">
        <f>TABELA_GERAL[[#This Row],[VALOR TOTAL R$]]</f>
        <v>#VALUE!</v>
      </c>
      <c r="F179" s="63" t="e">
        <f t="shared" si="21"/>
        <v>#VALUE!</v>
      </c>
    </row>
    <row r="180" spans="2:6" x14ac:dyDescent="0.25">
      <c r="B180" s="29" t="e">
        <f>_xlfn.XLOOKUP(TABELA_GERAL[[#This Row],[DESCRIÇÃO]],'TABELA MÃE'!D:D,'TABELA MÃE'!A:A)</f>
        <v>#VALUE!</v>
      </c>
      <c r="C180" s="29" t="e">
        <f>_xlfn.XLOOKUP(TABELA_GERAL[[#This Row],[DESCRIÇÃO]],'TABELA MÃE'!D:D,'TABELA MÃE'!B:B)</f>
        <v>#VALUE!</v>
      </c>
      <c r="D180" s="29" t="e">
        <f t="shared" si="20"/>
        <v>#VALUE!</v>
      </c>
      <c r="E180" s="63" t="e">
        <f>TABELA_GERAL[[#This Row],[VALOR TOTAL R$]]</f>
        <v>#VALUE!</v>
      </c>
      <c r="F180" s="63" t="e">
        <f t="shared" si="21"/>
        <v>#VALUE!</v>
      </c>
    </row>
    <row r="181" spans="2:6" x14ac:dyDescent="0.25">
      <c r="B181" s="29" t="e">
        <f>_xlfn.XLOOKUP(TABELA_GERAL[[#This Row],[DESCRIÇÃO]],'TABELA MÃE'!D:D,'TABELA MÃE'!A:A)</f>
        <v>#VALUE!</v>
      </c>
      <c r="C181" s="29" t="e">
        <f>_xlfn.XLOOKUP(TABELA_GERAL[[#This Row],[DESCRIÇÃO]],'TABELA MÃE'!D:D,'TABELA MÃE'!B:B)</f>
        <v>#VALUE!</v>
      </c>
      <c r="D181" s="29" t="e">
        <f t="shared" si="20"/>
        <v>#VALUE!</v>
      </c>
      <c r="E181" s="63" t="e">
        <f>TABELA_GERAL[[#This Row],[VALOR TOTAL R$]]</f>
        <v>#VALUE!</v>
      </c>
      <c r="F181" s="63" t="e">
        <f t="shared" si="21"/>
        <v>#VALUE!</v>
      </c>
    </row>
    <row r="182" spans="2:6" x14ac:dyDescent="0.25">
      <c r="B182" s="29" t="e">
        <f>_xlfn.XLOOKUP(TABELA_GERAL[[#This Row],[DESCRIÇÃO]],'TABELA MÃE'!D:D,'TABELA MÃE'!A:A)</f>
        <v>#VALUE!</v>
      </c>
      <c r="C182" s="29" t="e">
        <f>_xlfn.XLOOKUP(TABELA_GERAL[[#This Row],[DESCRIÇÃO]],'TABELA MÃE'!D:D,'TABELA MÃE'!B:B)</f>
        <v>#VALUE!</v>
      </c>
      <c r="D182" s="29" t="e">
        <f t="shared" si="20"/>
        <v>#VALUE!</v>
      </c>
      <c r="E182" s="63" t="e">
        <f>TABELA_GERAL[[#This Row],[VALOR TOTAL R$]]</f>
        <v>#VALUE!</v>
      </c>
      <c r="F182" s="63" t="e">
        <f t="shared" si="21"/>
        <v>#VALUE!</v>
      </c>
    </row>
    <row r="183" spans="2:6" x14ac:dyDescent="0.25">
      <c r="B183" s="29" t="e">
        <f>_xlfn.XLOOKUP(TABELA_GERAL[[#This Row],[DESCRIÇÃO]],'TABELA MÃE'!D:D,'TABELA MÃE'!A:A)</f>
        <v>#VALUE!</v>
      </c>
      <c r="C183" s="29" t="e">
        <f>_xlfn.XLOOKUP(TABELA_GERAL[[#This Row],[DESCRIÇÃO]],'TABELA MÃE'!D:D,'TABELA MÃE'!B:B)</f>
        <v>#VALUE!</v>
      </c>
      <c r="D183" s="29" t="e">
        <f t="shared" si="20"/>
        <v>#VALUE!</v>
      </c>
      <c r="E183" s="63" t="e">
        <f>TABELA_GERAL[[#This Row],[VALOR TOTAL R$]]</f>
        <v>#VALUE!</v>
      </c>
      <c r="F183" s="63" t="e">
        <f t="shared" si="21"/>
        <v>#VALUE!</v>
      </c>
    </row>
    <row r="184" spans="2:6" x14ac:dyDescent="0.25">
      <c r="B184" s="29" t="e">
        <f>_xlfn.XLOOKUP(TABELA_GERAL[[#This Row],[DESCRIÇÃO]],'TABELA MÃE'!D:D,'TABELA MÃE'!A:A)</f>
        <v>#VALUE!</v>
      </c>
      <c r="C184" s="29" t="e">
        <f>_xlfn.XLOOKUP(TABELA_GERAL[[#This Row],[DESCRIÇÃO]],'TABELA MÃE'!D:D,'TABELA MÃE'!B:B)</f>
        <v>#VALUE!</v>
      </c>
      <c r="D184" s="29" t="e">
        <f t="shared" si="20"/>
        <v>#VALUE!</v>
      </c>
      <c r="E184" s="63" t="e">
        <f>TABELA_GERAL[[#This Row],[VALOR TOTAL R$]]</f>
        <v>#VALUE!</v>
      </c>
      <c r="F184" s="63" t="e">
        <f t="shared" si="21"/>
        <v>#VALUE!</v>
      </c>
    </row>
    <row r="185" spans="2:6" x14ac:dyDescent="0.25">
      <c r="B185" s="29" t="e">
        <f>_xlfn.XLOOKUP(TABELA_GERAL[[#This Row],[DESCRIÇÃO]],'TABELA MÃE'!D:D,'TABELA MÃE'!A:A)</f>
        <v>#VALUE!</v>
      </c>
      <c r="C185" s="29" t="e">
        <f>_xlfn.XLOOKUP(TABELA_GERAL[[#This Row],[DESCRIÇÃO]],'TABELA MÃE'!D:D,'TABELA MÃE'!B:B)</f>
        <v>#VALUE!</v>
      </c>
      <c r="D185" s="29" t="e">
        <f t="shared" si="20"/>
        <v>#VALUE!</v>
      </c>
      <c r="E185" s="63" t="e">
        <f>TABELA_GERAL[[#This Row],[VALOR TOTAL R$]]</f>
        <v>#VALUE!</v>
      </c>
      <c r="F185" s="63" t="e">
        <f t="shared" si="21"/>
        <v>#VALUE!</v>
      </c>
    </row>
    <row r="186" spans="2:6" x14ac:dyDescent="0.25">
      <c r="B186" s="29" t="e">
        <f>_xlfn.XLOOKUP(TABELA_GERAL[[#This Row],[DESCRIÇÃO]],'TABELA MÃE'!D:D,'TABELA MÃE'!A:A)</f>
        <v>#VALUE!</v>
      </c>
      <c r="C186" s="29" t="e">
        <f>_xlfn.XLOOKUP(TABELA_GERAL[[#This Row],[DESCRIÇÃO]],'TABELA MÃE'!D:D,'TABELA MÃE'!B:B)</f>
        <v>#VALUE!</v>
      </c>
      <c r="D186" s="29" t="e">
        <f t="shared" si="20"/>
        <v>#VALUE!</v>
      </c>
      <c r="E186" s="63" t="e">
        <f>TABELA_GERAL[[#This Row],[VALOR TOTAL R$]]</f>
        <v>#VALUE!</v>
      </c>
      <c r="F186" s="63" t="e">
        <f t="shared" si="21"/>
        <v>#VALUE!</v>
      </c>
    </row>
    <row r="187" spans="2:6" x14ac:dyDescent="0.25">
      <c r="B187" s="29" t="e">
        <f>_xlfn.XLOOKUP(TABELA_GERAL[[#This Row],[DESCRIÇÃO]],'TABELA MÃE'!D:D,'TABELA MÃE'!A:A)</f>
        <v>#VALUE!</v>
      </c>
      <c r="C187" s="29" t="e">
        <f>_xlfn.XLOOKUP(TABELA_GERAL[[#This Row],[DESCRIÇÃO]],'TABELA MÃE'!D:D,'TABELA MÃE'!B:B)</f>
        <v>#VALUE!</v>
      </c>
      <c r="D187" s="29" t="e">
        <f t="shared" si="20"/>
        <v>#VALUE!</v>
      </c>
      <c r="E187" s="63" t="e">
        <f>TABELA_GERAL[[#This Row],[VALOR TOTAL R$]]</f>
        <v>#VALUE!</v>
      </c>
      <c r="F187" s="63" t="e">
        <f t="shared" si="21"/>
        <v>#VALUE!</v>
      </c>
    </row>
    <row r="188" spans="2:6" x14ac:dyDescent="0.25">
      <c r="B188" s="29" t="e">
        <f>_xlfn.XLOOKUP(TABELA_GERAL[[#This Row],[DESCRIÇÃO]],'TABELA MÃE'!D:D,'TABELA MÃE'!A:A)</f>
        <v>#VALUE!</v>
      </c>
      <c r="C188" s="29" t="e">
        <f>_xlfn.XLOOKUP(TABELA_GERAL[[#This Row],[DESCRIÇÃO]],'TABELA MÃE'!D:D,'TABELA MÃE'!B:B)</f>
        <v>#VALUE!</v>
      </c>
      <c r="D188" s="29" t="e">
        <f t="shared" si="20"/>
        <v>#VALUE!</v>
      </c>
      <c r="E188" s="63" t="e">
        <f>TABELA_GERAL[[#This Row],[VALOR TOTAL R$]]</f>
        <v>#VALUE!</v>
      </c>
      <c r="F188" s="63" t="e">
        <f t="shared" si="21"/>
        <v>#VALUE!</v>
      </c>
    </row>
    <row r="189" spans="2:6" x14ac:dyDescent="0.25">
      <c r="B189" s="29" t="e">
        <f>_xlfn.XLOOKUP(TABELA_GERAL[[#This Row],[DESCRIÇÃO]],'TABELA MÃE'!D:D,'TABELA MÃE'!A:A)</f>
        <v>#VALUE!</v>
      </c>
      <c r="C189" s="29" t="e">
        <f>_xlfn.XLOOKUP(TABELA_GERAL[[#This Row],[DESCRIÇÃO]],'TABELA MÃE'!D:D,'TABELA MÃE'!B:B)</f>
        <v>#VALUE!</v>
      </c>
      <c r="D189" s="29" t="e">
        <f t="shared" si="20"/>
        <v>#VALUE!</v>
      </c>
      <c r="E189" s="63" t="e">
        <f>TABELA_GERAL[[#This Row],[VALOR TOTAL R$]]</f>
        <v>#VALUE!</v>
      </c>
      <c r="F189" s="63" t="e">
        <f t="shared" si="21"/>
        <v>#VALUE!</v>
      </c>
    </row>
    <row r="190" spans="2:6" x14ac:dyDescent="0.25">
      <c r="B190" s="29" t="e">
        <f>_xlfn.XLOOKUP(TABELA_GERAL[[#This Row],[DESCRIÇÃO]],'TABELA MÃE'!D:D,'TABELA MÃE'!A:A)</f>
        <v>#VALUE!</v>
      </c>
      <c r="C190" s="29" t="e">
        <f>_xlfn.XLOOKUP(TABELA_GERAL[[#This Row],[DESCRIÇÃO]],'TABELA MÃE'!D:D,'TABELA MÃE'!B:B)</f>
        <v>#VALUE!</v>
      </c>
      <c r="D190" s="29" t="e">
        <f t="shared" si="20"/>
        <v>#VALUE!</v>
      </c>
      <c r="E190" s="63" t="e">
        <f>TABELA_GERAL[[#This Row],[VALOR TOTAL R$]]</f>
        <v>#VALUE!</v>
      </c>
      <c r="F190" s="63" t="e">
        <f t="shared" si="21"/>
        <v>#VALUE!</v>
      </c>
    </row>
    <row r="191" spans="2:6" x14ac:dyDescent="0.25">
      <c r="B191" s="29" t="e">
        <f>_xlfn.XLOOKUP(TABELA_GERAL[[#This Row],[DESCRIÇÃO]],'TABELA MÃE'!D:D,'TABELA MÃE'!A:A)</f>
        <v>#VALUE!</v>
      </c>
      <c r="C191" s="29" t="e">
        <f>_xlfn.XLOOKUP(TABELA_GERAL[[#This Row],[DESCRIÇÃO]],'TABELA MÃE'!D:D,'TABELA MÃE'!B:B)</f>
        <v>#VALUE!</v>
      </c>
      <c r="D191" s="29" t="e">
        <f t="shared" si="20"/>
        <v>#VALUE!</v>
      </c>
      <c r="E191" s="63" t="e">
        <f>TABELA_GERAL[[#This Row],[VALOR TOTAL R$]]</f>
        <v>#VALUE!</v>
      </c>
      <c r="F191" s="63" t="e">
        <f t="shared" si="21"/>
        <v>#VALUE!</v>
      </c>
    </row>
    <row r="192" spans="2:6" x14ac:dyDescent="0.25">
      <c r="B192" s="29" t="e">
        <f>_xlfn.XLOOKUP(TABELA_GERAL[[#This Row],[DESCRIÇÃO]],'TABELA MÃE'!D:D,'TABELA MÃE'!A:A)</f>
        <v>#VALUE!</v>
      </c>
      <c r="C192" s="29" t="e">
        <f>_xlfn.XLOOKUP(TABELA_GERAL[[#This Row],[DESCRIÇÃO]],'TABELA MÃE'!D:D,'TABELA MÃE'!B:B)</f>
        <v>#VALUE!</v>
      </c>
      <c r="D192" s="29" t="e">
        <f t="shared" si="20"/>
        <v>#VALUE!</v>
      </c>
      <c r="E192" s="63" t="e">
        <f>TABELA_GERAL[[#This Row],[VALOR TOTAL R$]]</f>
        <v>#VALUE!</v>
      </c>
      <c r="F192" s="63" t="e">
        <f t="shared" si="21"/>
        <v>#VALUE!</v>
      </c>
    </row>
    <row r="193" spans="2:6" x14ac:dyDescent="0.25">
      <c r="B193" s="29" t="e">
        <f>_xlfn.XLOOKUP(TABELA_GERAL[[#This Row],[DESCRIÇÃO]],'TABELA MÃE'!D:D,'TABELA MÃE'!A:A)</f>
        <v>#VALUE!</v>
      </c>
      <c r="C193" s="29" t="e">
        <f>_xlfn.XLOOKUP(TABELA_GERAL[[#This Row],[DESCRIÇÃO]],'TABELA MÃE'!D:D,'TABELA MÃE'!B:B)</f>
        <v>#VALUE!</v>
      </c>
      <c r="D193" s="29" t="e">
        <f t="shared" si="20"/>
        <v>#VALUE!</v>
      </c>
      <c r="E193" s="63" t="e">
        <f>TABELA_GERAL[[#This Row],[VALOR TOTAL R$]]</f>
        <v>#VALUE!</v>
      </c>
      <c r="F193" s="63" t="e">
        <f t="shared" si="21"/>
        <v>#VALUE!</v>
      </c>
    </row>
    <row r="194" spans="2:6" x14ac:dyDescent="0.25">
      <c r="B194" s="29" t="e">
        <f>_xlfn.XLOOKUP(TABELA_GERAL[[#This Row],[DESCRIÇÃO]],'TABELA MÃE'!D:D,'TABELA MÃE'!A:A)</f>
        <v>#VALUE!</v>
      </c>
      <c r="C194" s="29" t="e">
        <f>_xlfn.XLOOKUP(TABELA_GERAL[[#This Row],[DESCRIÇÃO]],'TABELA MÃE'!D:D,'TABELA MÃE'!B:B)</f>
        <v>#VALUE!</v>
      </c>
      <c r="D194" s="29" t="e">
        <f t="shared" si="20"/>
        <v>#VALUE!</v>
      </c>
      <c r="E194" s="63" t="e">
        <f>TABELA_GERAL[[#This Row],[VALOR TOTAL R$]]</f>
        <v>#VALUE!</v>
      </c>
      <c r="F194" s="63" t="e">
        <f t="shared" si="21"/>
        <v>#VALUE!</v>
      </c>
    </row>
    <row r="195" spans="2:6" x14ac:dyDescent="0.25">
      <c r="B195" s="29" t="e">
        <f>_xlfn.XLOOKUP(TABELA_GERAL[[#This Row],[DESCRIÇÃO]],'TABELA MÃE'!D:D,'TABELA MÃE'!A:A)</f>
        <v>#VALUE!</v>
      </c>
      <c r="C195" s="29" t="e">
        <f>_xlfn.XLOOKUP(TABELA_GERAL[[#This Row],[DESCRIÇÃO]],'TABELA MÃE'!D:D,'TABELA MÃE'!B:B)</f>
        <v>#VALUE!</v>
      </c>
      <c r="D195" s="29" t="e">
        <f t="shared" si="20"/>
        <v>#VALUE!</v>
      </c>
      <c r="E195" s="63" t="e">
        <f>TABELA_GERAL[[#This Row],[VALOR TOTAL R$]]</f>
        <v>#VALUE!</v>
      </c>
      <c r="F195" s="63" t="e">
        <f t="shared" si="21"/>
        <v>#VALUE!</v>
      </c>
    </row>
    <row r="196" spans="2:6" x14ac:dyDescent="0.25">
      <c r="B196" s="29" t="e">
        <f>_xlfn.XLOOKUP(TABELA_GERAL[[#This Row],[DESCRIÇÃO]],'TABELA MÃE'!D:D,'TABELA MÃE'!A:A)</f>
        <v>#VALUE!</v>
      </c>
      <c r="C196" s="29" t="e">
        <f>_xlfn.XLOOKUP(TABELA_GERAL[[#This Row],[DESCRIÇÃO]],'TABELA MÃE'!D:D,'TABELA MÃE'!B:B)</f>
        <v>#VALUE!</v>
      </c>
      <c r="D196" s="29" t="e">
        <f t="shared" si="20"/>
        <v>#VALUE!</v>
      </c>
      <c r="E196" s="63" t="e">
        <f>TABELA_GERAL[[#This Row],[VALOR TOTAL R$]]</f>
        <v>#VALUE!</v>
      </c>
      <c r="F196" s="63" t="e">
        <f t="shared" si="21"/>
        <v>#VALUE!</v>
      </c>
    </row>
    <row r="197" spans="2:6" x14ac:dyDescent="0.25">
      <c r="B197" s="29" t="e">
        <f>_xlfn.XLOOKUP(TABELA_GERAL[[#This Row],[DESCRIÇÃO]],'TABELA MÃE'!D:D,'TABELA MÃE'!A:A)</f>
        <v>#VALUE!</v>
      </c>
      <c r="C197" s="29" t="e">
        <f>_xlfn.XLOOKUP(TABELA_GERAL[[#This Row],[DESCRIÇÃO]],'TABELA MÃE'!D:D,'TABELA MÃE'!B:B)</f>
        <v>#VALUE!</v>
      </c>
      <c r="D197" s="29" t="e">
        <f t="shared" si="20"/>
        <v>#VALUE!</v>
      </c>
      <c r="E197" s="63" t="e">
        <f>TABELA_GERAL[[#This Row],[VALOR TOTAL R$]]</f>
        <v>#VALUE!</v>
      </c>
      <c r="F197" s="63" t="e">
        <f t="shared" si="21"/>
        <v>#VALUE!</v>
      </c>
    </row>
    <row r="198" spans="2:6" x14ac:dyDescent="0.25">
      <c r="B198" s="29" t="e">
        <f>_xlfn.XLOOKUP(TABELA_GERAL[[#This Row],[DESCRIÇÃO]],'TABELA MÃE'!D:D,'TABELA MÃE'!A:A)</f>
        <v>#VALUE!</v>
      </c>
      <c r="C198" s="29" t="e">
        <f>_xlfn.XLOOKUP(TABELA_GERAL[[#This Row],[DESCRIÇÃO]],'TABELA MÃE'!D:D,'TABELA MÃE'!B:B)</f>
        <v>#VALUE!</v>
      </c>
      <c r="D198" s="29" t="e">
        <f t="shared" si="20"/>
        <v>#VALUE!</v>
      </c>
      <c r="E198" s="63" t="e">
        <f>TABELA_GERAL[[#This Row],[VALOR TOTAL R$]]</f>
        <v>#VALUE!</v>
      </c>
      <c r="F198" s="63" t="e">
        <f t="shared" si="21"/>
        <v>#VALUE!</v>
      </c>
    </row>
    <row r="199" spans="2:6" x14ac:dyDescent="0.25">
      <c r="B199" s="29" t="e">
        <f>_xlfn.XLOOKUP(TABELA_GERAL[[#This Row],[DESCRIÇÃO]],'TABELA MÃE'!D:D,'TABELA MÃE'!A:A)</f>
        <v>#VALUE!</v>
      </c>
      <c r="C199" s="29" t="e">
        <f>_xlfn.XLOOKUP(TABELA_GERAL[[#This Row],[DESCRIÇÃO]],'TABELA MÃE'!D:D,'TABELA MÃE'!B:B)</f>
        <v>#VALUE!</v>
      </c>
      <c r="D199" s="29" t="e">
        <f t="shared" si="20"/>
        <v>#VALUE!</v>
      </c>
      <c r="E199" s="63" t="e">
        <f>TABELA_GERAL[[#This Row],[VALOR TOTAL R$]]</f>
        <v>#VALUE!</v>
      </c>
      <c r="F199" s="63" t="e">
        <f t="shared" si="21"/>
        <v>#VALUE!</v>
      </c>
    </row>
    <row r="200" spans="2:6" x14ac:dyDescent="0.25">
      <c r="B200" s="29" t="e">
        <f>_xlfn.XLOOKUP(TABELA_GERAL[[#This Row],[DESCRIÇÃO]],'TABELA MÃE'!D:D,'TABELA MÃE'!A:A)</f>
        <v>#VALUE!</v>
      </c>
      <c r="C200" s="29" t="e">
        <f>_xlfn.XLOOKUP(TABELA_GERAL[[#This Row],[DESCRIÇÃO]],'TABELA MÃE'!D:D,'TABELA MÃE'!B:B)</f>
        <v>#VALUE!</v>
      </c>
      <c r="D200" s="29" t="e">
        <f t="shared" si="20"/>
        <v>#VALUE!</v>
      </c>
      <c r="E200" s="63" t="e">
        <f>TABELA_GERAL[[#This Row],[VALOR TOTAL R$]]</f>
        <v>#VALUE!</v>
      </c>
      <c r="F200" s="63" t="e">
        <f t="shared" si="21"/>
        <v>#VALUE!</v>
      </c>
    </row>
    <row r="202" spans="2:6" x14ac:dyDescent="0.25">
      <c r="B202" s="175" t="s">
        <v>180</v>
      </c>
      <c r="C202" s="176"/>
      <c r="D202" s="176"/>
    </row>
    <row r="203" spans="2:6" x14ac:dyDescent="0.25">
      <c r="B203" s="29" t="s">
        <v>157</v>
      </c>
      <c r="C203" s="29" t="s">
        <v>175</v>
      </c>
      <c r="D203" s="29" t="s">
        <v>169</v>
      </c>
    </row>
    <row r="204" spans="2:6" x14ac:dyDescent="0.25">
      <c r="B204" s="29" t="s">
        <v>11</v>
      </c>
      <c r="C204" s="63">
        <f>'LM-ATER.'!$I$2</f>
        <v>10799</v>
      </c>
      <c r="D204" s="64">
        <f t="shared" ref="D204:D213" si="22">C204/SUM($C$204:$C$213)</f>
        <v>0.8429876061540672</v>
      </c>
    </row>
    <row r="205" spans="2:6" x14ac:dyDescent="0.25">
      <c r="B205" s="29" t="s">
        <v>12</v>
      </c>
      <c r="C205" s="63">
        <f>'LM-CA BT'!$I$2</f>
        <v>1909.05</v>
      </c>
      <c r="D205" s="64">
        <f t="shared" si="22"/>
        <v>0.1490235660272638</v>
      </c>
    </row>
    <row r="206" spans="2:6" x14ac:dyDescent="0.25">
      <c r="B206" s="29" t="s">
        <v>13</v>
      </c>
      <c r="C206" s="63">
        <f>'LM-CA MT'!$I$2</f>
        <v>0</v>
      </c>
      <c r="D206" s="64">
        <f t="shared" si="22"/>
        <v>0</v>
      </c>
    </row>
    <row r="207" spans="2:6" x14ac:dyDescent="0.25">
      <c r="B207" s="29" t="s">
        <v>22</v>
      </c>
      <c r="C207" s="63">
        <f>'LM-CERC.'!$I$2</f>
        <v>0</v>
      </c>
      <c r="D207" s="64">
        <f t="shared" si="22"/>
        <v>0</v>
      </c>
    </row>
    <row r="208" spans="2:6" x14ac:dyDescent="0.25">
      <c r="B208" s="29" t="s">
        <v>14</v>
      </c>
      <c r="C208" s="63">
        <f>'LM-CFTV'!$I$2</f>
        <v>0</v>
      </c>
      <c r="D208" s="64">
        <f t="shared" si="22"/>
        <v>0</v>
      </c>
    </row>
    <row r="209" spans="2:4" x14ac:dyDescent="0.25">
      <c r="B209" s="29" t="s">
        <v>21</v>
      </c>
      <c r="C209" s="63">
        <f>'LM-CIVIL'!$I$2</f>
        <v>0</v>
      </c>
      <c r="D209" s="64">
        <f t="shared" si="22"/>
        <v>0</v>
      </c>
    </row>
    <row r="210" spans="2:4" x14ac:dyDescent="0.25">
      <c r="B210" s="29" t="s">
        <v>24</v>
      </c>
      <c r="C210" s="63">
        <f>'LM-DREN.'!$I$2</f>
        <v>0</v>
      </c>
      <c r="D210" s="64">
        <f t="shared" si="22"/>
        <v>0</v>
      </c>
    </row>
    <row r="211" spans="2:4" x14ac:dyDescent="0.25">
      <c r="B211" s="29" t="s">
        <v>20</v>
      </c>
      <c r="C211" s="63">
        <f>'LM-KIT F.'!$I$2</f>
        <v>0</v>
      </c>
      <c r="D211" s="64">
        <f t="shared" si="22"/>
        <v>0</v>
      </c>
    </row>
    <row r="212" spans="2:4" x14ac:dyDescent="0.25">
      <c r="B212" s="29" t="s">
        <v>131</v>
      </c>
      <c r="C212" s="63">
        <f>'LM-MISC.'!$I$2</f>
        <v>102.34</v>
      </c>
      <c r="D212" s="64">
        <f t="shared" si="22"/>
        <v>7.9888278186690653E-3</v>
      </c>
    </row>
    <row r="213" spans="2:4" x14ac:dyDescent="0.25">
      <c r="B213" s="29" t="s">
        <v>23</v>
      </c>
      <c r="C213" s="63">
        <f>'LM-PPCI'!$I$2</f>
        <v>0</v>
      </c>
      <c r="D213" s="64">
        <f t="shared" si="22"/>
        <v>0</v>
      </c>
    </row>
    <row r="215" spans="2:4" x14ac:dyDescent="0.25">
      <c r="B215" s="173" t="s">
        <v>184</v>
      </c>
      <c r="C215" s="174"/>
    </row>
    <row r="216" spans="2:4" x14ac:dyDescent="0.25">
      <c r="B216" s="55" t="s">
        <v>164</v>
      </c>
      <c r="C216" s="56" t="s">
        <v>185</v>
      </c>
    </row>
    <row r="217" spans="2:4" x14ac:dyDescent="0.25">
      <c r="B217" s="58" t="s">
        <v>168</v>
      </c>
      <c r="C217" s="65">
        <f>$C$223*0.2</f>
        <v>1980000</v>
      </c>
    </row>
    <row r="218" spans="2:4" x14ac:dyDescent="0.25">
      <c r="B218" s="61" t="s">
        <v>193</v>
      </c>
      <c r="C218" s="66">
        <f>$C$223*0.15</f>
        <v>1485000</v>
      </c>
    </row>
    <row r="219" spans="2:4" x14ac:dyDescent="0.25">
      <c r="B219" s="58" t="s">
        <v>167</v>
      </c>
      <c r="C219" s="65">
        <f>$C$223*0.15</f>
        <v>1485000</v>
      </c>
    </row>
    <row r="220" spans="2:4" x14ac:dyDescent="0.25">
      <c r="B220" s="61" t="s">
        <v>166</v>
      </c>
      <c r="C220" s="66">
        <f>$C$223*0.15</f>
        <v>1485000</v>
      </c>
    </row>
    <row r="221" spans="2:4" x14ac:dyDescent="0.25">
      <c r="B221" s="58" t="s">
        <v>165</v>
      </c>
      <c r="C221" s="65">
        <f>$C$223*0.15</f>
        <v>1485000</v>
      </c>
    </row>
    <row r="222" spans="2:4" x14ac:dyDescent="0.25">
      <c r="B222" s="61" t="s">
        <v>192</v>
      </c>
      <c r="C222" s="66">
        <f>$C$223*0.2</f>
        <v>1980000</v>
      </c>
    </row>
    <row r="223" spans="2:4" x14ac:dyDescent="0.25">
      <c r="B223" s="58" t="s">
        <v>174</v>
      </c>
      <c r="C223" s="59">
        <f>DASHBOARD!$V$5</f>
        <v>9900000</v>
      </c>
      <c r="D223" s="70">
        <f>C223*2</f>
        <v>19800000</v>
      </c>
    </row>
    <row r="225" spans="2:4" x14ac:dyDescent="0.25">
      <c r="B225" s="55" t="s">
        <v>189</v>
      </c>
      <c r="C225" s="56" t="s">
        <v>191</v>
      </c>
      <c r="D225" s="57" t="s">
        <v>190</v>
      </c>
    </row>
    <row r="226" spans="2:4" x14ac:dyDescent="0.25">
      <c r="B226" s="58" t="s">
        <v>173</v>
      </c>
      <c r="C226" s="59">
        <f>SUM(C204:C213)/2</f>
        <v>6405.1949999999997</v>
      </c>
      <c r="D226" s="60">
        <f>(C226/C223)*2</f>
        <v>1.2939787878787879E-3</v>
      </c>
    </row>
    <row r="227" spans="2:4" x14ac:dyDescent="0.25">
      <c r="B227" s="61" t="s">
        <v>194</v>
      </c>
      <c r="C227" s="66">
        <v>2000</v>
      </c>
      <c r="D227" s="62" t="s">
        <v>37</v>
      </c>
    </row>
    <row r="228" spans="2:4" x14ac:dyDescent="0.25">
      <c r="B228" s="58" t="s">
        <v>195</v>
      </c>
      <c r="C228" s="65">
        <f>SUM(C217:C223)-C226-C227</f>
        <v>19791594.805</v>
      </c>
      <c r="D228" s="74">
        <f>C226*2</f>
        <v>12810.39</v>
      </c>
    </row>
    <row r="230" spans="2:4" x14ac:dyDescent="0.25">
      <c r="B230" s="177" t="s">
        <v>183</v>
      </c>
      <c r="C230" s="178"/>
      <c r="D230" s="178"/>
    </row>
    <row r="231" spans="2:4" x14ac:dyDescent="0.25">
      <c r="B231" s="29" t="s">
        <v>164</v>
      </c>
      <c r="C231" s="29" t="s">
        <v>171</v>
      </c>
      <c r="D231" s="29" t="s">
        <v>172</v>
      </c>
    </row>
    <row r="232" spans="2:4" x14ac:dyDescent="0.25">
      <c r="B232" s="29" t="s">
        <v>165</v>
      </c>
      <c r="C232" s="29">
        <f>$C$237*0.5</f>
        <v>8250000</v>
      </c>
      <c r="D232" s="29">
        <f>$D$237*0.5</f>
        <v>3300000</v>
      </c>
    </row>
    <row r="233" spans="2:4" x14ac:dyDescent="0.25">
      <c r="B233" s="29" t="s">
        <v>166</v>
      </c>
      <c r="C233" s="29">
        <f>$C$237*0.5</f>
        <v>8250000</v>
      </c>
      <c r="D233" s="29">
        <f>$D$237*0.5</f>
        <v>3300000</v>
      </c>
    </row>
    <row r="234" spans="2:4" x14ac:dyDescent="0.25">
      <c r="B234" s="29" t="s">
        <v>167</v>
      </c>
      <c r="C234" s="29">
        <f>$C$237*0.5</f>
        <v>8250000</v>
      </c>
      <c r="D234" s="29">
        <f>$D$237*0.5</f>
        <v>3300000</v>
      </c>
    </row>
    <row r="235" spans="2:4" x14ac:dyDescent="0.25">
      <c r="B235" s="29" t="s">
        <v>168</v>
      </c>
      <c r="C235" s="29">
        <f>$C$237*0.5</f>
        <v>8250000</v>
      </c>
      <c r="D235" s="29">
        <f>$D$237*0.5</f>
        <v>3300000</v>
      </c>
    </row>
    <row r="236" spans="2:4" x14ac:dyDescent="0.25">
      <c r="B236" s="29" t="s">
        <v>173</v>
      </c>
      <c r="C236" s="29">
        <f>DASHBOARD!$D$5</f>
        <v>350000</v>
      </c>
      <c r="D236" s="29">
        <f>ACOMPANHAMENTO_ORÇAMENTÁRIO[[#This Row],[RECEITA BRUTA]]-SUM(C204:C213)</f>
        <v>337189.61</v>
      </c>
    </row>
    <row r="237" spans="2:4" x14ac:dyDescent="0.25">
      <c r="B237" s="29" t="s">
        <v>174</v>
      </c>
      <c r="C237" s="29">
        <f>DASHBOARD!$S$5</f>
        <v>16500000</v>
      </c>
      <c r="D237" s="29">
        <f>ACOMPANHAMENTO_ORÇAMENTÁRIO[[#This Row],[RECEITA BRUTA]]-C223</f>
        <v>6600000</v>
      </c>
    </row>
  </sheetData>
  <mergeCells count="6">
    <mergeCell ref="B2:E2"/>
    <mergeCell ref="B202:D202"/>
    <mergeCell ref="B6:F6"/>
    <mergeCell ref="H6:L6"/>
    <mergeCell ref="B230:D230"/>
    <mergeCell ref="B215:C215"/>
  </mergeCells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EFB4C-8B5E-45A2-9EBB-33C0B7D8DD04}">
  <sheetPr codeName="Planilha15"/>
  <dimension ref="A1:J25"/>
  <sheetViews>
    <sheetView workbookViewId="0"/>
  </sheetViews>
  <sheetFormatPr defaultRowHeight="15" x14ac:dyDescent="0.25"/>
  <cols>
    <col min="1" max="1" width="7.140625" bestFit="1" customWidth="1"/>
    <col min="2" max="2" width="13.140625" bestFit="1" customWidth="1"/>
    <col min="3" max="3" width="27.28515625" bestFit="1" customWidth="1"/>
    <col min="4" max="4" width="6.28515625" bestFit="1" customWidth="1"/>
    <col min="5" max="6" width="7.28515625" bestFit="1" customWidth="1"/>
    <col min="7" max="7" width="17.42578125" bestFit="1" customWidth="1"/>
    <col min="8" max="8" width="16.7109375" bestFit="1" customWidth="1"/>
    <col min="9" max="9" width="22.28515625" bestFit="1" customWidth="1"/>
    <col min="10" max="10" width="14" bestFit="1" customWidth="1"/>
  </cols>
  <sheetData>
    <row r="1" spans="1:10" x14ac:dyDescent="0.25">
      <c r="A1" t="s">
        <v>8</v>
      </c>
      <c r="B1" t="s">
        <v>9</v>
      </c>
      <c r="C1" t="s">
        <v>29</v>
      </c>
      <c r="D1" t="s">
        <v>30</v>
      </c>
      <c r="E1" t="s">
        <v>31</v>
      </c>
      <c r="F1" t="s">
        <v>32</v>
      </c>
      <c r="G1" t="s">
        <v>49</v>
      </c>
      <c r="H1" t="s">
        <v>144</v>
      </c>
      <c r="I1" t="s">
        <v>33</v>
      </c>
      <c r="J1" t="s">
        <v>158</v>
      </c>
    </row>
    <row r="2" spans="1:10" x14ac:dyDescent="0.25">
      <c r="D2" t="s">
        <v>154</v>
      </c>
      <c r="E2">
        <v>100</v>
      </c>
      <c r="G2" t="s">
        <v>154</v>
      </c>
      <c r="H2" t="s">
        <v>159</v>
      </c>
      <c r="I2" t="s">
        <v>154</v>
      </c>
      <c r="J2">
        <f>_xlfn.XLOOKUP(TABELA_ATERRAMENTO_1[[#This Row],[DESCRIÇÃO]],'TABELA MÃE'!D:D,'TABELA MÃE'!B:B)</f>
        <v>0</v>
      </c>
    </row>
    <row r="3" spans="1:10" x14ac:dyDescent="0.25">
      <c r="C3" t="s">
        <v>154</v>
      </c>
      <c r="D3" t="s">
        <v>154</v>
      </c>
      <c r="E3">
        <v>10</v>
      </c>
      <c r="G3" t="s">
        <v>154</v>
      </c>
      <c r="H3" t="s">
        <v>159</v>
      </c>
      <c r="I3" t="s">
        <v>154</v>
      </c>
      <c r="J3">
        <f>_xlfn.XLOOKUP(TABELA_ATERRAMENTO_1[[#This Row],[DESCRIÇÃO]],'TABELA MÃE'!D:D,'TABELA MÃE'!B:B)</f>
        <v>0</v>
      </c>
    </row>
    <row r="4" spans="1:10" x14ac:dyDescent="0.25">
      <c r="C4" t="s">
        <v>154</v>
      </c>
      <c r="D4" t="s">
        <v>154</v>
      </c>
      <c r="G4" t="s">
        <v>154</v>
      </c>
      <c r="H4" t="s">
        <v>159</v>
      </c>
      <c r="I4" t="s">
        <v>154</v>
      </c>
      <c r="J4">
        <f>_xlfn.XLOOKUP(TABELA_ATERRAMENTO_1[[#This Row],[DESCRIÇÃO]],'TABELA MÃE'!D:D,'TABELA MÃE'!B:B)</f>
        <v>0</v>
      </c>
    </row>
    <row r="5" spans="1:10" x14ac:dyDescent="0.25">
      <c r="C5" t="s">
        <v>154</v>
      </c>
      <c r="D5" t="s">
        <v>154</v>
      </c>
      <c r="G5" t="s">
        <v>154</v>
      </c>
      <c r="H5" t="s">
        <v>159</v>
      </c>
      <c r="I5" t="s">
        <v>154</v>
      </c>
      <c r="J5">
        <f>_xlfn.XLOOKUP(TABELA_ATERRAMENTO_1[[#This Row],[DESCRIÇÃO]],'TABELA MÃE'!D:D,'TABELA MÃE'!B:B)</f>
        <v>0</v>
      </c>
    </row>
    <row r="6" spans="1:10" x14ac:dyDescent="0.25">
      <c r="C6" t="s">
        <v>154</v>
      </c>
      <c r="D6" t="s">
        <v>154</v>
      </c>
      <c r="G6" t="s">
        <v>154</v>
      </c>
      <c r="H6" t="s">
        <v>159</v>
      </c>
      <c r="I6" t="s">
        <v>154</v>
      </c>
      <c r="J6">
        <f>_xlfn.XLOOKUP(TABELA_ATERRAMENTO_1[[#This Row],[DESCRIÇÃO]],'TABELA MÃE'!D:D,'TABELA MÃE'!B:B)</f>
        <v>0</v>
      </c>
    </row>
    <row r="7" spans="1:10" x14ac:dyDescent="0.25">
      <c r="C7" t="s">
        <v>154</v>
      </c>
      <c r="D7" t="s">
        <v>154</v>
      </c>
      <c r="G7" t="s">
        <v>154</v>
      </c>
      <c r="H7" t="s">
        <v>159</v>
      </c>
      <c r="I7" t="s">
        <v>154</v>
      </c>
      <c r="J7">
        <f>_xlfn.XLOOKUP(TABELA_ATERRAMENTO_1[[#This Row],[DESCRIÇÃO]],'TABELA MÃE'!D:D,'TABELA MÃE'!B:B)</f>
        <v>0</v>
      </c>
    </row>
    <row r="8" spans="1:10" x14ac:dyDescent="0.25">
      <c r="C8" t="s">
        <v>154</v>
      </c>
      <c r="D8" t="s">
        <v>154</v>
      </c>
      <c r="G8" t="s">
        <v>154</v>
      </c>
      <c r="H8" t="s">
        <v>159</v>
      </c>
      <c r="I8" t="s">
        <v>154</v>
      </c>
      <c r="J8">
        <f>_xlfn.XLOOKUP(TABELA_ATERRAMENTO_1[[#This Row],[DESCRIÇÃO]],'TABELA MÃE'!D:D,'TABELA MÃE'!B:B)</f>
        <v>0</v>
      </c>
    </row>
    <row r="9" spans="1:10" x14ac:dyDescent="0.25">
      <c r="C9" t="s">
        <v>154</v>
      </c>
      <c r="D9" t="s">
        <v>154</v>
      </c>
      <c r="G9" t="s">
        <v>154</v>
      </c>
      <c r="H9" t="s">
        <v>159</v>
      </c>
      <c r="I9" t="s">
        <v>154</v>
      </c>
      <c r="J9">
        <f>_xlfn.XLOOKUP(TABELA_ATERRAMENTO_1[[#This Row],[DESCRIÇÃO]],'TABELA MÃE'!D:D,'TABELA MÃE'!B:B)</f>
        <v>0</v>
      </c>
    </row>
    <row r="10" spans="1:10" x14ac:dyDescent="0.25">
      <c r="C10" t="s">
        <v>154</v>
      </c>
      <c r="D10" t="s">
        <v>154</v>
      </c>
      <c r="G10" t="s">
        <v>154</v>
      </c>
      <c r="H10" t="s">
        <v>159</v>
      </c>
      <c r="I10" t="s">
        <v>154</v>
      </c>
      <c r="J10">
        <f>_xlfn.XLOOKUP(TABELA_ATERRAMENTO_1[[#This Row],[DESCRIÇÃO]],'TABELA MÃE'!D:D,'TABELA MÃE'!B:B)</f>
        <v>0</v>
      </c>
    </row>
    <row r="11" spans="1:10" x14ac:dyDescent="0.25">
      <c r="C11" t="s">
        <v>154</v>
      </c>
      <c r="D11" t="s">
        <v>154</v>
      </c>
      <c r="G11" t="s">
        <v>154</v>
      </c>
      <c r="H11" t="s">
        <v>159</v>
      </c>
      <c r="I11" t="s">
        <v>154</v>
      </c>
      <c r="J11">
        <f>_xlfn.XLOOKUP(TABELA_ATERRAMENTO_1[[#This Row],[DESCRIÇÃO]],'TABELA MÃE'!D:D,'TABELA MÃE'!B:B)</f>
        <v>0</v>
      </c>
    </row>
    <row r="12" spans="1:10" x14ac:dyDescent="0.25">
      <c r="C12" t="s">
        <v>154</v>
      </c>
      <c r="D12" t="s">
        <v>154</v>
      </c>
      <c r="G12" t="s">
        <v>154</v>
      </c>
      <c r="H12" t="s">
        <v>159</v>
      </c>
      <c r="I12" t="s">
        <v>154</v>
      </c>
      <c r="J12">
        <f>_xlfn.XLOOKUP(TABELA_ATERRAMENTO_1[[#This Row],[DESCRIÇÃO]],'TABELA MÃE'!D:D,'TABELA MÃE'!B:B)</f>
        <v>0</v>
      </c>
    </row>
    <row r="13" spans="1:10" x14ac:dyDescent="0.25">
      <c r="C13" t="s">
        <v>154</v>
      </c>
      <c r="D13" t="s">
        <v>154</v>
      </c>
      <c r="G13" t="s">
        <v>154</v>
      </c>
      <c r="H13" t="s">
        <v>159</v>
      </c>
      <c r="I13" t="s">
        <v>154</v>
      </c>
      <c r="J13">
        <f>_xlfn.XLOOKUP(TABELA_ATERRAMENTO_1[[#This Row],[DESCRIÇÃO]],'TABELA MÃE'!D:D,'TABELA MÃE'!B:B)</f>
        <v>0</v>
      </c>
    </row>
    <row r="14" spans="1:10" x14ac:dyDescent="0.25">
      <c r="C14" t="s">
        <v>154</v>
      </c>
      <c r="D14" t="s">
        <v>154</v>
      </c>
      <c r="G14" t="s">
        <v>154</v>
      </c>
      <c r="H14" t="s">
        <v>159</v>
      </c>
      <c r="I14" t="s">
        <v>154</v>
      </c>
      <c r="J14">
        <f>_xlfn.XLOOKUP(TABELA_ATERRAMENTO_1[[#This Row],[DESCRIÇÃO]],'TABELA MÃE'!D:D,'TABELA MÃE'!B:B)</f>
        <v>0</v>
      </c>
    </row>
    <row r="15" spans="1:10" x14ac:dyDescent="0.25">
      <c r="C15" t="s">
        <v>154</v>
      </c>
      <c r="D15" t="s">
        <v>154</v>
      </c>
      <c r="G15" t="s">
        <v>154</v>
      </c>
      <c r="H15" t="s">
        <v>159</v>
      </c>
      <c r="I15" t="s">
        <v>154</v>
      </c>
      <c r="J15">
        <f>_xlfn.XLOOKUP(TABELA_ATERRAMENTO_1[[#This Row],[DESCRIÇÃO]],'TABELA MÃE'!D:D,'TABELA MÃE'!B:B)</f>
        <v>0</v>
      </c>
    </row>
    <row r="16" spans="1:10" x14ac:dyDescent="0.25">
      <c r="C16" t="s">
        <v>154</v>
      </c>
      <c r="D16" t="s">
        <v>154</v>
      </c>
      <c r="G16" t="s">
        <v>154</v>
      </c>
      <c r="H16" t="s">
        <v>159</v>
      </c>
      <c r="I16" t="s">
        <v>154</v>
      </c>
      <c r="J16">
        <f>_xlfn.XLOOKUP(TABELA_ATERRAMENTO_1[[#This Row],[DESCRIÇÃO]],'TABELA MÃE'!D:D,'TABELA MÃE'!B:B)</f>
        <v>0</v>
      </c>
    </row>
    <row r="17" spans="3:10" x14ac:dyDescent="0.25">
      <c r="C17" t="s">
        <v>154</v>
      </c>
      <c r="D17" t="s">
        <v>154</v>
      </c>
      <c r="G17" t="s">
        <v>154</v>
      </c>
      <c r="H17" t="s">
        <v>159</v>
      </c>
      <c r="I17" t="s">
        <v>154</v>
      </c>
      <c r="J17">
        <f>_xlfn.XLOOKUP(TABELA_ATERRAMENTO_1[[#This Row],[DESCRIÇÃO]],'TABELA MÃE'!D:D,'TABELA MÃE'!B:B)</f>
        <v>0</v>
      </c>
    </row>
    <row r="18" spans="3:10" x14ac:dyDescent="0.25">
      <c r="C18" t="s">
        <v>154</v>
      </c>
      <c r="D18" t="s">
        <v>154</v>
      </c>
      <c r="G18" t="s">
        <v>154</v>
      </c>
      <c r="H18" t="s">
        <v>159</v>
      </c>
      <c r="I18" t="s">
        <v>154</v>
      </c>
      <c r="J18">
        <f>_xlfn.XLOOKUP(TABELA_ATERRAMENTO_1[[#This Row],[DESCRIÇÃO]],'TABELA MÃE'!D:D,'TABELA MÃE'!B:B)</f>
        <v>0</v>
      </c>
    </row>
    <row r="19" spans="3:10" x14ac:dyDescent="0.25">
      <c r="C19" t="s">
        <v>154</v>
      </c>
      <c r="D19" t="s">
        <v>154</v>
      </c>
      <c r="G19" t="s">
        <v>154</v>
      </c>
      <c r="H19" t="s">
        <v>159</v>
      </c>
      <c r="I19" t="s">
        <v>154</v>
      </c>
      <c r="J19">
        <f>_xlfn.XLOOKUP(TABELA_ATERRAMENTO_1[[#This Row],[DESCRIÇÃO]],'TABELA MÃE'!D:D,'TABELA MÃE'!B:B)</f>
        <v>0</v>
      </c>
    </row>
    <row r="20" spans="3:10" x14ac:dyDescent="0.25">
      <c r="C20" t="s">
        <v>154</v>
      </c>
      <c r="D20" t="s">
        <v>154</v>
      </c>
      <c r="G20" t="s">
        <v>154</v>
      </c>
      <c r="H20" t="s">
        <v>159</v>
      </c>
      <c r="I20" t="s">
        <v>154</v>
      </c>
      <c r="J20">
        <f>_xlfn.XLOOKUP(TABELA_ATERRAMENTO_1[[#This Row],[DESCRIÇÃO]],'TABELA MÃE'!D:D,'TABELA MÃE'!B:B)</f>
        <v>0</v>
      </c>
    </row>
    <row r="21" spans="3:10" x14ac:dyDescent="0.25">
      <c r="C21" t="s">
        <v>154</v>
      </c>
      <c r="D21" t="s">
        <v>154</v>
      </c>
      <c r="G21" t="s">
        <v>154</v>
      </c>
      <c r="H21" t="s">
        <v>159</v>
      </c>
      <c r="I21" t="s">
        <v>154</v>
      </c>
      <c r="J21">
        <f>_xlfn.XLOOKUP(TABELA_ATERRAMENTO_1[[#This Row],[DESCRIÇÃO]],'TABELA MÃE'!D:D,'TABELA MÃE'!B:B)</f>
        <v>0</v>
      </c>
    </row>
    <row r="22" spans="3:10" x14ac:dyDescent="0.25">
      <c r="C22" t="s">
        <v>154</v>
      </c>
      <c r="D22" t="s">
        <v>154</v>
      </c>
      <c r="G22" t="s">
        <v>154</v>
      </c>
      <c r="H22" t="s">
        <v>159</v>
      </c>
      <c r="I22" t="s">
        <v>154</v>
      </c>
      <c r="J22">
        <f>_xlfn.XLOOKUP(TABELA_ATERRAMENTO_1[[#This Row],[DESCRIÇÃO]],'TABELA MÃE'!D:D,'TABELA MÃE'!B:B)</f>
        <v>0</v>
      </c>
    </row>
    <row r="23" spans="3:10" x14ac:dyDescent="0.25">
      <c r="C23" t="s">
        <v>154</v>
      </c>
      <c r="D23" t="s">
        <v>154</v>
      </c>
      <c r="G23" t="s">
        <v>154</v>
      </c>
      <c r="H23" t="s">
        <v>159</v>
      </c>
      <c r="I23" t="s">
        <v>154</v>
      </c>
      <c r="J23">
        <f>_xlfn.XLOOKUP(TABELA_ATERRAMENTO_1[[#This Row],[DESCRIÇÃO]],'TABELA MÃE'!D:D,'TABELA MÃE'!B:B)</f>
        <v>0</v>
      </c>
    </row>
    <row r="24" spans="3:10" x14ac:dyDescent="0.25">
      <c r="C24" t="s">
        <v>154</v>
      </c>
      <c r="D24" t="s">
        <v>154</v>
      </c>
      <c r="G24" t="s">
        <v>154</v>
      </c>
      <c r="H24" t="s">
        <v>159</v>
      </c>
      <c r="I24" t="s">
        <v>154</v>
      </c>
      <c r="J24">
        <f>_xlfn.XLOOKUP(TABELA_ATERRAMENTO_1[[#This Row],[DESCRIÇÃO]],'TABELA MÃE'!D:D,'TABELA MÃE'!B:B)</f>
        <v>0</v>
      </c>
    </row>
    <row r="25" spans="3:10" x14ac:dyDescent="0.25">
      <c r="C25" t="s">
        <v>154</v>
      </c>
      <c r="D25" t="s">
        <v>154</v>
      </c>
      <c r="G25" t="s">
        <v>154</v>
      </c>
      <c r="H25" t="s">
        <v>159</v>
      </c>
      <c r="I25" t="s">
        <v>154</v>
      </c>
      <c r="J25">
        <f>_xlfn.XLOOKUP(TABELA_ATERRAMENTO_1[[#This Row],[DESCRIÇÃO]],'TABELA MÃE'!D:D,'TABELA MÃE'!B:B)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A458-FBBB-4D8F-9533-EC5AC87478D2}">
  <sheetPr codeName="Planilha16"/>
  <dimension ref="A1:J25"/>
  <sheetViews>
    <sheetView workbookViewId="0"/>
  </sheetViews>
  <sheetFormatPr defaultRowHeight="15" x14ac:dyDescent="0.25"/>
  <cols>
    <col min="1" max="1" width="7.140625" bestFit="1" customWidth="1"/>
    <col min="2" max="2" width="13.140625" bestFit="1" customWidth="1"/>
    <col min="3" max="3" width="27.28515625" bestFit="1" customWidth="1"/>
    <col min="4" max="4" width="6.28515625" bestFit="1" customWidth="1"/>
    <col min="5" max="6" width="7.28515625" bestFit="1" customWidth="1"/>
    <col min="7" max="7" width="17.42578125" bestFit="1" customWidth="1"/>
    <col min="8" max="8" width="16.7109375" bestFit="1" customWidth="1"/>
    <col min="9" max="9" width="22.28515625" bestFit="1" customWidth="1"/>
    <col min="10" max="10" width="14" bestFit="1" customWidth="1"/>
  </cols>
  <sheetData>
    <row r="1" spans="1:10" x14ac:dyDescent="0.25">
      <c r="A1" t="s">
        <v>8</v>
      </c>
      <c r="B1" t="s">
        <v>9</v>
      </c>
      <c r="C1" t="s">
        <v>29</v>
      </c>
      <c r="D1" t="s">
        <v>30</v>
      </c>
      <c r="E1" t="s">
        <v>31</v>
      </c>
      <c r="F1" t="s">
        <v>32</v>
      </c>
      <c r="G1" t="s">
        <v>49</v>
      </c>
      <c r="H1" t="s">
        <v>144</v>
      </c>
      <c r="I1" t="s">
        <v>33</v>
      </c>
      <c r="J1" t="s">
        <v>158</v>
      </c>
    </row>
    <row r="2" spans="1:10" x14ac:dyDescent="0.25">
      <c r="C2" t="s">
        <v>154</v>
      </c>
      <c r="D2" t="s">
        <v>154</v>
      </c>
      <c r="E2">
        <v>9768</v>
      </c>
      <c r="G2" t="s">
        <v>154</v>
      </c>
      <c r="H2" t="s">
        <v>159</v>
      </c>
      <c r="I2" t="s">
        <v>154</v>
      </c>
      <c r="J2">
        <f>_xlfn.XLOOKUP(TABELA_CA_BT_1[[#This Row],[DESCRIÇÃO]],'TABELA MÃE'!D:D,'TABELA MÃE'!B:B)</f>
        <v>0</v>
      </c>
    </row>
    <row r="3" spans="1:10" x14ac:dyDescent="0.25">
      <c r="C3" t="s">
        <v>154</v>
      </c>
      <c r="D3" t="s">
        <v>154</v>
      </c>
      <c r="E3">
        <v>2500</v>
      </c>
      <c r="G3" t="s">
        <v>154</v>
      </c>
      <c r="H3" t="s">
        <v>159</v>
      </c>
      <c r="I3" t="s">
        <v>154</v>
      </c>
      <c r="J3">
        <f>_xlfn.XLOOKUP(TABELA_CA_BT_1[[#This Row],[DESCRIÇÃO]],'TABELA MÃE'!D:D,'TABELA MÃE'!B:B)</f>
        <v>0</v>
      </c>
    </row>
    <row r="4" spans="1:10" x14ac:dyDescent="0.25">
      <c r="C4" t="s">
        <v>154</v>
      </c>
      <c r="D4" t="s">
        <v>154</v>
      </c>
      <c r="E4">
        <v>50</v>
      </c>
      <c r="G4" t="s">
        <v>154</v>
      </c>
      <c r="H4" t="s">
        <v>159</v>
      </c>
      <c r="I4" t="s">
        <v>154</v>
      </c>
      <c r="J4">
        <f>_xlfn.XLOOKUP(TABELA_CA_BT_1[[#This Row],[DESCRIÇÃO]],'TABELA MÃE'!D:D,'TABELA MÃE'!B:B)</f>
        <v>0</v>
      </c>
    </row>
    <row r="5" spans="1:10" x14ac:dyDescent="0.25">
      <c r="C5" t="s">
        <v>154</v>
      </c>
      <c r="D5" t="s">
        <v>154</v>
      </c>
      <c r="G5" t="s">
        <v>154</v>
      </c>
      <c r="H5" t="s">
        <v>159</v>
      </c>
      <c r="I5" t="s">
        <v>154</v>
      </c>
      <c r="J5">
        <f>_xlfn.XLOOKUP(TABELA_CA_BT_1[[#This Row],[DESCRIÇÃO]],'TABELA MÃE'!D:D,'TABELA MÃE'!B:B)</f>
        <v>0</v>
      </c>
    </row>
    <row r="6" spans="1:10" x14ac:dyDescent="0.25">
      <c r="C6" t="s">
        <v>154</v>
      </c>
      <c r="D6" t="s">
        <v>154</v>
      </c>
      <c r="G6" t="s">
        <v>154</v>
      </c>
      <c r="H6" t="s">
        <v>159</v>
      </c>
      <c r="I6" t="s">
        <v>154</v>
      </c>
      <c r="J6">
        <f>_xlfn.XLOOKUP(TABELA_CA_BT_1[[#This Row],[DESCRIÇÃO]],'TABELA MÃE'!D:D,'TABELA MÃE'!B:B)</f>
        <v>0</v>
      </c>
    </row>
    <row r="7" spans="1:10" x14ac:dyDescent="0.25">
      <c r="C7" t="s">
        <v>154</v>
      </c>
      <c r="D7" t="s">
        <v>154</v>
      </c>
      <c r="G7" t="s">
        <v>154</v>
      </c>
      <c r="H7" t="s">
        <v>159</v>
      </c>
      <c r="I7" t="s">
        <v>154</v>
      </c>
      <c r="J7">
        <f>_xlfn.XLOOKUP(TABELA_CA_BT_1[[#This Row],[DESCRIÇÃO]],'TABELA MÃE'!D:D,'TABELA MÃE'!B:B)</f>
        <v>0</v>
      </c>
    </row>
    <row r="8" spans="1:10" x14ac:dyDescent="0.25">
      <c r="C8" t="s">
        <v>154</v>
      </c>
      <c r="D8" t="s">
        <v>154</v>
      </c>
      <c r="G8" t="s">
        <v>154</v>
      </c>
      <c r="H8" t="s">
        <v>159</v>
      </c>
      <c r="I8" t="s">
        <v>154</v>
      </c>
      <c r="J8">
        <f>_xlfn.XLOOKUP(TABELA_CA_BT_1[[#This Row],[DESCRIÇÃO]],'TABELA MÃE'!D:D,'TABELA MÃE'!B:B)</f>
        <v>0</v>
      </c>
    </row>
    <row r="9" spans="1:10" x14ac:dyDescent="0.25">
      <c r="C9" t="s">
        <v>154</v>
      </c>
      <c r="D9" t="s">
        <v>154</v>
      </c>
      <c r="G9" t="s">
        <v>154</v>
      </c>
      <c r="H9" t="s">
        <v>159</v>
      </c>
      <c r="I9" t="s">
        <v>154</v>
      </c>
      <c r="J9">
        <f>_xlfn.XLOOKUP(TABELA_CA_BT_1[[#This Row],[DESCRIÇÃO]],'TABELA MÃE'!D:D,'TABELA MÃE'!B:B)</f>
        <v>0</v>
      </c>
    </row>
    <row r="10" spans="1:10" x14ac:dyDescent="0.25">
      <c r="C10" t="s">
        <v>154</v>
      </c>
      <c r="D10" t="s">
        <v>154</v>
      </c>
      <c r="G10" t="s">
        <v>154</v>
      </c>
      <c r="H10" t="s">
        <v>159</v>
      </c>
      <c r="I10" t="s">
        <v>154</v>
      </c>
      <c r="J10">
        <f>_xlfn.XLOOKUP(TABELA_CA_BT_1[[#This Row],[DESCRIÇÃO]],'TABELA MÃE'!D:D,'TABELA MÃE'!B:B)</f>
        <v>0</v>
      </c>
    </row>
    <row r="11" spans="1:10" x14ac:dyDescent="0.25">
      <c r="C11" t="s">
        <v>154</v>
      </c>
      <c r="D11" t="s">
        <v>154</v>
      </c>
      <c r="G11" t="s">
        <v>154</v>
      </c>
      <c r="H11" t="s">
        <v>159</v>
      </c>
      <c r="I11" t="s">
        <v>154</v>
      </c>
      <c r="J11">
        <f>_xlfn.XLOOKUP(TABELA_CA_BT_1[[#This Row],[DESCRIÇÃO]],'TABELA MÃE'!D:D,'TABELA MÃE'!B:B)</f>
        <v>0</v>
      </c>
    </row>
    <row r="12" spans="1:10" x14ac:dyDescent="0.25">
      <c r="C12" t="s">
        <v>154</v>
      </c>
      <c r="D12" t="s">
        <v>154</v>
      </c>
      <c r="G12" t="s">
        <v>154</v>
      </c>
      <c r="H12" t="s">
        <v>159</v>
      </c>
      <c r="I12" t="s">
        <v>154</v>
      </c>
      <c r="J12">
        <f>_xlfn.XLOOKUP(TABELA_CA_BT_1[[#This Row],[DESCRIÇÃO]],'TABELA MÃE'!D:D,'TABELA MÃE'!B:B)</f>
        <v>0</v>
      </c>
    </row>
    <row r="13" spans="1:10" x14ac:dyDescent="0.25">
      <c r="C13" t="s">
        <v>154</v>
      </c>
      <c r="D13" t="s">
        <v>154</v>
      </c>
      <c r="G13" t="s">
        <v>154</v>
      </c>
      <c r="H13" t="s">
        <v>159</v>
      </c>
      <c r="I13" t="s">
        <v>154</v>
      </c>
      <c r="J13">
        <f>_xlfn.XLOOKUP(TABELA_CA_BT_1[[#This Row],[DESCRIÇÃO]],'TABELA MÃE'!D:D,'TABELA MÃE'!B:B)</f>
        <v>0</v>
      </c>
    </row>
    <row r="14" spans="1:10" x14ac:dyDescent="0.25">
      <c r="C14" t="s">
        <v>154</v>
      </c>
      <c r="D14" t="s">
        <v>154</v>
      </c>
      <c r="G14" t="s">
        <v>154</v>
      </c>
      <c r="H14" t="s">
        <v>159</v>
      </c>
      <c r="I14" t="s">
        <v>154</v>
      </c>
      <c r="J14">
        <f>_xlfn.XLOOKUP(TABELA_CA_BT_1[[#This Row],[DESCRIÇÃO]],'TABELA MÃE'!D:D,'TABELA MÃE'!B:B)</f>
        <v>0</v>
      </c>
    </row>
    <row r="15" spans="1:10" x14ac:dyDescent="0.25">
      <c r="C15" t="s">
        <v>154</v>
      </c>
      <c r="D15" t="s">
        <v>154</v>
      </c>
      <c r="G15" t="s">
        <v>154</v>
      </c>
      <c r="H15" t="s">
        <v>159</v>
      </c>
      <c r="I15" t="s">
        <v>154</v>
      </c>
      <c r="J15">
        <f>_xlfn.XLOOKUP(TABELA_CA_BT_1[[#This Row],[DESCRIÇÃO]],'TABELA MÃE'!D:D,'TABELA MÃE'!B:B)</f>
        <v>0</v>
      </c>
    </row>
    <row r="16" spans="1:10" x14ac:dyDescent="0.25">
      <c r="C16" t="s">
        <v>154</v>
      </c>
      <c r="D16" t="s">
        <v>154</v>
      </c>
      <c r="G16" t="s">
        <v>154</v>
      </c>
      <c r="H16" t="s">
        <v>159</v>
      </c>
      <c r="I16" t="s">
        <v>154</v>
      </c>
      <c r="J16">
        <f>_xlfn.XLOOKUP(TABELA_CA_BT_1[[#This Row],[DESCRIÇÃO]],'TABELA MÃE'!D:D,'TABELA MÃE'!B:B)</f>
        <v>0</v>
      </c>
    </row>
    <row r="17" spans="3:10" x14ac:dyDescent="0.25">
      <c r="C17" t="s">
        <v>154</v>
      </c>
      <c r="D17" t="s">
        <v>154</v>
      </c>
      <c r="G17" t="s">
        <v>154</v>
      </c>
      <c r="H17" t="s">
        <v>159</v>
      </c>
      <c r="I17" t="s">
        <v>154</v>
      </c>
      <c r="J17">
        <f>_xlfn.XLOOKUP(TABELA_CA_BT_1[[#This Row],[DESCRIÇÃO]],'TABELA MÃE'!D:D,'TABELA MÃE'!B:B)</f>
        <v>0</v>
      </c>
    </row>
    <row r="18" spans="3:10" x14ac:dyDescent="0.25">
      <c r="C18" t="s">
        <v>154</v>
      </c>
      <c r="D18" t="s">
        <v>154</v>
      </c>
      <c r="G18" t="s">
        <v>154</v>
      </c>
      <c r="H18" t="s">
        <v>159</v>
      </c>
      <c r="I18" t="s">
        <v>154</v>
      </c>
      <c r="J18">
        <f>_xlfn.XLOOKUP(TABELA_CA_BT_1[[#This Row],[DESCRIÇÃO]],'TABELA MÃE'!D:D,'TABELA MÃE'!B:B)</f>
        <v>0</v>
      </c>
    </row>
    <row r="19" spans="3:10" x14ac:dyDescent="0.25">
      <c r="C19" t="s">
        <v>154</v>
      </c>
      <c r="D19" t="s">
        <v>154</v>
      </c>
      <c r="G19" t="s">
        <v>154</v>
      </c>
      <c r="H19" t="s">
        <v>159</v>
      </c>
      <c r="I19" t="s">
        <v>154</v>
      </c>
      <c r="J19">
        <f>_xlfn.XLOOKUP(TABELA_CA_BT_1[[#This Row],[DESCRIÇÃO]],'TABELA MÃE'!D:D,'TABELA MÃE'!B:B)</f>
        <v>0</v>
      </c>
    </row>
    <row r="20" spans="3:10" x14ac:dyDescent="0.25">
      <c r="C20" t="s">
        <v>154</v>
      </c>
      <c r="D20" t="s">
        <v>154</v>
      </c>
      <c r="G20" t="s">
        <v>154</v>
      </c>
      <c r="H20" t="s">
        <v>159</v>
      </c>
      <c r="I20" t="s">
        <v>154</v>
      </c>
      <c r="J20">
        <f>_xlfn.XLOOKUP(TABELA_CA_BT_1[[#This Row],[DESCRIÇÃO]],'TABELA MÃE'!D:D,'TABELA MÃE'!B:B)</f>
        <v>0</v>
      </c>
    </row>
    <row r="21" spans="3:10" x14ac:dyDescent="0.25">
      <c r="C21" t="s">
        <v>154</v>
      </c>
      <c r="D21" t="s">
        <v>154</v>
      </c>
      <c r="G21" t="s">
        <v>154</v>
      </c>
      <c r="H21" t="s">
        <v>159</v>
      </c>
      <c r="I21" t="s">
        <v>154</v>
      </c>
      <c r="J21">
        <f>_xlfn.XLOOKUP(TABELA_CA_BT_1[[#This Row],[DESCRIÇÃO]],'TABELA MÃE'!D:D,'TABELA MÃE'!B:B)</f>
        <v>0</v>
      </c>
    </row>
    <row r="22" spans="3:10" x14ac:dyDescent="0.25">
      <c r="C22" t="s">
        <v>154</v>
      </c>
      <c r="D22" t="s">
        <v>154</v>
      </c>
      <c r="G22" t="s">
        <v>154</v>
      </c>
      <c r="H22" t="s">
        <v>159</v>
      </c>
      <c r="I22" t="s">
        <v>154</v>
      </c>
      <c r="J22">
        <f>_xlfn.XLOOKUP(TABELA_CA_BT_1[[#This Row],[DESCRIÇÃO]],'TABELA MÃE'!D:D,'TABELA MÃE'!B:B)</f>
        <v>0</v>
      </c>
    </row>
    <row r="23" spans="3:10" x14ac:dyDescent="0.25">
      <c r="C23" t="s">
        <v>154</v>
      </c>
      <c r="D23" t="s">
        <v>154</v>
      </c>
      <c r="G23" t="s">
        <v>154</v>
      </c>
      <c r="H23" t="s">
        <v>159</v>
      </c>
      <c r="I23" t="s">
        <v>154</v>
      </c>
      <c r="J23">
        <f>_xlfn.XLOOKUP(TABELA_CA_BT_1[[#This Row],[DESCRIÇÃO]],'TABELA MÃE'!D:D,'TABELA MÃE'!B:B)</f>
        <v>0</v>
      </c>
    </row>
    <row r="24" spans="3:10" x14ac:dyDescent="0.25">
      <c r="C24" t="s">
        <v>154</v>
      </c>
      <c r="D24" t="s">
        <v>154</v>
      </c>
      <c r="G24" t="s">
        <v>154</v>
      </c>
      <c r="H24" t="s">
        <v>159</v>
      </c>
      <c r="I24" t="s">
        <v>154</v>
      </c>
      <c r="J24">
        <f>_xlfn.XLOOKUP(TABELA_CA_BT_1[[#This Row],[DESCRIÇÃO]],'TABELA MÃE'!D:D,'TABELA MÃE'!B:B)</f>
        <v>0</v>
      </c>
    </row>
    <row r="25" spans="3:10" x14ac:dyDescent="0.25">
      <c r="C25" t="s">
        <v>154</v>
      </c>
      <c r="D25" t="s">
        <v>154</v>
      </c>
      <c r="G25" t="s">
        <v>154</v>
      </c>
      <c r="H25" t="s">
        <v>159</v>
      </c>
      <c r="I25" t="s">
        <v>154</v>
      </c>
      <c r="J25">
        <f>_xlfn.XLOOKUP(TABELA_CA_BT_1[[#This Row],[DESCRIÇÃO]],'TABELA MÃE'!D:D,'TABELA MÃE'!B:B)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ACC30-F160-42B6-ABB6-9B4EDD927CEA}">
  <sheetPr codeName="Planilha17"/>
  <dimension ref="A1:J25"/>
  <sheetViews>
    <sheetView workbookViewId="0"/>
  </sheetViews>
  <sheetFormatPr defaultRowHeight="15" x14ac:dyDescent="0.25"/>
  <cols>
    <col min="1" max="1" width="7.140625" bestFit="1" customWidth="1"/>
    <col min="2" max="2" width="13.140625" bestFit="1" customWidth="1"/>
    <col min="3" max="3" width="27.28515625" bestFit="1" customWidth="1"/>
    <col min="4" max="4" width="6.28515625" bestFit="1" customWidth="1"/>
    <col min="5" max="6" width="7.28515625" bestFit="1" customWidth="1"/>
    <col min="7" max="7" width="17.42578125" bestFit="1" customWidth="1"/>
    <col min="8" max="8" width="16.7109375" bestFit="1" customWidth="1"/>
    <col min="9" max="9" width="22.28515625" bestFit="1" customWidth="1"/>
    <col min="10" max="10" width="14" bestFit="1" customWidth="1"/>
  </cols>
  <sheetData>
    <row r="1" spans="1:10" x14ac:dyDescent="0.25">
      <c r="A1" t="s">
        <v>8</v>
      </c>
      <c r="B1" t="s">
        <v>9</v>
      </c>
      <c r="C1" t="s">
        <v>29</v>
      </c>
      <c r="D1" t="s">
        <v>30</v>
      </c>
      <c r="E1" t="s">
        <v>31</v>
      </c>
      <c r="F1" t="s">
        <v>32</v>
      </c>
      <c r="G1" t="s">
        <v>49</v>
      </c>
      <c r="H1" t="s">
        <v>144</v>
      </c>
      <c r="I1" t="s">
        <v>33</v>
      </c>
      <c r="J1" t="s">
        <v>158</v>
      </c>
    </row>
    <row r="2" spans="1:10" x14ac:dyDescent="0.25">
      <c r="C2" t="s">
        <v>154</v>
      </c>
      <c r="D2" t="s">
        <v>154</v>
      </c>
      <c r="G2" t="s">
        <v>154</v>
      </c>
      <c r="H2" t="s">
        <v>159</v>
      </c>
      <c r="I2" t="s">
        <v>154</v>
      </c>
      <c r="J2">
        <f>_xlfn.XLOOKUP(TABELA_CA_MT_1[[#This Row],[DESCRIÇÃO]],'TABELA MÃE'!D:D,'TABELA MÃE'!B:B)</f>
        <v>0</v>
      </c>
    </row>
    <row r="3" spans="1:10" x14ac:dyDescent="0.25">
      <c r="C3" t="s">
        <v>154</v>
      </c>
      <c r="D3" t="s">
        <v>154</v>
      </c>
      <c r="G3" t="s">
        <v>154</v>
      </c>
      <c r="H3" t="s">
        <v>159</v>
      </c>
      <c r="I3" t="s">
        <v>154</v>
      </c>
      <c r="J3">
        <f>_xlfn.XLOOKUP(TABELA_CA_MT_1[[#This Row],[DESCRIÇÃO]],'TABELA MÃE'!D:D,'TABELA MÃE'!B:B)</f>
        <v>0</v>
      </c>
    </row>
    <row r="4" spans="1:10" x14ac:dyDescent="0.25">
      <c r="C4" t="s">
        <v>154</v>
      </c>
      <c r="D4" t="s">
        <v>154</v>
      </c>
      <c r="G4" t="s">
        <v>154</v>
      </c>
      <c r="H4" t="s">
        <v>159</v>
      </c>
      <c r="I4" t="s">
        <v>154</v>
      </c>
      <c r="J4">
        <f>_xlfn.XLOOKUP(TABELA_CA_MT_1[[#This Row],[DESCRIÇÃO]],'TABELA MÃE'!D:D,'TABELA MÃE'!B:B)</f>
        <v>0</v>
      </c>
    </row>
    <row r="5" spans="1:10" x14ac:dyDescent="0.25">
      <c r="C5" t="s">
        <v>154</v>
      </c>
      <c r="D5" t="s">
        <v>154</v>
      </c>
      <c r="G5" t="s">
        <v>154</v>
      </c>
      <c r="H5" t="s">
        <v>159</v>
      </c>
      <c r="I5" t="s">
        <v>154</v>
      </c>
      <c r="J5">
        <f>_xlfn.XLOOKUP(TABELA_CA_MT_1[[#This Row],[DESCRIÇÃO]],'TABELA MÃE'!D:D,'TABELA MÃE'!B:B)</f>
        <v>0</v>
      </c>
    </row>
    <row r="6" spans="1:10" x14ac:dyDescent="0.25">
      <c r="C6" t="s">
        <v>154</v>
      </c>
      <c r="D6" t="s">
        <v>154</v>
      </c>
      <c r="G6" t="s">
        <v>154</v>
      </c>
      <c r="H6" t="s">
        <v>159</v>
      </c>
      <c r="I6" t="s">
        <v>154</v>
      </c>
      <c r="J6">
        <f>_xlfn.XLOOKUP(TABELA_CA_MT_1[[#This Row],[DESCRIÇÃO]],'TABELA MÃE'!D:D,'TABELA MÃE'!B:B)</f>
        <v>0</v>
      </c>
    </row>
    <row r="7" spans="1:10" x14ac:dyDescent="0.25">
      <c r="C7" t="s">
        <v>154</v>
      </c>
      <c r="D7" t="s">
        <v>154</v>
      </c>
      <c r="G7" t="s">
        <v>154</v>
      </c>
      <c r="H7" t="s">
        <v>159</v>
      </c>
      <c r="I7" t="s">
        <v>154</v>
      </c>
      <c r="J7">
        <f>_xlfn.XLOOKUP(TABELA_CA_MT_1[[#This Row],[DESCRIÇÃO]],'TABELA MÃE'!D:D,'TABELA MÃE'!B:B)</f>
        <v>0</v>
      </c>
    </row>
    <row r="8" spans="1:10" x14ac:dyDescent="0.25">
      <c r="C8" t="s">
        <v>154</v>
      </c>
      <c r="D8" t="s">
        <v>154</v>
      </c>
      <c r="G8" t="s">
        <v>154</v>
      </c>
      <c r="H8" t="s">
        <v>159</v>
      </c>
      <c r="I8" t="s">
        <v>154</v>
      </c>
      <c r="J8">
        <f>_xlfn.XLOOKUP(TABELA_CA_MT_1[[#This Row],[DESCRIÇÃO]],'TABELA MÃE'!D:D,'TABELA MÃE'!B:B)</f>
        <v>0</v>
      </c>
    </row>
    <row r="9" spans="1:10" x14ac:dyDescent="0.25">
      <c r="C9" t="s">
        <v>154</v>
      </c>
      <c r="D9" t="s">
        <v>154</v>
      </c>
      <c r="G9" t="s">
        <v>154</v>
      </c>
      <c r="H9" t="s">
        <v>159</v>
      </c>
      <c r="I9" t="s">
        <v>154</v>
      </c>
      <c r="J9">
        <f>_xlfn.XLOOKUP(TABELA_CA_MT_1[[#This Row],[DESCRIÇÃO]],'TABELA MÃE'!D:D,'TABELA MÃE'!B:B)</f>
        <v>0</v>
      </c>
    </row>
    <row r="10" spans="1:10" x14ac:dyDescent="0.25">
      <c r="C10" t="s">
        <v>154</v>
      </c>
      <c r="D10" t="s">
        <v>154</v>
      </c>
      <c r="G10" t="s">
        <v>154</v>
      </c>
      <c r="H10" t="s">
        <v>159</v>
      </c>
      <c r="I10" t="s">
        <v>154</v>
      </c>
      <c r="J10">
        <f>_xlfn.XLOOKUP(TABELA_CA_MT_1[[#This Row],[DESCRIÇÃO]],'TABELA MÃE'!D:D,'TABELA MÃE'!B:B)</f>
        <v>0</v>
      </c>
    </row>
    <row r="11" spans="1:10" x14ac:dyDescent="0.25">
      <c r="C11" t="s">
        <v>154</v>
      </c>
      <c r="D11" t="s">
        <v>154</v>
      </c>
      <c r="G11" t="s">
        <v>154</v>
      </c>
      <c r="H11" t="s">
        <v>159</v>
      </c>
      <c r="I11" t="s">
        <v>154</v>
      </c>
      <c r="J11">
        <f>_xlfn.XLOOKUP(TABELA_CA_MT_1[[#This Row],[DESCRIÇÃO]],'TABELA MÃE'!D:D,'TABELA MÃE'!B:B)</f>
        <v>0</v>
      </c>
    </row>
    <row r="12" spans="1:10" x14ac:dyDescent="0.25">
      <c r="C12" t="s">
        <v>154</v>
      </c>
      <c r="D12" t="s">
        <v>154</v>
      </c>
      <c r="G12" t="s">
        <v>154</v>
      </c>
      <c r="H12" t="s">
        <v>159</v>
      </c>
      <c r="I12" t="s">
        <v>154</v>
      </c>
      <c r="J12">
        <f>_xlfn.XLOOKUP(TABELA_CA_MT_1[[#This Row],[DESCRIÇÃO]],'TABELA MÃE'!D:D,'TABELA MÃE'!B:B)</f>
        <v>0</v>
      </c>
    </row>
    <row r="13" spans="1:10" x14ac:dyDescent="0.25">
      <c r="C13" t="s">
        <v>154</v>
      </c>
      <c r="D13" t="s">
        <v>154</v>
      </c>
      <c r="G13" t="s">
        <v>154</v>
      </c>
      <c r="H13" t="s">
        <v>159</v>
      </c>
      <c r="I13" t="s">
        <v>154</v>
      </c>
      <c r="J13">
        <f>_xlfn.XLOOKUP(TABELA_CA_MT_1[[#This Row],[DESCRIÇÃO]],'TABELA MÃE'!D:D,'TABELA MÃE'!B:B)</f>
        <v>0</v>
      </c>
    </row>
    <row r="14" spans="1:10" x14ac:dyDescent="0.25">
      <c r="C14" t="s">
        <v>154</v>
      </c>
      <c r="D14" t="s">
        <v>154</v>
      </c>
      <c r="G14" t="s">
        <v>154</v>
      </c>
      <c r="H14" t="s">
        <v>159</v>
      </c>
      <c r="I14" t="s">
        <v>154</v>
      </c>
      <c r="J14">
        <f>_xlfn.XLOOKUP(TABELA_CA_MT_1[[#This Row],[DESCRIÇÃO]],'TABELA MÃE'!D:D,'TABELA MÃE'!B:B)</f>
        <v>0</v>
      </c>
    </row>
    <row r="15" spans="1:10" x14ac:dyDescent="0.25">
      <c r="C15" t="s">
        <v>154</v>
      </c>
      <c r="D15" t="s">
        <v>154</v>
      </c>
      <c r="G15" t="s">
        <v>154</v>
      </c>
      <c r="H15" t="s">
        <v>159</v>
      </c>
      <c r="I15" t="s">
        <v>154</v>
      </c>
      <c r="J15">
        <f>_xlfn.XLOOKUP(TABELA_CA_MT_1[[#This Row],[DESCRIÇÃO]],'TABELA MÃE'!D:D,'TABELA MÃE'!B:B)</f>
        <v>0</v>
      </c>
    </row>
    <row r="16" spans="1:10" x14ac:dyDescent="0.25">
      <c r="C16" t="s">
        <v>154</v>
      </c>
      <c r="D16" t="s">
        <v>154</v>
      </c>
      <c r="G16" t="s">
        <v>154</v>
      </c>
      <c r="H16" t="s">
        <v>159</v>
      </c>
      <c r="I16" t="s">
        <v>154</v>
      </c>
      <c r="J16">
        <f>_xlfn.XLOOKUP(TABELA_CA_MT_1[[#This Row],[DESCRIÇÃO]],'TABELA MÃE'!D:D,'TABELA MÃE'!B:B)</f>
        <v>0</v>
      </c>
    </row>
    <row r="17" spans="3:10" x14ac:dyDescent="0.25">
      <c r="C17" t="s">
        <v>154</v>
      </c>
      <c r="D17" t="s">
        <v>154</v>
      </c>
      <c r="G17" t="s">
        <v>154</v>
      </c>
      <c r="H17" t="s">
        <v>159</v>
      </c>
      <c r="I17" t="s">
        <v>154</v>
      </c>
      <c r="J17">
        <f>_xlfn.XLOOKUP(TABELA_CA_MT_1[[#This Row],[DESCRIÇÃO]],'TABELA MÃE'!D:D,'TABELA MÃE'!B:B)</f>
        <v>0</v>
      </c>
    </row>
    <row r="18" spans="3:10" x14ac:dyDescent="0.25">
      <c r="C18" t="s">
        <v>154</v>
      </c>
      <c r="D18" t="s">
        <v>154</v>
      </c>
      <c r="G18" t="s">
        <v>154</v>
      </c>
      <c r="H18" t="s">
        <v>159</v>
      </c>
      <c r="I18" t="s">
        <v>154</v>
      </c>
      <c r="J18">
        <f>_xlfn.XLOOKUP(TABELA_CA_MT_1[[#This Row],[DESCRIÇÃO]],'TABELA MÃE'!D:D,'TABELA MÃE'!B:B)</f>
        <v>0</v>
      </c>
    </row>
    <row r="19" spans="3:10" x14ac:dyDescent="0.25">
      <c r="C19" t="s">
        <v>154</v>
      </c>
      <c r="D19" t="s">
        <v>154</v>
      </c>
      <c r="G19" t="s">
        <v>154</v>
      </c>
      <c r="H19" t="s">
        <v>159</v>
      </c>
      <c r="I19" t="s">
        <v>154</v>
      </c>
      <c r="J19">
        <f>_xlfn.XLOOKUP(TABELA_CA_MT_1[[#This Row],[DESCRIÇÃO]],'TABELA MÃE'!D:D,'TABELA MÃE'!B:B)</f>
        <v>0</v>
      </c>
    </row>
    <row r="20" spans="3:10" x14ac:dyDescent="0.25">
      <c r="C20" t="s">
        <v>154</v>
      </c>
      <c r="D20" t="s">
        <v>154</v>
      </c>
      <c r="G20" t="s">
        <v>154</v>
      </c>
      <c r="H20" t="s">
        <v>159</v>
      </c>
      <c r="I20" t="s">
        <v>154</v>
      </c>
      <c r="J20">
        <f>_xlfn.XLOOKUP(TABELA_CA_MT_1[[#This Row],[DESCRIÇÃO]],'TABELA MÃE'!D:D,'TABELA MÃE'!B:B)</f>
        <v>0</v>
      </c>
    </row>
    <row r="21" spans="3:10" x14ac:dyDescent="0.25">
      <c r="C21" t="s">
        <v>154</v>
      </c>
      <c r="D21" t="s">
        <v>154</v>
      </c>
      <c r="G21" t="s">
        <v>154</v>
      </c>
      <c r="H21" t="s">
        <v>159</v>
      </c>
      <c r="I21" t="s">
        <v>154</v>
      </c>
      <c r="J21">
        <f>_xlfn.XLOOKUP(TABELA_CA_MT_1[[#This Row],[DESCRIÇÃO]],'TABELA MÃE'!D:D,'TABELA MÃE'!B:B)</f>
        <v>0</v>
      </c>
    </row>
    <row r="22" spans="3:10" x14ac:dyDescent="0.25">
      <c r="C22" t="s">
        <v>154</v>
      </c>
      <c r="D22" t="s">
        <v>154</v>
      </c>
      <c r="G22" t="s">
        <v>154</v>
      </c>
      <c r="H22" t="s">
        <v>159</v>
      </c>
      <c r="I22" t="s">
        <v>154</v>
      </c>
      <c r="J22">
        <f>_xlfn.XLOOKUP(TABELA_CA_MT_1[[#This Row],[DESCRIÇÃO]],'TABELA MÃE'!D:D,'TABELA MÃE'!B:B)</f>
        <v>0</v>
      </c>
    </row>
    <row r="23" spans="3:10" x14ac:dyDescent="0.25">
      <c r="C23" t="s">
        <v>154</v>
      </c>
      <c r="D23" t="s">
        <v>154</v>
      </c>
      <c r="G23" t="s">
        <v>154</v>
      </c>
      <c r="H23" t="s">
        <v>159</v>
      </c>
      <c r="I23" t="s">
        <v>154</v>
      </c>
      <c r="J23">
        <f>_xlfn.XLOOKUP(TABELA_CA_MT_1[[#This Row],[DESCRIÇÃO]],'TABELA MÃE'!D:D,'TABELA MÃE'!B:B)</f>
        <v>0</v>
      </c>
    </row>
    <row r="24" spans="3:10" x14ac:dyDescent="0.25">
      <c r="C24" t="s">
        <v>154</v>
      </c>
      <c r="D24" t="s">
        <v>154</v>
      </c>
      <c r="G24" t="s">
        <v>154</v>
      </c>
      <c r="H24" t="s">
        <v>159</v>
      </c>
      <c r="I24" t="s">
        <v>154</v>
      </c>
      <c r="J24">
        <f>_xlfn.XLOOKUP(TABELA_CA_MT_1[[#This Row],[DESCRIÇÃO]],'TABELA MÃE'!D:D,'TABELA MÃE'!B:B)</f>
        <v>0</v>
      </c>
    </row>
    <row r="25" spans="3:10" x14ac:dyDescent="0.25">
      <c r="C25" t="s">
        <v>154</v>
      </c>
      <c r="D25" t="s">
        <v>154</v>
      </c>
      <c r="G25" t="s">
        <v>154</v>
      </c>
      <c r="H25" t="s">
        <v>159</v>
      </c>
      <c r="I25" t="s">
        <v>154</v>
      </c>
      <c r="J25">
        <f>_xlfn.XLOOKUP(TABELA_CA_MT_1[[#This Row],[DESCRIÇÃO]],'TABELA MÃE'!D:D,'TABELA MÃE'!B:B)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38D48-27B4-4A88-B2BC-142759F522EF}">
  <sheetPr codeName="Planilha18"/>
  <dimension ref="A1:J25"/>
  <sheetViews>
    <sheetView workbookViewId="0"/>
  </sheetViews>
  <sheetFormatPr defaultRowHeight="15" x14ac:dyDescent="0.25"/>
  <cols>
    <col min="1" max="1" width="7.140625" bestFit="1" customWidth="1"/>
    <col min="2" max="2" width="13.140625" bestFit="1" customWidth="1"/>
    <col min="3" max="3" width="27.28515625" bestFit="1" customWidth="1"/>
    <col min="4" max="4" width="6.28515625" bestFit="1" customWidth="1"/>
    <col min="5" max="6" width="7.28515625" bestFit="1" customWidth="1"/>
    <col min="7" max="7" width="17.42578125" bestFit="1" customWidth="1"/>
    <col min="8" max="8" width="16.7109375" bestFit="1" customWidth="1"/>
    <col min="9" max="9" width="22.28515625" bestFit="1" customWidth="1"/>
    <col min="10" max="10" width="14" bestFit="1" customWidth="1"/>
  </cols>
  <sheetData>
    <row r="1" spans="1:10" x14ac:dyDescent="0.25">
      <c r="A1" t="s">
        <v>8</v>
      </c>
      <c r="B1" t="s">
        <v>9</v>
      </c>
      <c r="C1" t="s">
        <v>29</v>
      </c>
      <c r="D1" t="s">
        <v>30</v>
      </c>
      <c r="E1" t="s">
        <v>31</v>
      </c>
      <c r="F1" t="s">
        <v>32</v>
      </c>
      <c r="G1" t="s">
        <v>49</v>
      </c>
      <c r="H1" t="s">
        <v>144</v>
      </c>
      <c r="I1" t="s">
        <v>33</v>
      </c>
      <c r="J1" t="s">
        <v>158</v>
      </c>
    </row>
    <row r="2" spans="1:10" x14ac:dyDescent="0.25">
      <c r="C2" t="s">
        <v>154</v>
      </c>
      <c r="D2" t="s">
        <v>154</v>
      </c>
      <c r="G2" t="s">
        <v>154</v>
      </c>
      <c r="H2" t="s">
        <v>159</v>
      </c>
      <c r="I2" t="s">
        <v>154</v>
      </c>
      <c r="J2">
        <f>_xlfn.XLOOKUP(TABELA_CERCAMENTO_1[[#This Row],[DESCRIÇÃO]],'TABELA MÃE'!D:D,'TABELA MÃE'!B:B)</f>
        <v>0</v>
      </c>
    </row>
    <row r="3" spans="1:10" x14ac:dyDescent="0.25">
      <c r="C3" t="s">
        <v>154</v>
      </c>
      <c r="D3" t="s">
        <v>154</v>
      </c>
      <c r="G3" t="s">
        <v>154</v>
      </c>
      <c r="H3" t="s">
        <v>159</v>
      </c>
      <c r="I3" t="s">
        <v>154</v>
      </c>
      <c r="J3">
        <f>_xlfn.XLOOKUP(TABELA_CERCAMENTO_1[[#This Row],[DESCRIÇÃO]],'TABELA MÃE'!D:D,'TABELA MÃE'!B:B)</f>
        <v>0</v>
      </c>
    </row>
    <row r="4" spans="1:10" x14ac:dyDescent="0.25">
      <c r="C4" t="s">
        <v>154</v>
      </c>
      <c r="D4" t="s">
        <v>154</v>
      </c>
      <c r="G4" t="s">
        <v>154</v>
      </c>
      <c r="H4" t="s">
        <v>159</v>
      </c>
      <c r="I4" t="s">
        <v>154</v>
      </c>
      <c r="J4">
        <f>_xlfn.XLOOKUP(TABELA_CERCAMENTO_1[[#This Row],[DESCRIÇÃO]],'TABELA MÃE'!D:D,'TABELA MÃE'!B:B)</f>
        <v>0</v>
      </c>
    </row>
    <row r="5" spans="1:10" x14ac:dyDescent="0.25">
      <c r="C5" t="s">
        <v>154</v>
      </c>
      <c r="D5" t="s">
        <v>154</v>
      </c>
      <c r="G5" t="s">
        <v>154</v>
      </c>
      <c r="H5" t="s">
        <v>159</v>
      </c>
      <c r="I5" t="s">
        <v>154</v>
      </c>
      <c r="J5">
        <f>_xlfn.XLOOKUP(TABELA_CERCAMENTO_1[[#This Row],[DESCRIÇÃO]],'TABELA MÃE'!D:D,'TABELA MÃE'!B:B)</f>
        <v>0</v>
      </c>
    </row>
    <row r="6" spans="1:10" x14ac:dyDescent="0.25">
      <c r="C6" t="s">
        <v>154</v>
      </c>
      <c r="D6" t="s">
        <v>154</v>
      </c>
      <c r="G6" t="s">
        <v>154</v>
      </c>
      <c r="H6" t="s">
        <v>159</v>
      </c>
      <c r="I6" t="s">
        <v>154</v>
      </c>
      <c r="J6">
        <f>_xlfn.XLOOKUP(TABELA_CERCAMENTO_1[[#This Row],[DESCRIÇÃO]],'TABELA MÃE'!D:D,'TABELA MÃE'!B:B)</f>
        <v>0</v>
      </c>
    </row>
    <row r="7" spans="1:10" x14ac:dyDescent="0.25">
      <c r="C7" t="s">
        <v>154</v>
      </c>
      <c r="D7" t="s">
        <v>154</v>
      </c>
      <c r="G7" t="s">
        <v>154</v>
      </c>
      <c r="H7" t="s">
        <v>159</v>
      </c>
      <c r="I7" t="s">
        <v>154</v>
      </c>
      <c r="J7">
        <f>_xlfn.XLOOKUP(TABELA_CERCAMENTO_1[[#This Row],[DESCRIÇÃO]],'TABELA MÃE'!D:D,'TABELA MÃE'!B:B)</f>
        <v>0</v>
      </c>
    </row>
    <row r="8" spans="1:10" x14ac:dyDescent="0.25">
      <c r="C8" t="s">
        <v>154</v>
      </c>
      <c r="D8" t="s">
        <v>154</v>
      </c>
      <c r="G8" t="s">
        <v>154</v>
      </c>
      <c r="H8" t="s">
        <v>159</v>
      </c>
      <c r="I8" t="s">
        <v>154</v>
      </c>
      <c r="J8">
        <f>_xlfn.XLOOKUP(TABELA_CERCAMENTO_1[[#This Row],[DESCRIÇÃO]],'TABELA MÃE'!D:D,'TABELA MÃE'!B:B)</f>
        <v>0</v>
      </c>
    </row>
    <row r="9" spans="1:10" x14ac:dyDescent="0.25">
      <c r="C9" t="s">
        <v>154</v>
      </c>
      <c r="D9" t="s">
        <v>154</v>
      </c>
      <c r="G9" t="s">
        <v>154</v>
      </c>
      <c r="H9" t="s">
        <v>159</v>
      </c>
      <c r="I9" t="s">
        <v>154</v>
      </c>
      <c r="J9">
        <f>_xlfn.XLOOKUP(TABELA_CERCAMENTO_1[[#This Row],[DESCRIÇÃO]],'TABELA MÃE'!D:D,'TABELA MÃE'!B:B)</f>
        <v>0</v>
      </c>
    </row>
    <row r="10" spans="1:10" x14ac:dyDescent="0.25">
      <c r="C10" t="s">
        <v>154</v>
      </c>
      <c r="D10" t="s">
        <v>154</v>
      </c>
      <c r="G10" t="s">
        <v>154</v>
      </c>
      <c r="H10" t="s">
        <v>159</v>
      </c>
      <c r="I10" t="s">
        <v>154</v>
      </c>
      <c r="J10">
        <f>_xlfn.XLOOKUP(TABELA_CERCAMENTO_1[[#This Row],[DESCRIÇÃO]],'TABELA MÃE'!D:D,'TABELA MÃE'!B:B)</f>
        <v>0</v>
      </c>
    </row>
    <row r="11" spans="1:10" x14ac:dyDescent="0.25">
      <c r="C11" t="s">
        <v>154</v>
      </c>
      <c r="D11" t="s">
        <v>154</v>
      </c>
      <c r="G11" t="s">
        <v>154</v>
      </c>
      <c r="H11" t="s">
        <v>159</v>
      </c>
      <c r="I11" t="s">
        <v>154</v>
      </c>
      <c r="J11">
        <f>_xlfn.XLOOKUP(TABELA_CERCAMENTO_1[[#This Row],[DESCRIÇÃO]],'TABELA MÃE'!D:D,'TABELA MÃE'!B:B)</f>
        <v>0</v>
      </c>
    </row>
    <row r="12" spans="1:10" x14ac:dyDescent="0.25">
      <c r="C12" t="s">
        <v>154</v>
      </c>
      <c r="D12" t="s">
        <v>154</v>
      </c>
      <c r="G12" t="s">
        <v>154</v>
      </c>
      <c r="H12" t="s">
        <v>159</v>
      </c>
      <c r="I12" t="s">
        <v>154</v>
      </c>
      <c r="J12">
        <f>_xlfn.XLOOKUP(TABELA_CERCAMENTO_1[[#This Row],[DESCRIÇÃO]],'TABELA MÃE'!D:D,'TABELA MÃE'!B:B)</f>
        <v>0</v>
      </c>
    </row>
    <row r="13" spans="1:10" x14ac:dyDescent="0.25">
      <c r="C13" t="s">
        <v>154</v>
      </c>
      <c r="D13" t="s">
        <v>154</v>
      </c>
      <c r="G13" t="s">
        <v>154</v>
      </c>
      <c r="H13" t="s">
        <v>159</v>
      </c>
      <c r="I13" t="s">
        <v>154</v>
      </c>
      <c r="J13">
        <f>_xlfn.XLOOKUP(TABELA_CERCAMENTO_1[[#This Row],[DESCRIÇÃO]],'TABELA MÃE'!D:D,'TABELA MÃE'!B:B)</f>
        <v>0</v>
      </c>
    </row>
    <row r="14" spans="1:10" x14ac:dyDescent="0.25">
      <c r="C14" t="s">
        <v>154</v>
      </c>
      <c r="D14" t="s">
        <v>154</v>
      </c>
      <c r="G14" t="s">
        <v>154</v>
      </c>
      <c r="H14" t="s">
        <v>159</v>
      </c>
      <c r="I14" t="s">
        <v>154</v>
      </c>
      <c r="J14">
        <f>_xlfn.XLOOKUP(TABELA_CERCAMENTO_1[[#This Row],[DESCRIÇÃO]],'TABELA MÃE'!D:D,'TABELA MÃE'!B:B)</f>
        <v>0</v>
      </c>
    </row>
    <row r="15" spans="1:10" x14ac:dyDescent="0.25">
      <c r="C15" t="s">
        <v>154</v>
      </c>
      <c r="D15" t="s">
        <v>154</v>
      </c>
      <c r="G15" t="s">
        <v>154</v>
      </c>
      <c r="H15" t="s">
        <v>159</v>
      </c>
      <c r="I15" t="s">
        <v>154</v>
      </c>
      <c r="J15">
        <f>_xlfn.XLOOKUP(TABELA_CERCAMENTO_1[[#This Row],[DESCRIÇÃO]],'TABELA MÃE'!D:D,'TABELA MÃE'!B:B)</f>
        <v>0</v>
      </c>
    </row>
    <row r="16" spans="1:10" x14ac:dyDescent="0.25">
      <c r="C16" t="s">
        <v>154</v>
      </c>
      <c r="D16" t="s">
        <v>154</v>
      </c>
      <c r="G16" t="s">
        <v>154</v>
      </c>
      <c r="H16" t="s">
        <v>159</v>
      </c>
      <c r="I16" t="s">
        <v>154</v>
      </c>
      <c r="J16">
        <f>_xlfn.XLOOKUP(TABELA_CERCAMENTO_1[[#This Row],[DESCRIÇÃO]],'TABELA MÃE'!D:D,'TABELA MÃE'!B:B)</f>
        <v>0</v>
      </c>
    </row>
    <row r="17" spans="3:10" x14ac:dyDescent="0.25">
      <c r="C17" t="s">
        <v>154</v>
      </c>
      <c r="D17" t="s">
        <v>154</v>
      </c>
      <c r="G17" t="s">
        <v>154</v>
      </c>
      <c r="H17" t="s">
        <v>159</v>
      </c>
      <c r="I17" t="s">
        <v>154</v>
      </c>
      <c r="J17">
        <f>_xlfn.XLOOKUP(TABELA_CERCAMENTO_1[[#This Row],[DESCRIÇÃO]],'TABELA MÃE'!D:D,'TABELA MÃE'!B:B)</f>
        <v>0</v>
      </c>
    </row>
    <row r="18" spans="3:10" x14ac:dyDescent="0.25">
      <c r="C18" t="s">
        <v>154</v>
      </c>
      <c r="D18" t="s">
        <v>154</v>
      </c>
      <c r="G18" t="s">
        <v>154</v>
      </c>
      <c r="H18" t="s">
        <v>159</v>
      </c>
      <c r="I18" t="s">
        <v>154</v>
      </c>
      <c r="J18">
        <f>_xlfn.XLOOKUP(TABELA_CERCAMENTO_1[[#This Row],[DESCRIÇÃO]],'TABELA MÃE'!D:D,'TABELA MÃE'!B:B)</f>
        <v>0</v>
      </c>
    </row>
    <row r="19" spans="3:10" x14ac:dyDescent="0.25">
      <c r="C19" t="s">
        <v>154</v>
      </c>
      <c r="D19" t="s">
        <v>154</v>
      </c>
      <c r="G19" t="s">
        <v>154</v>
      </c>
      <c r="H19" t="s">
        <v>159</v>
      </c>
      <c r="I19" t="s">
        <v>154</v>
      </c>
      <c r="J19">
        <f>_xlfn.XLOOKUP(TABELA_CERCAMENTO_1[[#This Row],[DESCRIÇÃO]],'TABELA MÃE'!D:D,'TABELA MÃE'!B:B)</f>
        <v>0</v>
      </c>
    </row>
    <row r="20" spans="3:10" x14ac:dyDescent="0.25">
      <c r="C20" t="s">
        <v>154</v>
      </c>
      <c r="D20" t="s">
        <v>154</v>
      </c>
      <c r="G20" t="s">
        <v>154</v>
      </c>
      <c r="H20" t="s">
        <v>159</v>
      </c>
      <c r="I20" t="s">
        <v>154</v>
      </c>
      <c r="J20">
        <f>_xlfn.XLOOKUP(TABELA_CERCAMENTO_1[[#This Row],[DESCRIÇÃO]],'TABELA MÃE'!D:D,'TABELA MÃE'!B:B)</f>
        <v>0</v>
      </c>
    </row>
    <row r="21" spans="3:10" x14ac:dyDescent="0.25">
      <c r="C21" t="s">
        <v>154</v>
      </c>
      <c r="D21" t="s">
        <v>154</v>
      </c>
      <c r="G21" t="s">
        <v>154</v>
      </c>
      <c r="H21" t="s">
        <v>159</v>
      </c>
      <c r="I21" t="s">
        <v>154</v>
      </c>
      <c r="J21">
        <f>_xlfn.XLOOKUP(TABELA_CERCAMENTO_1[[#This Row],[DESCRIÇÃO]],'TABELA MÃE'!D:D,'TABELA MÃE'!B:B)</f>
        <v>0</v>
      </c>
    </row>
    <row r="22" spans="3:10" x14ac:dyDescent="0.25">
      <c r="C22" t="s">
        <v>154</v>
      </c>
      <c r="D22" t="s">
        <v>154</v>
      </c>
      <c r="G22" t="s">
        <v>154</v>
      </c>
      <c r="H22" t="s">
        <v>159</v>
      </c>
      <c r="I22" t="s">
        <v>154</v>
      </c>
      <c r="J22">
        <f>_xlfn.XLOOKUP(TABELA_CERCAMENTO_1[[#This Row],[DESCRIÇÃO]],'TABELA MÃE'!D:D,'TABELA MÃE'!B:B)</f>
        <v>0</v>
      </c>
    </row>
    <row r="23" spans="3:10" x14ac:dyDescent="0.25">
      <c r="C23" t="s">
        <v>154</v>
      </c>
      <c r="D23" t="s">
        <v>154</v>
      </c>
      <c r="G23" t="s">
        <v>154</v>
      </c>
      <c r="H23" t="s">
        <v>159</v>
      </c>
      <c r="I23" t="s">
        <v>154</v>
      </c>
      <c r="J23">
        <f>_xlfn.XLOOKUP(TABELA_CERCAMENTO_1[[#This Row],[DESCRIÇÃO]],'TABELA MÃE'!D:D,'TABELA MÃE'!B:B)</f>
        <v>0</v>
      </c>
    </row>
    <row r="24" spans="3:10" x14ac:dyDescent="0.25">
      <c r="C24" t="s">
        <v>154</v>
      </c>
      <c r="D24" t="s">
        <v>154</v>
      </c>
      <c r="G24" t="s">
        <v>154</v>
      </c>
      <c r="H24" t="s">
        <v>159</v>
      </c>
      <c r="I24" t="s">
        <v>154</v>
      </c>
      <c r="J24">
        <f>_xlfn.XLOOKUP(TABELA_CERCAMENTO_1[[#This Row],[DESCRIÇÃO]],'TABELA MÃE'!D:D,'TABELA MÃE'!B:B)</f>
        <v>0</v>
      </c>
    </row>
    <row r="25" spans="3:10" x14ac:dyDescent="0.25">
      <c r="C25" t="s">
        <v>154</v>
      </c>
      <c r="D25" t="s">
        <v>154</v>
      </c>
      <c r="G25" t="s">
        <v>154</v>
      </c>
      <c r="H25" t="s">
        <v>159</v>
      </c>
      <c r="I25" t="s">
        <v>154</v>
      </c>
      <c r="J25">
        <f>_xlfn.XLOOKUP(TABELA_CERCAMENTO_1[[#This Row],[DESCRIÇÃO]],'TABELA MÃE'!D:D,'TABELA MÃE'!B:B)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90884-E1B5-4425-8B18-063A88049D61}">
  <sheetPr codeName="Planilha19"/>
  <dimension ref="A1:J25"/>
  <sheetViews>
    <sheetView workbookViewId="0"/>
  </sheetViews>
  <sheetFormatPr defaultRowHeight="15" x14ac:dyDescent="0.25"/>
  <cols>
    <col min="1" max="1" width="7.140625" bestFit="1" customWidth="1"/>
    <col min="2" max="2" width="13.140625" bestFit="1" customWidth="1"/>
    <col min="3" max="3" width="27.28515625" bestFit="1" customWidth="1"/>
    <col min="4" max="4" width="6.28515625" bestFit="1" customWidth="1"/>
    <col min="5" max="6" width="7.28515625" bestFit="1" customWidth="1"/>
    <col min="7" max="7" width="17.42578125" bestFit="1" customWidth="1"/>
    <col min="8" max="8" width="16.7109375" bestFit="1" customWidth="1"/>
    <col min="9" max="9" width="22.28515625" bestFit="1" customWidth="1"/>
    <col min="10" max="10" width="14" bestFit="1" customWidth="1"/>
  </cols>
  <sheetData>
    <row r="1" spans="1:10" x14ac:dyDescent="0.25">
      <c r="A1" t="s">
        <v>8</v>
      </c>
      <c r="B1" t="s">
        <v>9</v>
      </c>
      <c r="C1" t="s">
        <v>29</v>
      </c>
      <c r="D1" t="s">
        <v>30</v>
      </c>
      <c r="E1" t="s">
        <v>31</v>
      </c>
      <c r="F1" t="s">
        <v>32</v>
      </c>
      <c r="G1" t="s">
        <v>49</v>
      </c>
      <c r="H1" t="s">
        <v>144</v>
      </c>
      <c r="I1" t="s">
        <v>33</v>
      </c>
      <c r="J1" t="s">
        <v>158</v>
      </c>
    </row>
    <row r="2" spans="1:10" x14ac:dyDescent="0.25">
      <c r="C2" t="s">
        <v>154</v>
      </c>
      <c r="D2" t="s">
        <v>154</v>
      </c>
      <c r="G2" t="s">
        <v>154</v>
      </c>
      <c r="H2" t="s">
        <v>159</v>
      </c>
      <c r="I2" t="s">
        <v>154</v>
      </c>
      <c r="J2">
        <f>_xlfn.XLOOKUP(TABELA_CFTV_1[[#This Row],[DESCRIÇÃO]],'TABELA MÃE'!D:D,'TABELA MÃE'!B:B)</f>
        <v>0</v>
      </c>
    </row>
    <row r="3" spans="1:10" x14ac:dyDescent="0.25">
      <c r="C3" t="s">
        <v>154</v>
      </c>
      <c r="D3" t="s">
        <v>154</v>
      </c>
      <c r="G3" t="s">
        <v>154</v>
      </c>
      <c r="H3" t="s">
        <v>159</v>
      </c>
      <c r="I3" t="s">
        <v>154</v>
      </c>
      <c r="J3">
        <f>_xlfn.XLOOKUP(TABELA_CFTV_1[[#This Row],[DESCRIÇÃO]],'TABELA MÃE'!D:D,'TABELA MÃE'!B:B)</f>
        <v>0</v>
      </c>
    </row>
    <row r="4" spans="1:10" x14ac:dyDescent="0.25">
      <c r="C4" t="s">
        <v>154</v>
      </c>
      <c r="D4" t="s">
        <v>154</v>
      </c>
      <c r="G4" t="s">
        <v>154</v>
      </c>
      <c r="H4" t="s">
        <v>159</v>
      </c>
      <c r="I4" t="s">
        <v>154</v>
      </c>
      <c r="J4">
        <f>_xlfn.XLOOKUP(TABELA_CFTV_1[[#This Row],[DESCRIÇÃO]],'TABELA MÃE'!D:D,'TABELA MÃE'!B:B)</f>
        <v>0</v>
      </c>
    </row>
    <row r="5" spans="1:10" x14ac:dyDescent="0.25">
      <c r="C5" t="s">
        <v>154</v>
      </c>
      <c r="D5" t="s">
        <v>154</v>
      </c>
      <c r="G5" t="s">
        <v>154</v>
      </c>
      <c r="H5" t="s">
        <v>159</v>
      </c>
      <c r="I5" t="s">
        <v>154</v>
      </c>
      <c r="J5">
        <f>_xlfn.XLOOKUP(TABELA_CFTV_1[[#This Row],[DESCRIÇÃO]],'TABELA MÃE'!D:D,'TABELA MÃE'!B:B)</f>
        <v>0</v>
      </c>
    </row>
    <row r="6" spans="1:10" x14ac:dyDescent="0.25">
      <c r="C6" t="s">
        <v>154</v>
      </c>
      <c r="D6" t="s">
        <v>154</v>
      </c>
      <c r="G6" t="s">
        <v>154</v>
      </c>
      <c r="H6" t="s">
        <v>159</v>
      </c>
      <c r="I6" t="s">
        <v>154</v>
      </c>
      <c r="J6">
        <f>_xlfn.XLOOKUP(TABELA_CFTV_1[[#This Row],[DESCRIÇÃO]],'TABELA MÃE'!D:D,'TABELA MÃE'!B:B)</f>
        <v>0</v>
      </c>
    </row>
    <row r="7" spans="1:10" x14ac:dyDescent="0.25">
      <c r="C7" t="s">
        <v>154</v>
      </c>
      <c r="D7" t="s">
        <v>154</v>
      </c>
      <c r="G7" t="s">
        <v>154</v>
      </c>
      <c r="H7" t="s">
        <v>159</v>
      </c>
      <c r="I7" t="s">
        <v>154</v>
      </c>
      <c r="J7">
        <f>_xlfn.XLOOKUP(TABELA_CFTV_1[[#This Row],[DESCRIÇÃO]],'TABELA MÃE'!D:D,'TABELA MÃE'!B:B)</f>
        <v>0</v>
      </c>
    </row>
    <row r="8" spans="1:10" x14ac:dyDescent="0.25">
      <c r="C8" t="s">
        <v>154</v>
      </c>
      <c r="D8" t="s">
        <v>154</v>
      </c>
      <c r="G8" t="s">
        <v>154</v>
      </c>
      <c r="H8" t="s">
        <v>159</v>
      </c>
      <c r="I8" t="s">
        <v>154</v>
      </c>
      <c r="J8">
        <f>_xlfn.XLOOKUP(TABELA_CFTV_1[[#This Row],[DESCRIÇÃO]],'TABELA MÃE'!D:D,'TABELA MÃE'!B:B)</f>
        <v>0</v>
      </c>
    </row>
    <row r="9" spans="1:10" x14ac:dyDescent="0.25">
      <c r="C9" t="s">
        <v>154</v>
      </c>
      <c r="D9" t="s">
        <v>154</v>
      </c>
      <c r="G9" t="s">
        <v>154</v>
      </c>
      <c r="H9" t="s">
        <v>159</v>
      </c>
      <c r="I9" t="s">
        <v>154</v>
      </c>
      <c r="J9">
        <f>_xlfn.XLOOKUP(TABELA_CFTV_1[[#This Row],[DESCRIÇÃO]],'TABELA MÃE'!D:D,'TABELA MÃE'!B:B)</f>
        <v>0</v>
      </c>
    </row>
    <row r="10" spans="1:10" x14ac:dyDescent="0.25">
      <c r="C10" t="s">
        <v>154</v>
      </c>
      <c r="D10" t="s">
        <v>154</v>
      </c>
      <c r="G10" t="s">
        <v>154</v>
      </c>
      <c r="H10" t="s">
        <v>159</v>
      </c>
      <c r="I10" t="s">
        <v>154</v>
      </c>
      <c r="J10">
        <f>_xlfn.XLOOKUP(TABELA_CFTV_1[[#This Row],[DESCRIÇÃO]],'TABELA MÃE'!D:D,'TABELA MÃE'!B:B)</f>
        <v>0</v>
      </c>
    </row>
    <row r="11" spans="1:10" x14ac:dyDescent="0.25">
      <c r="C11" t="s">
        <v>154</v>
      </c>
      <c r="D11" t="s">
        <v>154</v>
      </c>
      <c r="G11" t="s">
        <v>154</v>
      </c>
      <c r="H11" t="s">
        <v>159</v>
      </c>
      <c r="I11" t="s">
        <v>154</v>
      </c>
      <c r="J11">
        <f>_xlfn.XLOOKUP(TABELA_CFTV_1[[#This Row],[DESCRIÇÃO]],'TABELA MÃE'!D:D,'TABELA MÃE'!B:B)</f>
        <v>0</v>
      </c>
    </row>
    <row r="12" spans="1:10" x14ac:dyDescent="0.25">
      <c r="C12" t="s">
        <v>154</v>
      </c>
      <c r="D12" t="s">
        <v>154</v>
      </c>
      <c r="G12" t="s">
        <v>154</v>
      </c>
      <c r="H12" t="s">
        <v>159</v>
      </c>
      <c r="I12" t="s">
        <v>154</v>
      </c>
      <c r="J12">
        <f>_xlfn.XLOOKUP(TABELA_CFTV_1[[#This Row],[DESCRIÇÃO]],'TABELA MÃE'!D:D,'TABELA MÃE'!B:B)</f>
        <v>0</v>
      </c>
    </row>
    <row r="13" spans="1:10" x14ac:dyDescent="0.25">
      <c r="C13" t="s">
        <v>154</v>
      </c>
      <c r="D13" t="s">
        <v>154</v>
      </c>
      <c r="G13" t="s">
        <v>154</v>
      </c>
      <c r="H13" t="s">
        <v>159</v>
      </c>
      <c r="I13" t="s">
        <v>154</v>
      </c>
      <c r="J13">
        <f>_xlfn.XLOOKUP(TABELA_CFTV_1[[#This Row],[DESCRIÇÃO]],'TABELA MÃE'!D:D,'TABELA MÃE'!B:B)</f>
        <v>0</v>
      </c>
    </row>
    <row r="14" spans="1:10" x14ac:dyDescent="0.25">
      <c r="C14" t="s">
        <v>154</v>
      </c>
      <c r="D14" t="s">
        <v>154</v>
      </c>
      <c r="G14" t="s">
        <v>154</v>
      </c>
      <c r="H14" t="s">
        <v>159</v>
      </c>
      <c r="I14" t="s">
        <v>154</v>
      </c>
      <c r="J14">
        <f>_xlfn.XLOOKUP(TABELA_CFTV_1[[#This Row],[DESCRIÇÃO]],'TABELA MÃE'!D:D,'TABELA MÃE'!B:B)</f>
        <v>0</v>
      </c>
    </row>
    <row r="15" spans="1:10" x14ac:dyDescent="0.25">
      <c r="C15" t="s">
        <v>154</v>
      </c>
      <c r="D15" t="s">
        <v>154</v>
      </c>
      <c r="G15" t="s">
        <v>154</v>
      </c>
      <c r="H15" t="s">
        <v>159</v>
      </c>
      <c r="I15" t="s">
        <v>154</v>
      </c>
      <c r="J15">
        <f>_xlfn.XLOOKUP(TABELA_CFTV_1[[#This Row],[DESCRIÇÃO]],'TABELA MÃE'!D:D,'TABELA MÃE'!B:B)</f>
        <v>0</v>
      </c>
    </row>
    <row r="16" spans="1:10" x14ac:dyDescent="0.25">
      <c r="C16" t="s">
        <v>154</v>
      </c>
      <c r="D16" t="s">
        <v>154</v>
      </c>
      <c r="G16" t="s">
        <v>154</v>
      </c>
      <c r="H16" t="s">
        <v>159</v>
      </c>
      <c r="I16" t="s">
        <v>154</v>
      </c>
      <c r="J16">
        <f>_xlfn.XLOOKUP(TABELA_CFTV_1[[#This Row],[DESCRIÇÃO]],'TABELA MÃE'!D:D,'TABELA MÃE'!B:B)</f>
        <v>0</v>
      </c>
    </row>
    <row r="17" spans="3:10" x14ac:dyDescent="0.25">
      <c r="C17" t="s">
        <v>154</v>
      </c>
      <c r="D17" t="s">
        <v>154</v>
      </c>
      <c r="G17" t="s">
        <v>154</v>
      </c>
      <c r="H17" t="s">
        <v>159</v>
      </c>
      <c r="I17" t="s">
        <v>154</v>
      </c>
      <c r="J17">
        <f>_xlfn.XLOOKUP(TABELA_CFTV_1[[#This Row],[DESCRIÇÃO]],'TABELA MÃE'!D:D,'TABELA MÃE'!B:B)</f>
        <v>0</v>
      </c>
    </row>
    <row r="18" spans="3:10" x14ac:dyDescent="0.25">
      <c r="C18" t="s">
        <v>154</v>
      </c>
      <c r="D18" t="s">
        <v>154</v>
      </c>
      <c r="G18" t="s">
        <v>154</v>
      </c>
      <c r="H18" t="s">
        <v>159</v>
      </c>
      <c r="I18" t="s">
        <v>154</v>
      </c>
      <c r="J18">
        <f>_xlfn.XLOOKUP(TABELA_CFTV_1[[#This Row],[DESCRIÇÃO]],'TABELA MÃE'!D:D,'TABELA MÃE'!B:B)</f>
        <v>0</v>
      </c>
    </row>
    <row r="19" spans="3:10" x14ac:dyDescent="0.25">
      <c r="C19" t="s">
        <v>154</v>
      </c>
      <c r="D19" t="s">
        <v>154</v>
      </c>
      <c r="G19" t="s">
        <v>154</v>
      </c>
      <c r="H19" t="s">
        <v>159</v>
      </c>
      <c r="I19" t="s">
        <v>154</v>
      </c>
      <c r="J19">
        <f>_xlfn.XLOOKUP(TABELA_CFTV_1[[#This Row],[DESCRIÇÃO]],'TABELA MÃE'!D:D,'TABELA MÃE'!B:B)</f>
        <v>0</v>
      </c>
    </row>
    <row r="20" spans="3:10" x14ac:dyDescent="0.25">
      <c r="C20" t="s">
        <v>154</v>
      </c>
      <c r="D20" t="s">
        <v>154</v>
      </c>
      <c r="G20" t="s">
        <v>154</v>
      </c>
      <c r="H20" t="s">
        <v>159</v>
      </c>
      <c r="I20" t="s">
        <v>154</v>
      </c>
      <c r="J20">
        <f>_xlfn.XLOOKUP(TABELA_CFTV_1[[#This Row],[DESCRIÇÃO]],'TABELA MÃE'!D:D,'TABELA MÃE'!B:B)</f>
        <v>0</v>
      </c>
    </row>
    <row r="21" spans="3:10" x14ac:dyDescent="0.25">
      <c r="C21" t="s">
        <v>154</v>
      </c>
      <c r="D21" t="s">
        <v>154</v>
      </c>
      <c r="G21" t="s">
        <v>154</v>
      </c>
      <c r="H21" t="s">
        <v>159</v>
      </c>
      <c r="I21" t="s">
        <v>154</v>
      </c>
      <c r="J21">
        <f>_xlfn.XLOOKUP(TABELA_CFTV_1[[#This Row],[DESCRIÇÃO]],'TABELA MÃE'!D:D,'TABELA MÃE'!B:B)</f>
        <v>0</v>
      </c>
    </row>
    <row r="22" spans="3:10" x14ac:dyDescent="0.25">
      <c r="C22" t="s">
        <v>154</v>
      </c>
      <c r="D22" t="s">
        <v>154</v>
      </c>
      <c r="G22" t="s">
        <v>154</v>
      </c>
      <c r="H22" t="s">
        <v>159</v>
      </c>
      <c r="I22" t="s">
        <v>154</v>
      </c>
      <c r="J22">
        <f>_xlfn.XLOOKUP(TABELA_CFTV_1[[#This Row],[DESCRIÇÃO]],'TABELA MÃE'!D:D,'TABELA MÃE'!B:B)</f>
        <v>0</v>
      </c>
    </row>
    <row r="23" spans="3:10" x14ac:dyDescent="0.25">
      <c r="C23" t="s">
        <v>154</v>
      </c>
      <c r="D23" t="s">
        <v>154</v>
      </c>
      <c r="G23" t="s">
        <v>154</v>
      </c>
      <c r="H23" t="s">
        <v>159</v>
      </c>
      <c r="I23" t="s">
        <v>154</v>
      </c>
      <c r="J23">
        <f>_xlfn.XLOOKUP(TABELA_CFTV_1[[#This Row],[DESCRIÇÃO]],'TABELA MÃE'!D:D,'TABELA MÃE'!B:B)</f>
        <v>0</v>
      </c>
    </row>
    <row r="24" spans="3:10" x14ac:dyDescent="0.25">
      <c r="C24" t="s">
        <v>154</v>
      </c>
      <c r="D24" t="s">
        <v>154</v>
      </c>
      <c r="G24" t="s">
        <v>154</v>
      </c>
      <c r="H24" t="s">
        <v>159</v>
      </c>
      <c r="I24" t="s">
        <v>154</v>
      </c>
      <c r="J24">
        <f>_xlfn.XLOOKUP(TABELA_CFTV_1[[#This Row],[DESCRIÇÃO]],'TABELA MÃE'!D:D,'TABELA MÃE'!B:B)</f>
        <v>0</v>
      </c>
    </row>
    <row r="25" spans="3:10" x14ac:dyDescent="0.25">
      <c r="C25" t="s">
        <v>154</v>
      </c>
      <c r="D25" t="s">
        <v>154</v>
      </c>
      <c r="G25" t="s">
        <v>154</v>
      </c>
      <c r="H25" t="s">
        <v>159</v>
      </c>
      <c r="I25" t="s">
        <v>154</v>
      </c>
      <c r="J25">
        <f>_xlfn.XLOOKUP(TABELA_CFTV_1[[#This Row],[DESCRIÇÃO]],'TABELA MÃE'!D:D,'TABELA MÃE'!B:B)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19B4C-87BE-4FBA-9757-A91B4BE5A5EA}">
  <sheetPr codeName="Planilha20"/>
  <dimension ref="A1:J25"/>
  <sheetViews>
    <sheetView workbookViewId="0"/>
  </sheetViews>
  <sheetFormatPr defaultRowHeight="15" x14ac:dyDescent="0.25"/>
  <cols>
    <col min="1" max="1" width="7.140625" bestFit="1" customWidth="1"/>
    <col min="2" max="2" width="13.140625" bestFit="1" customWidth="1"/>
    <col min="3" max="3" width="27.28515625" bestFit="1" customWidth="1"/>
    <col min="4" max="4" width="6.28515625" bestFit="1" customWidth="1"/>
    <col min="5" max="6" width="7.28515625" bestFit="1" customWidth="1"/>
    <col min="7" max="7" width="17.42578125" bestFit="1" customWidth="1"/>
    <col min="8" max="8" width="16.7109375" bestFit="1" customWidth="1"/>
    <col min="9" max="9" width="22.28515625" bestFit="1" customWidth="1"/>
    <col min="10" max="10" width="14" bestFit="1" customWidth="1"/>
  </cols>
  <sheetData>
    <row r="1" spans="1:10" x14ac:dyDescent="0.25">
      <c r="A1" t="s">
        <v>8</v>
      </c>
      <c r="B1" t="s">
        <v>9</v>
      </c>
      <c r="C1" t="s">
        <v>29</v>
      </c>
      <c r="D1" t="s">
        <v>30</v>
      </c>
      <c r="E1" t="s">
        <v>31</v>
      </c>
      <c r="F1" t="s">
        <v>32</v>
      </c>
      <c r="G1" t="s">
        <v>49</v>
      </c>
      <c r="H1" t="s">
        <v>144</v>
      </c>
      <c r="I1" t="s">
        <v>33</v>
      </c>
      <c r="J1" t="s">
        <v>158</v>
      </c>
    </row>
    <row r="2" spans="1:10" x14ac:dyDescent="0.25">
      <c r="C2" t="s">
        <v>154</v>
      </c>
      <c r="D2" t="s">
        <v>154</v>
      </c>
      <c r="G2" t="s">
        <v>154</v>
      </c>
      <c r="H2" t="s">
        <v>159</v>
      </c>
      <c r="I2" t="s">
        <v>154</v>
      </c>
      <c r="J2">
        <f>_xlfn.XLOOKUP(TABELA_CIVIL_1[[#This Row],[DESCRIÇÃO]],'TABELA MÃE'!D:D,'TABELA MÃE'!B:B)</f>
        <v>0</v>
      </c>
    </row>
    <row r="3" spans="1:10" x14ac:dyDescent="0.25">
      <c r="C3" t="s">
        <v>154</v>
      </c>
      <c r="D3" t="s">
        <v>154</v>
      </c>
      <c r="G3" t="s">
        <v>154</v>
      </c>
      <c r="H3" t="s">
        <v>159</v>
      </c>
      <c r="I3" t="s">
        <v>154</v>
      </c>
      <c r="J3">
        <f>_xlfn.XLOOKUP(TABELA_CIVIL_1[[#This Row],[DESCRIÇÃO]],'TABELA MÃE'!D:D,'TABELA MÃE'!B:B)</f>
        <v>0</v>
      </c>
    </row>
    <row r="4" spans="1:10" x14ac:dyDescent="0.25">
      <c r="C4" t="s">
        <v>154</v>
      </c>
      <c r="D4" t="s">
        <v>154</v>
      </c>
      <c r="G4" t="s">
        <v>154</v>
      </c>
      <c r="H4" t="s">
        <v>159</v>
      </c>
      <c r="I4" t="s">
        <v>154</v>
      </c>
      <c r="J4">
        <f>_xlfn.XLOOKUP(TABELA_CIVIL_1[[#This Row],[DESCRIÇÃO]],'TABELA MÃE'!D:D,'TABELA MÃE'!B:B)</f>
        <v>0</v>
      </c>
    </row>
    <row r="5" spans="1:10" x14ac:dyDescent="0.25">
      <c r="C5" t="s">
        <v>154</v>
      </c>
      <c r="D5" t="s">
        <v>154</v>
      </c>
      <c r="G5" t="s">
        <v>154</v>
      </c>
      <c r="H5" t="s">
        <v>159</v>
      </c>
      <c r="I5" t="s">
        <v>154</v>
      </c>
      <c r="J5">
        <f>_xlfn.XLOOKUP(TABELA_CIVIL_1[[#This Row],[DESCRIÇÃO]],'TABELA MÃE'!D:D,'TABELA MÃE'!B:B)</f>
        <v>0</v>
      </c>
    </row>
    <row r="6" spans="1:10" x14ac:dyDescent="0.25">
      <c r="C6" t="s">
        <v>154</v>
      </c>
      <c r="D6" t="s">
        <v>154</v>
      </c>
      <c r="G6" t="s">
        <v>154</v>
      </c>
      <c r="H6" t="s">
        <v>159</v>
      </c>
      <c r="I6" t="s">
        <v>154</v>
      </c>
      <c r="J6">
        <f>_xlfn.XLOOKUP(TABELA_CIVIL_1[[#This Row],[DESCRIÇÃO]],'TABELA MÃE'!D:D,'TABELA MÃE'!B:B)</f>
        <v>0</v>
      </c>
    </row>
    <row r="7" spans="1:10" x14ac:dyDescent="0.25">
      <c r="C7" t="s">
        <v>154</v>
      </c>
      <c r="D7" t="s">
        <v>154</v>
      </c>
      <c r="G7" t="s">
        <v>154</v>
      </c>
      <c r="H7" t="s">
        <v>159</v>
      </c>
      <c r="I7" t="s">
        <v>154</v>
      </c>
      <c r="J7">
        <f>_xlfn.XLOOKUP(TABELA_CIVIL_1[[#This Row],[DESCRIÇÃO]],'TABELA MÃE'!D:D,'TABELA MÃE'!B:B)</f>
        <v>0</v>
      </c>
    </row>
    <row r="8" spans="1:10" x14ac:dyDescent="0.25">
      <c r="C8" t="s">
        <v>154</v>
      </c>
      <c r="D8" t="s">
        <v>154</v>
      </c>
      <c r="G8" t="s">
        <v>154</v>
      </c>
      <c r="H8" t="s">
        <v>159</v>
      </c>
      <c r="I8" t="s">
        <v>154</v>
      </c>
      <c r="J8">
        <f>_xlfn.XLOOKUP(TABELA_CIVIL_1[[#This Row],[DESCRIÇÃO]],'TABELA MÃE'!D:D,'TABELA MÃE'!B:B)</f>
        <v>0</v>
      </c>
    </row>
    <row r="9" spans="1:10" x14ac:dyDescent="0.25">
      <c r="C9" t="s">
        <v>154</v>
      </c>
      <c r="D9" t="s">
        <v>154</v>
      </c>
      <c r="G9" t="s">
        <v>154</v>
      </c>
      <c r="H9" t="s">
        <v>159</v>
      </c>
      <c r="I9" t="s">
        <v>154</v>
      </c>
      <c r="J9">
        <f>_xlfn.XLOOKUP(TABELA_CIVIL_1[[#This Row],[DESCRIÇÃO]],'TABELA MÃE'!D:D,'TABELA MÃE'!B:B)</f>
        <v>0</v>
      </c>
    </row>
    <row r="10" spans="1:10" x14ac:dyDescent="0.25">
      <c r="C10" t="s">
        <v>154</v>
      </c>
      <c r="D10" t="s">
        <v>154</v>
      </c>
      <c r="G10" t="s">
        <v>154</v>
      </c>
      <c r="H10" t="s">
        <v>159</v>
      </c>
      <c r="I10" t="s">
        <v>154</v>
      </c>
      <c r="J10">
        <f>_xlfn.XLOOKUP(TABELA_CIVIL_1[[#This Row],[DESCRIÇÃO]],'TABELA MÃE'!D:D,'TABELA MÃE'!B:B)</f>
        <v>0</v>
      </c>
    </row>
    <row r="11" spans="1:10" x14ac:dyDescent="0.25">
      <c r="C11" t="s">
        <v>154</v>
      </c>
      <c r="D11" t="s">
        <v>154</v>
      </c>
      <c r="G11" t="s">
        <v>154</v>
      </c>
      <c r="H11" t="s">
        <v>159</v>
      </c>
      <c r="I11" t="s">
        <v>154</v>
      </c>
      <c r="J11">
        <f>_xlfn.XLOOKUP(TABELA_CIVIL_1[[#This Row],[DESCRIÇÃO]],'TABELA MÃE'!D:D,'TABELA MÃE'!B:B)</f>
        <v>0</v>
      </c>
    </row>
    <row r="12" spans="1:10" x14ac:dyDescent="0.25">
      <c r="C12" t="s">
        <v>154</v>
      </c>
      <c r="D12" t="s">
        <v>154</v>
      </c>
      <c r="G12" t="s">
        <v>154</v>
      </c>
      <c r="H12" t="s">
        <v>159</v>
      </c>
      <c r="I12" t="s">
        <v>154</v>
      </c>
      <c r="J12">
        <f>_xlfn.XLOOKUP(TABELA_CIVIL_1[[#This Row],[DESCRIÇÃO]],'TABELA MÃE'!D:D,'TABELA MÃE'!B:B)</f>
        <v>0</v>
      </c>
    </row>
    <row r="13" spans="1:10" x14ac:dyDescent="0.25">
      <c r="C13" t="s">
        <v>154</v>
      </c>
      <c r="D13" t="s">
        <v>154</v>
      </c>
      <c r="G13" t="s">
        <v>154</v>
      </c>
      <c r="H13" t="s">
        <v>159</v>
      </c>
      <c r="I13" t="s">
        <v>154</v>
      </c>
      <c r="J13">
        <f>_xlfn.XLOOKUP(TABELA_CIVIL_1[[#This Row],[DESCRIÇÃO]],'TABELA MÃE'!D:D,'TABELA MÃE'!B:B)</f>
        <v>0</v>
      </c>
    </row>
    <row r="14" spans="1:10" x14ac:dyDescent="0.25">
      <c r="C14" t="s">
        <v>154</v>
      </c>
      <c r="D14" t="s">
        <v>154</v>
      </c>
      <c r="G14" t="s">
        <v>154</v>
      </c>
      <c r="H14" t="s">
        <v>159</v>
      </c>
      <c r="I14" t="s">
        <v>154</v>
      </c>
      <c r="J14">
        <f>_xlfn.XLOOKUP(TABELA_CIVIL_1[[#This Row],[DESCRIÇÃO]],'TABELA MÃE'!D:D,'TABELA MÃE'!B:B)</f>
        <v>0</v>
      </c>
    </row>
    <row r="15" spans="1:10" x14ac:dyDescent="0.25">
      <c r="C15" t="s">
        <v>154</v>
      </c>
      <c r="D15" t="s">
        <v>154</v>
      </c>
      <c r="G15" t="s">
        <v>154</v>
      </c>
      <c r="H15" t="s">
        <v>159</v>
      </c>
      <c r="I15" t="s">
        <v>154</v>
      </c>
      <c r="J15">
        <f>_xlfn.XLOOKUP(TABELA_CIVIL_1[[#This Row],[DESCRIÇÃO]],'TABELA MÃE'!D:D,'TABELA MÃE'!B:B)</f>
        <v>0</v>
      </c>
    </row>
    <row r="16" spans="1:10" x14ac:dyDescent="0.25">
      <c r="C16" t="s">
        <v>154</v>
      </c>
      <c r="D16" t="s">
        <v>154</v>
      </c>
      <c r="G16" t="s">
        <v>154</v>
      </c>
      <c r="H16" t="s">
        <v>159</v>
      </c>
      <c r="I16" t="s">
        <v>154</v>
      </c>
      <c r="J16">
        <f>_xlfn.XLOOKUP(TABELA_CIVIL_1[[#This Row],[DESCRIÇÃO]],'TABELA MÃE'!D:D,'TABELA MÃE'!B:B)</f>
        <v>0</v>
      </c>
    </row>
    <row r="17" spans="3:10" x14ac:dyDescent="0.25">
      <c r="C17" t="s">
        <v>154</v>
      </c>
      <c r="D17" t="s">
        <v>154</v>
      </c>
      <c r="G17" t="s">
        <v>154</v>
      </c>
      <c r="H17" t="s">
        <v>159</v>
      </c>
      <c r="I17" t="s">
        <v>154</v>
      </c>
      <c r="J17">
        <f>_xlfn.XLOOKUP(TABELA_CIVIL_1[[#This Row],[DESCRIÇÃO]],'TABELA MÃE'!D:D,'TABELA MÃE'!B:B)</f>
        <v>0</v>
      </c>
    </row>
    <row r="18" spans="3:10" x14ac:dyDescent="0.25">
      <c r="C18" t="s">
        <v>154</v>
      </c>
      <c r="D18" t="s">
        <v>154</v>
      </c>
      <c r="G18" t="s">
        <v>154</v>
      </c>
      <c r="H18" t="s">
        <v>159</v>
      </c>
      <c r="I18" t="s">
        <v>154</v>
      </c>
      <c r="J18">
        <f>_xlfn.XLOOKUP(TABELA_CIVIL_1[[#This Row],[DESCRIÇÃO]],'TABELA MÃE'!D:D,'TABELA MÃE'!B:B)</f>
        <v>0</v>
      </c>
    </row>
    <row r="19" spans="3:10" x14ac:dyDescent="0.25">
      <c r="C19" t="s">
        <v>154</v>
      </c>
      <c r="D19" t="s">
        <v>154</v>
      </c>
      <c r="G19" t="s">
        <v>154</v>
      </c>
      <c r="H19" t="s">
        <v>159</v>
      </c>
      <c r="I19" t="s">
        <v>154</v>
      </c>
      <c r="J19">
        <f>_xlfn.XLOOKUP(TABELA_CIVIL_1[[#This Row],[DESCRIÇÃO]],'TABELA MÃE'!D:D,'TABELA MÃE'!B:B)</f>
        <v>0</v>
      </c>
    </row>
    <row r="20" spans="3:10" x14ac:dyDescent="0.25">
      <c r="C20" t="s">
        <v>154</v>
      </c>
      <c r="D20" t="s">
        <v>154</v>
      </c>
      <c r="G20" t="s">
        <v>154</v>
      </c>
      <c r="H20" t="s">
        <v>159</v>
      </c>
      <c r="I20" t="s">
        <v>154</v>
      </c>
      <c r="J20">
        <f>_xlfn.XLOOKUP(TABELA_CIVIL_1[[#This Row],[DESCRIÇÃO]],'TABELA MÃE'!D:D,'TABELA MÃE'!B:B)</f>
        <v>0</v>
      </c>
    </row>
    <row r="21" spans="3:10" x14ac:dyDescent="0.25">
      <c r="C21" t="s">
        <v>154</v>
      </c>
      <c r="D21" t="s">
        <v>154</v>
      </c>
      <c r="G21" t="s">
        <v>154</v>
      </c>
      <c r="H21" t="s">
        <v>159</v>
      </c>
      <c r="I21" t="s">
        <v>154</v>
      </c>
      <c r="J21">
        <f>_xlfn.XLOOKUP(TABELA_CIVIL_1[[#This Row],[DESCRIÇÃO]],'TABELA MÃE'!D:D,'TABELA MÃE'!B:B)</f>
        <v>0</v>
      </c>
    </row>
    <row r="22" spans="3:10" x14ac:dyDescent="0.25">
      <c r="C22" t="s">
        <v>154</v>
      </c>
      <c r="D22" t="s">
        <v>154</v>
      </c>
      <c r="G22" t="s">
        <v>154</v>
      </c>
      <c r="H22" t="s">
        <v>159</v>
      </c>
      <c r="I22" t="s">
        <v>154</v>
      </c>
      <c r="J22">
        <f>_xlfn.XLOOKUP(TABELA_CIVIL_1[[#This Row],[DESCRIÇÃO]],'TABELA MÃE'!D:D,'TABELA MÃE'!B:B)</f>
        <v>0</v>
      </c>
    </row>
    <row r="23" spans="3:10" x14ac:dyDescent="0.25">
      <c r="C23" t="s">
        <v>154</v>
      </c>
      <c r="D23" t="s">
        <v>154</v>
      </c>
      <c r="G23" t="s">
        <v>154</v>
      </c>
      <c r="H23" t="s">
        <v>159</v>
      </c>
      <c r="I23" t="s">
        <v>154</v>
      </c>
      <c r="J23">
        <f>_xlfn.XLOOKUP(TABELA_CIVIL_1[[#This Row],[DESCRIÇÃO]],'TABELA MÃE'!D:D,'TABELA MÃE'!B:B)</f>
        <v>0</v>
      </c>
    </row>
    <row r="24" spans="3:10" x14ac:dyDescent="0.25">
      <c r="C24" t="s">
        <v>154</v>
      </c>
      <c r="D24" t="s">
        <v>154</v>
      </c>
      <c r="G24" t="s">
        <v>154</v>
      </c>
      <c r="H24" t="s">
        <v>159</v>
      </c>
      <c r="I24" t="s">
        <v>154</v>
      </c>
      <c r="J24">
        <f>_xlfn.XLOOKUP(TABELA_CIVIL_1[[#This Row],[DESCRIÇÃO]],'TABELA MÃE'!D:D,'TABELA MÃE'!B:B)</f>
        <v>0</v>
      </c>
    </row>
    <row r="25" spans="3:10" x14ac:dyDescent="0.25">
      <c r="C25" t="s">
        <v>154</v>
      </c>
      <c r="D25" t="s">
        <v>154</v>
      </c>
      <c r="G25" t="s">
        <v>154</v>
      </c>
      <c r="H25" t="s">
        <v>159</v>
      </c>
      <c r="I25" t="s">
        <v>154</v>
      </c>
      <c r="J25">
        <f>_xlfn.XLOOKUP(TABELA_CIVIL_1[[#This Row],[DESCRIÇÃO]],'TABELA MÃE'!D:D,'TABELA MÃE'!B:B)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49642-74E7-4A81-A689-5FB5C2688E98}">
  <sheetPr codeName="Planilha21"/>
  <dimension ref="A1:J25"/>
  <sheetViews>
    <sheetView workbookViewId="0"/>
  </sheetViews>
  <sheetFormatPr defaultRowHeight="15" x14ac:dyDescent="0.25"/>
  <cols>
    <col min="1" max="1" width="7.140625" bestFit="1" customWidth="1"/>
    <col min="2" max="2" width="13.140625" bestFit="1" customWidth="1"/>
    <col min="3" max="3" width="27.28515625" bestFit="1" customWidth="1"/>
    <col min="4" max="4" width="6.28515625" bestFit="1" customWidth="1"/>
    <col min="5" max="6" width="7.28515625" bestFit="1" customWidth="1"/>
    <col min="7" max="7" width="17.42578125" bestFit="1" customWidth="1"/>
    <col min="8" max="8" width="16.7109375" bestFit="1" customWidth="1"/>
    <col min="9" max="9" width="22.28515625" bestFit="1" customWidth="1"/>
    <col min="10" max="10" width="14" bestFit="1" customWidth="1"/>
  </cols>
  <sheetData>
    <row r="1" spans="1:10" x14ac:dyDescent="0.25">
      <c r="A1" t="s">
        <v>8</v>
      </c>
      <c r="B1" t="s">
        <v>9</v>
      </c>
      <c r="C1" t="s">
        <v>29</v>
      </c>
      <c r="D1" t="s">
        <v>30</v>
      </c>
      <c r="E1" t="s">
        <v>31</v>
      </c>
      <c r="F1" t="s">
        <v>32</v>
      </c>
      <c r="G1" t="s">
        <v>49</v>
      </c>
      <c r="H1" t="s">
        <v>144</v>
      </c>
      <c r="I1" t="s">
        <v>33</v>
      </c>
      <c r="J1" t="s">
        <v>158</v>
      </c>
    </row>
    <row r="2" spans="1:10" x14ac:dyDescent="0.25">
      <c r="C2" t="s">
        <v>154</v>
      </c>
      <c r="D2" t="s">
        <v>154</v>
      </c>
      <c r="G2" t="s">
        <v>154</v>
      </c>
      <c r="H2" t="s">
        <v>159</v>
      </c>
      <c r="I2" t="s">
        <v>154</v>
      </c>
      <c r="J2">
        <f>_xlfn.XLOOKUP(TABELA_MISCELÂNEA_1[[#This Row],[DESCRIÇÃO]],'TABELA MÃE'!D:D,'TABELA MÃE'!B:B)</f>
        <v>0</v>
      </c>
    </row>
    <row r="3" spans="1:10" x14ac:dyDescent="0.25">
      <c r="C3" t="s">
        <v>154</v>
      </c>
      <c r="D3" t="s">
        <v>154</v>
      </c>
      <c r="G3" t="s">
        <v>154</v>
      </c>
      <c r="H3" t="s">
        <v>159</v>
      </c>
      <c r="I3" t="s">
        <v>154</v>
      </c>
      <c r="J3">
        <f>_xlfn.XLOOKUP(TABELA_MISCELÂNEA_1[[#This Row],[DESCRIÇÃO]],'TABELA MÃE'!D:D,'TABELA MÃE'!B:B)</f>
        <v>0</v>
      </c>
    </row>
    <row r="4" spans="1:10" x14ac:dyDescent="0.25">
      <c r="C4" t="s">
        <v>154</v>
      </c>
      <c r="D4" t="s">
        <v>154</v>
      </c>
      <c r="G4" t="s">
        <v>154</v>
      </c>
      <c r="H4" t="s">
        <v>159</v>
      </c>
      <c r="I4" t="s">
        <v>154</v>
      </c>
      <c r="J4">
        <f>_xlfn.XLOOKUP(TABELA_MISCELÂNEA_1[[#This Row],[DESCRIÇÃO]],'TABELA MÃE'!D:D,'TABELA MÃE'!B:B)</f>
        <v>0</v>
      </c>
    </row>
    <row r="5" spans="1:10" x14ac:dyDescent="0.25">
      <c r="C5" t="s">
        <v>154</v>
      </c>
      <c r="D5" t="s">
        <v>154</v>
      </c>
      <c r="G5" t="s">
        <v>154</v>
      </c>
      <c r="H5" t="s">
        <v>159</v>
      </c>
      <c r="I5" t="s">
        <v>154</v>
      </c>
      <c r="J5">
        <f>_xlfn.XLOOKUP(TABELA_MISCELÂNEA_1[[#This Row],[DESCRIÇÃO]],'TABELA MÃE'!D:D,'TABELA MÃE'!B:B)</f>
        <v>0</v>
      </c>
    </row>
    <row r="6" spans="1:10" x14ac:dyDescent="0.25">
      <c r="C6" t="s">
        <v>154</v>
      </c>
      <c r="D6" t="s">
        <v>154</v>
      </c>
      <c r="G6" t="s">
        <v>154</v>
      </c>
      <c r="H6" t="s">
        <v>159</v>
      </c>
      <c r="I6" t="s">
        <v>154</v>
      </c>
      <c r="J6">
        <f>_xlfn.XLOOKUP(TABELA_MISCELÂNEA_1[[#This Row],[DESCRIÇÃO]],'TABELA MÃE'!D:D,'TABELA MÃE'!B:B)</f>
        <v>0</v>
      </c>
    </row>
    <row r="7" spans="1:10" x14ac:dyDescent="0.25">
      <c r="C7" t="s">
        <v>154</v>
      </c>
      <c r="D7" t="s">
        <v>154</v>
      </c>
      <c r="G7" t="s">
        <v>154</v>
      </c>
      <c r="H7" t="s">
        <v>159</v>
      </c>
      <c r="I7" t="s">
        <v>154</v>
      </c>
      <c r="J7">
        <f>_xlfn.XLOOKUP(TABELA_MISCELÂNEA_1[[#This Row],[DESCRIÇÃO]],'TABELA MÃE'!D:D,'TABELA MÃE'!B:B)</f>
        <v>0</v>
      </c>
    </row>
    <row r="8" spans="1:10" x14ac:dyDescent="0.25">
      <c r="C8" t="s">
        <v>154</v>
      </c>
      <c r="D8" t="s">
        <v>154</v>
      </c>
      <c r="G8" t="s">
        <v>154</v>
      </c>
      <c r="H8" t="s">
        <v>159</v>
      </c>
      <c r="I8" t="s">
        <v>154</v>
      </c>
      <c r="J8">
        <f>_xlfn.XLOOKUP(TABELA_MISCELÂNEA_1[[#This Row],[DESCRIÇÃO]],'TABELA MÃE'!D:D,'TABELA MÃE'!B:B)</f>
        <v>0</v>
      </c>
    </row>
    <row r="9" spans="1:10" x14ac:dyDescent="0.25">
      <c r="C9" t="s">
        <v>154</v>
      </c>
      <c r="D9" t="s">
        <v>154</v>
      </c>
      <c r="G9" t="s">
        <v>154</v>
      </c>
      <c r="H9" t="s">
        <v>159</v>
      </c>
      <c r="I9" t="s">
        <v>154</v>
      </c>
      <c r="J9">
        <f>_xlfn.XLOOKUP(TABELA_MISCELÂNEA_1[[#This Row],[DESCRIÇÃO]],'TABELA MÃE'!D:D,'TABELA MÃE'!B:B)</f>
        <v>0</v>
      </c>
    </row>
    <row r="10" spans="1:10" x14ac:dyDescent="0.25">
      <c r="C10" t="s">
        <v>154</v>
      </c>
      <c r="D10" t="s">
        <v>154</v>
      </c>
      <c r="G10" t="s">
        <v>154</v>
      </c>
      <c r="H10" t="s">
        <v>159</v>
      </c>
      <c r="I10" t="s">
        <v>154</v>
      </c>
      <c r="J10">
        <f>_xlfn.XLOOKUP(TABELA_MISCELÂNEA_1[[#This Row],[DESCRIÇÃO]],'TABELA MÃE'!D:D,'TABELA MÃE'!B:B)</f>
        <v>0</v>
      </c>
    </row>
    <row r="11" spans="1:10" x14ac:dyDescent="0.25">
      <c r="C11" t="s">
        <v>154</v>
      </c>
      <c r="D11" t="s">
        <v>154</v>
      </c>
      <c r="G11" t="s">
        <v>154</v>
      </c>
      <c r="H11" t="s">
        <v>159</v>
      </c>
      <c r="I11" t="s">
        <v>154</v>
      </c>
      <c r="J11">
        <f>_xlfn.XLOOKUP(TABELA_MISCELÂNEA_1[[#This Row],[DESCRIÇÃO]],'TABELA MÃE'!D:D,'TABELA MÃE'!B:B)</f>
        <v>0</v>
      </c>
    </row>
    <row r="12" spans="1:10" x14ac:dyDescent="0.25">
      <c r="C12" t="s">
        <v>154</v>
      </c>
      <c r="D12" t="s">
        <v>154</v>
      </c>
      <c r="G12" t="s">
        <v>154</v>
      </c>
      <c r="H12" t="s">
        <v>159</v>
      </c>
      <c r="I12" t="s">
        <v>154</v>
      </c>
      <c r="J12">
        <f>_xlfn.XLOOKUP(TABELA_MISCELÂNEA_1[[#This Row],[DESCRIÇÃO]],'TABELA MÃE'!D:D,'TABELA MÃE'!B:B)</f>
        <v>0</v>
      </c>
    </row>
    <row r="13" spans="1:10" x14ac:dyDescent="0.25">
      <c r="C13" t="s">
        <v>154</v>
      </c>
      <c r="D13" t="s">
        <v>154</v>
      </c>
      <c r="G13" t="s">
        <v>154</v>
      </c>
      <c r="H13" t="s">
        <v>159</v>
      </c>
      <c r="I13" t="s">
        <v>154</v>
      </c>
      <c r="J13">
        <f>_xlfn.XLOOKUP(TABELA_MISCELÂNEA_1[[#This Row],[DESCRIÇÃO]],'TABELA MÃE'!D:D,'TABELA MÃE'!B:B)</f>
        <v>0</v>
      </c>
    </row>
    <row r="14" spans="1:10" x14ac:dyDescent="0.25">
      <c r="C14" t="s">
        <v>154</v>
      </c>
      <c r="D14" t="s">
        <v>154</v>
      </c>
      <c r="G14" t="s">
        <v>154</v>
      </c>
      <c r="H14" t="s">
        <v>159</v>
      </c>
      <c r="I14" t="s">
        <v>154</v>
      </c>
      <c r="J14">
        <f>_xlfn.XLOOKUP(TABELA_MISCELÂNEA_1[[#This Row],[DESCRIÇÃO]],'TABELA MÃE'!D:D,'TABELA MÃE'!B:B)</f>
        <v>0</v>
      </c>
    </row>
    <row r="15" spans="1:10" x14ac:dyDescent="0.25">
      <c r="C15" t="s">
        <v>154</v>
      </c>
      <c r="D15" t="s">
        <v>154</v>
      </c>
      <c r="G15" t="s">
        <v>154</v>
      </c>
      <c r="H15" t="s">
        <v>159</v>
      </c>
      <c r="I15" t="s">
        <v>154</v>
      </c>
      <c r="J15">
        <f>_xlfn.XLOOKUP(TABELA_MISCELÂNEA_1[[#This Row],[DESCRIÇÃO]],'TABELA MÃE'!D:D,'TABELA MÃE'!B:B)</f>
        <v>0</v>
      </c>
    </row>
    <row r="16" spans="1:10" x14ac:dyDescent="0.25">
      <c r="C16" t="s">
        <v>154</v>
      </c>
      <c r="D16" t="s">
        <v>154</v>
      </c>
      <c r="G16" t="s">
        <v>154</v>
      </c>
      <c r="H16" t="s">
        <v>159</v>
      </c>
      <c r="I16" t="s">
        <v>154</v>
      </c>
      <c r="J16">
        <f>_xlfn.XLOOKUP(TABELA_MISCELÂNEA_1[[#This Row],[DESCRIÇÃO]],'TABELA MÃE'!D:D,'TABELA MÃE'!B:B)</f>
        <v>0</v>
      </c>
    </row>
    <row r="17" spans="3:10" x14ac:dyDescent="0.25">
      <c r="C17" t="s">
        <v>154</v>
      </c>
      <c r="D17" t="s">
        <v>154</v>
      </c>
      <c r="G17" t="s">
        <v>154</v>
      </c>
      <c r="H17" t="s">
        <v>159</v>
      </c>
      <c r="I17" t="s">
        <v>154</v>
      </c>
      <c r="J17">
        <f>_xlfn.XLOOKUP(TABELA_MISCELÂNEA_1[[#This Row],[DESCRIÇÃO]],'TABELA MÃE'!D:D,'TABELA MÃE'!B:B)</f>
        <v>0</v>
      </c>
    </row>
    <row r="18" spans="3:10" x14ac:dyDescent="0.25">
      <c r="C18" t="s">
        <v>154</v>
      </c>
      <c r="D18" t="s">
        <v>154</v>
      </c>
      <c r="G18" t="s">
        <v>154</v>
      </c>
      <c r="H18" t="s">
        <v>159</v>
      </c>
      <c r="I18" t="s">
        <v>154</v>
      </c>
      <c r="J18">
        <f>_xlfn.XLOOKUP(TABELA_MISCELÂNEA_1[[#This Row],[DESCRIÇÃO]],'TABELA MÃE'!D:D,'TABELA MÃE'!B:B)</f>
        <v>0</v>
      </c>
    </row>
    <row r="19" spans="3:10" x14ac:dyDescent="0.25">
      <c r="C19" t="s">
        <v>154</v>
      </c>
      <c r="D19" t="s">
        <v>154</v>
      </c>
      <c r="G19" t="s">
        <v>154</v>
      </c>
      <c r="H19" t="s">
        <v>159</v>
      </c>
      <c r="I19" t="s">
        <v>154</v>
      </c>
      <c r="J19">
        <f>_xlfn.XLOOKUP(TABELA_MISCELÂNEA_1[[#This Row],[DESCRIÇÃO]],'TABELA MÃE'!D:D,'TABELA MÃE'!B:B)</f>
        <v>0</v>
      </c>
    </row>
    <row r="20" spans="3:10" x14ac:dyDescent="0.25">
      <c r="C20" t="s">
        <v>154</v>
      </c>
      <c r="D20" t="s">
        <v>154</v>
      </c>
      <c r="G20" t="s">
        <v>154</v>
      </c>
      <c r="H20" t="s">
        <v>159</v>
      </c>
      <c r="I20" t="s">
        <v>154</v>
      </c>
      <c r="J20">
        <f>_xlfn.XLOOKUP(TABELA_MISCELÂNEA_1[[#This Row],[DESCRIÇÃO]],'TABELA MÃE'!D:D,'TABELA MÃE'!B:B)</f>
        <v>0</v>
      </c>
    </row>
    <row r="21" spans="3:10" x14ac:dyDescent="0.25">
      <c r="C21" t="s">
        <v>154</v>
      </c>
      <c r="D21" t="s">
        <v>154</v>
      </c>
      <c r="G21" t="s">
        <v>154</v>
      </c>
      <c r="H21" t="s">
        <v>159</v>
      </c>
      <c r="I21" t="s">
        <v>154</v>
      </c>
      <c r="J21">
        <f>_xlfn.XLOOKUP(TABELA_MISCELÂNEA_1[[#This Row],[DESCRIÇÃO]],'TABELA MÃE'!D:D,'TABELA MÃE'!B:B)</f>
        <v>0</v>
      </c>
    </row>
    <row r="22" spans="3:10" x14ac:dyDescent="0.25">
      <c r="C22" t="s">
        <v>154</v>
      </c>
      <c r="D22" t="s">
        <v>154</v>
      </c>
      <c r="G22" t="s">
        <v>154</v>
      </c>
      <c r="H22" t="s">
        <v>159</v>
      </c>
      <c r="I22" t="s">
        <v>154</v>
      </c>
      <c r="J22">
        <f>_xlfn.XLOOKUP(TABELA_MISCELÂNEA_1[[#This Row],[DESCRIÇÃO]],'TABELA MÃE'!D:D,'TABELA MÃE'!B:B)</f>
        <v>0</v>
      </c>
    </row>
    <row r="23" spans="3:10" x14ac:dyDescent="0.25">
      <c r="C23" t="s">
        <v>154</v>
      </c>
      <c r="D23" t="s">
        <v>154</v>
      </c>
      <c r="G23" t="s">
        <v>154</v>
      </c>
      <c r="H23" t="s">
        <v>159</v>
      </c>
      <c r="I23" t="s">
        <v>154</v>
      </c>
      <c r="J23">
        <f>_xlfn.XLOOKUP(TABELA_MISCELÂNEA_1[[#This Row],[DESCRIÇÃO]],'TABELA MÃE'!D:D,'TABELA MÃE'!B:B)</f>
        <v>0</v>
      </c>
    </row>
    <row r="24" spans="3:10" x14ac:dyDescent="0.25">
      <c r="C24" t="s">
        <v>154</v>
      </c>
      <c r="D24" t="s">
        <v>154</v>
      </c>
      <c r="G24" t="s">
        <v>154</v>
      </c>
      <c r="H24" t="s">
        <v>159</v>
      </c>
      <c r="I24" t="s">
        <v>154</v>
      </c>
      <c r="J24">
        <f>_xlfn.XLOOKUP(TABELA_MISCELÂNEA_1[[#This Row],[DESCRIÇÃO]],'TABELA MÃE'!D:D,'TABELA MÃE'!B:B)</f>
        <v>0</v>
      </c>
    </row>
    <row r="25" spans="3:10" x14ac:dyDescent="0.25">
      <c r="C25" t="s">
        <v>154</v>
      </c>
      <c r="D25" t="s">
        <v>154</v>
      </c>
      <c r="G25" t="s">
        <v>154</v>
      </c>
      <c r="H25" t="s">
        <v>159</v>
      </c>
      <c r="I25" t="s">
        <v>154</v>
      </c>
      <c r="J25">
        <f>_xlfn.XLOOKUP(TABELA_MISCELÂNEA_1[[#This Row],[DESCRIÇÃO]],'TABELA MÃE'!D:D,'TABELA MÃE'!B:B)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BEBB7-D505-4946-873B-4B9D47AD28A1}">
  <sheetPr codeName="Planilha22"/>
  <dimension ref="A1:J25"/>
  <sheetViews>
    <sheetView workbookViewId="0"/>
  </sheetViews>
  <sheetFormatPr defaultRowHeight="15" x14ac:dyDescent="0.25"/>
  <cols>
    <col min="1" max="1" width="7.140625" bestFit="1" customWidth="1"/>
    <col min="2" max="2" width="13.140625" bestFit="1" customWidth="1"/>
    <col min="3" max="3" width="27.28515625" bestFit="1" customWidth="1"/>
    <col min="4" max="4" width="6.28515625" bestFit="1" customWidth="1"/>
    <col min="5" max="6" width="7.28515625" bestFit="1" customWidth="1"/>
    <col min="7" max="7" width="17.42578125" bestFit="1" customWidth="1"/>
    <col min="8" max="8" width="16.7109375" bestFit="1" customWidth="1"/>
    <col min="9" max="9" width="22.28515625" bestFit="1" customWidth="1"/>
    <col min="10" max="10" width="14" bestFit="1" customWidth="1"/>
  </cols>
  <sheetData>
    <row r="1" spans="1:10" x14ac:dyDescent="0.25">
      <c r="A1" t="s">
        <v>8</v>
      </c>
      <c r="B1" t="s">
        <v>9</v>
      </c>
      <c r="C1" t="s">
        <v>29</v>
      </c>
      <c r="D1" t="s">
        <v>30</v>
      </c>
      <c r="E1" t="s">
        <v>31</v>
      </c>
      <c r="F1" t="s">
        <v>32</v>
      </c>
      <c r="G1" t="s">
        <v>49</v>
      </c>
      <c r="H1" t="s">
        <v>144</v>
      </c>
      <c r="I1" t="s">
        <v>33</v>
      </c>
      <c r="J1" t="s">
        <v>158</v>
      </c>
    </row>
    <row r="2" spans="1:10" x14ac:dyDescent="0.25">
      <c r="C2" t="s">
        <v>154</v>
      </c>
      <c r="D2" t="s">
        <v>154</v>
      </c>
      <c r="G2" t="s">
        <v>154</v>
      </c>
      <c r="H2" t="s">
        <v>159</v>
      </c>
      <c r="I2" t="s">
        <v>154</v>
      </c>
      <c r="J2">
        <f>_xlfn.XLOOKUP(TABELA_PPCI_1[[#This Row],[DESCRIÇÃO]],'TABELA MÃE'!D:D,'TABELA MÃE'!B:B)</f>
        <v>0</v>
      </c>
    </row>
    <row r="3" spans="1:10" x14ac:dyDescent="0.25">
      <c r="C3" t="s">
        <v>154</v>
      </c>
      <c r="D3" t="s">
        <v>154</v>
      </c>
      <c r="G3" t="s">
        <v>154</v>
      </c>
      <c r="H3" t="s">
        <v>159</v>
      </c>
      <c r="I3" t="s">
        <v>154</v>
      </c>
      <c r="J3">
        <f>_xlfn.XLOOKUP(TABELA_PPCI_1[[#This Row],[DESCRIÇÃO]],'TABELA MÃE'!D:D,'TABELA MÃE'!B:B)</f>
        <v>0</v>
      </c>
    </row>
    <row r="4" spans="1:10" x14ac:dyDescent="0.25">
      <c r="C4" t="s">
        <v>154</v>
      </c>
      <c r="D4" t="s">
        <v>154</v>
      </c>
      <c r="G4" t="s">
        <v>154</v>
      </c>
      <c r="H4" t="s">
        <v>159</v>
      </c>
      <c r="I4" t="s">
        <v>154</v>
      </c>
      <c r="J4">
        <f>_xlfn.XLOOKUP(TABELA_PPCI_1[[#This Row],[DESCRIÇÃO]],'TABELA MÃE'!D:D,'TABELA MÃE'!B:B)</f>
        <v>0</v>
      </c>
    </row>
    <row r="5" spans="1:10" x14ac:dyDescent="0.25">
      <c r="C5" t="s">
        <v>154</v>
      </c>
      <c r="D5" t="s">
        <v>154</v>
      </c>
      <c r="G5" t="s">
        <v>154</v>
      </c>
      <c r="H5" t="s">
        <v>159</v>
      </c>
      <c r="I5" t="s">
        <v>154</v>
      </c>
      <c r="J5">
        <f>_xlfn.XLOOKUP(TABELA_PPCI_1[[#This Row],[DESCRIÇÃO]],'TABELA MÃE'!D:D,'TABELA MÃE'!B:B)</f>
        <v>0</v>
      </c>
    </row>
    <row r="6" spans="1:10" x14ac:dyDescent="0.25">
      <c r="C6" t="s">
        <v>154</v>
      </c>
      <c r="D6" t="s">
        <v>154</v>
      </c>
      <c r="G6" t="s">
        <v>154</v>
      </c>
      <c r="H6" t="s">
        <v>159</v>
      </c>
      <c r="I6" t="s">
        <v>154</v>
      </c>
      <c r="J6">
        <f>_xlfn.XLOOKUP(TABELA_PPCI_1[[#This Row],[DESCRIÇÃO]],'TABELA MÃE'!D:D,'TABELA MÃE'!B:B)</f>
        <v>0</v>
      </c>
    </row>
    <row r="7" spans="1:10" x14ac:dyDescent="0.25">
      <c r="C7" t="s">
        <v>154</v>
      </c>
      <c r="D7" t="s">
        <v>154</v>
      </c>
      <c r="G7" t="s">
        <v>154</v>
      </c>
      <c r="H7" t="s">
        <v>159</v>
      </c>
      <c r="I7" t="s">
        <v>154</v>
      </c>
      <c r="J7">
        <f>_xlfn.XLOOKUP(TABELA_PPCI_1[[#This Row],[DESCRIÇÃO]],'TABELA MÃE'!D:D,'TABELA MÃE'!B:B)</f>
        <v>0</v>
      </c>
    </row>
    <row r="8" spans="1:10" x14ac:dyDescent="0.25">
      <c r="C8" t="s">
        <v>154</v>
      </c>
      <c r="D8" t="s">
        <v>154</v>
      </c>
      <c r="G8" t="s">
        <v>154</v>
      </c>
      <c r="H8" t="s">
        <v>159</v>
      </c>
      <c r="I8" t="s">
        <v>154</v>
      </c>
      <c r="J8">
        <f>_xlfn.XLOOKUP(TABELA_PPCI_1[[#This Row],[DESCRIÇÃO]],'TABELA MÃE'!D:D,'TABELA MÃE'!B:B)</f>
        <v>0</v>
      </c>
    </row>
    <row r="9" spans="1:10" x14ac:dyDescent="0.25">
      <c r="C9" t="s">
        <v>154</v>
      </c>
      <c r="D9" t="s">
        <v>154</v>
      </c>
      <c r="G9" t="s">
        <v>154</v>
      </c>
      <c r="H9" t="s">
        <v>159</v>
      </c>
      <c r="I9" t="s">
        <v>154</v>
      </c>
      <c r="J9">
        <f>_xlfn.XLOOKUP(TABELA_PPCI_1[[#This Row],[DESCRIÇÃO]],'TABELA MÃE'!D:D,'TABELA MÃE'!B:B)</f>
        <v>0</v>
      </c>
    </row>
    <row r="10" spans="1:10" x14ac:dyDescent="0.25">
      <c r="C10" t="s">
        <v>154</v>
      </c>
      <c r="D10" t="s">
        <v>154</v>
      </c>
      <c r="G10" t="s">
        <v>154</v>
      </c>
      <c r="H10" t="s">
        <v>159</v>
      </c>
      <c r="I10" t="s">
        <v>154</v>
      </c>
      <c r="J10">
        <f>_xlfn.XLOOKUP(TABELA_PPCI_1[[#This Row],[DESCRIÇÃO]],'TABELA MÃE'!D:D,'TABELA MÃE'!B:B)</f>
        <v>0</v>
      </c>
    </row>
    <row r="11" spans="1:10" x14ac:dyDescent="0.25">
      <c r="C11" t="s">
        <v>154</v>
      </c>
      <c r="D11" t="s">
        <v>154</v>
      </c>
      <c r="G11" t="s">
        <v>154</v>
      </c>
      <c r="H11" t="s">
        <v>159</v>
      </c>
      <c r="I11" t="s">
        <v>154</v>
      </c>
      <c r="J11">
        <f>_xlfn.XLOOKUP(TABELA_PPCI_1[[#This Row],[DESCRIÇÃO]],'TABELA MÃE'!D:D,'TABELA MÃE'!B:B)</f>
        <v>0</v>
      </c>
    </row>
    <row r="12" spans="1:10" x14ac:dyDescent="0.25">
      <c r="C12" t="s">
        <v>154</v>
      </c>
      <c r="D12" t="s">
        <v>154</v>
      </c>
      <c r="G12" t="s">
        <v>154</v>
      </c>
      <c r="H12" t="s">
        <v>159</v>
      </c>
      <c r="I12" t="s">
        <v>154</v>
      </c>
      <c r="J12">
        <f>_xlfn.XLOOKUP(TABELA_PPCI_1[[#This Row],[DESCRIÇÃO]],'TABELA MÃE'!D:D,'TABELA MÃE'!B:B)</f>
        <v>0</v>
      </c>
    </row>
    <row r="13" spans="1:10" x14ac:dyDescent="0.25">
      <c r="C13" t="s">
        <v>154</v>
      </c>
      <c r="D13" t="s">
        <v>154</v>
      </c>
      <c r="G13" t="s">
        <v>154</v>
      </c>
      <c r="H13" t="s">
        <v>159</v>
      </c>
      <c r="I13" t="s">
        <v>154</v>
      </c>
      <c r="J13">
        <f>_xlfn.XLOOKUP(TABELA_PPCI_1[[#This Row],[DESCRIÇÃO]],'TABELA MÃE'!D:D,'TABELA MÃE'!B:B)</f>
        <v>0</v>
      </c>
    </row>
    <row r="14" spans="1:10" x14ac:dyDescent="0.25">
      <c r="C14" t="s">
        <v>154</v>
      </c>
      <c r="D14" t="s">
        <v>154</v>
      </c>
      <c r="G14" t="s">
        <v>154</v>
      </c>
      <c r="H14" t="s">
        <v>159</v>
      </c>
      <c r="I14" t="s">
        <v>154</v>
      </c>
      <c r="J14">
        <f>_xlfn.XLOOKUP(TABELA_PPCI_1[[#This Row],[DESCRIÇÃO]],'TABELA MÃE'!D:D,'TABELA MÃE'!B:B)</f>
        <v>0</v>
      </c>
    </row>
    <row r="15" spans="1:10" x14ac:dyDescent="0.25">
      <c r="C15" t="s">
        <v>154</v>
      </c>
      <c r="D15" t="s">
        <v>154</v>
      </c>
      <c r="G15" t="s">
        <v>154</v>
      </c>
      <c r="H15" t="s">
        <v>159</v>
      </c>
      <c r="I15" t="s">
        <v>154</v>
      </c>
      <c r="J15">
        <f>_xlfn.XLOOKUP(TABELA_PPCI_1[[#This Row],[DESCRIÇÃO]],'TABELA MÃE'!D:D,'TABELA MÃE'!B:B)</f>
        <v>0</v>
      </c>
    </row>
    <row r="16" spans="1:10" x14ac:dyDescent="0.25">
      <c r="C16" t="s">
        <v>154</v>
      </c>
      <c r="D16" t="s">
        <v>154</v>
      </c>
      <c r="G16" t="s">
        <v>154</v>
      </c>
      <c r="H16" t="s">
        <v>159</v>
      </c>
      <c r="I16" t="s">
        <v>154</v>
      </c>
      <c r="J16">
        <f>_xlfn.XLOOKUP(TABELA_PPCI_1[[#This Row],[DESCRIÇÃO]],'TABELA MÃE'!D:D,'TABELA MÃE'!B:B)</f>
        <v>0</v>
      </c>
    </row>
    <row r="17" spans="3:10" x14ac:dyDescent="0.25">
      <c r="C17" t="s">
        <v>154</v>
      </c>
      <c r="D17" t="s">
        <v>154</v>
      </c>
      <c r="G17" t="s">
        <v>154</v>
      </c>
      <c r="H17" t="s">
        <v>159</v>
      </c>
      <c r="I17" t="s">
        <v>154</v>
      </c>
      <c r="J17">
        <f>_xlfn.XLOOKUP(TABELA_PPCI_1[[#This Row],[DESCRIÇÃO]],'TABELA MÃE'!D:D,'TABELA MÃE'!B:B)</f>
        <v>0</v>
      </c>
    </row>
    <row r="18" spans="3:10" x14ac:dyDescent="0.25">
      <c r="C18" t="s">
        <v>154</v>
      </c>
      <c r="D18" t="s">
        <v>154</v>
      </c>
      <c r="G18" t="s">
        <v>154</v>
      </c>
      <c r="H18" t="s">
        <v>159</v>
      </c>
      <c r="I18" t="s">
        <v>154</v>
      </c>
      <c r="J18">
        <f>_xlfn.XLOOKUP(TABELA_PPCI_1[[#This Row],[DESCRIÇÃO]],'TABELA MÃE'!D:D,'TABELA MÃE'!B:B)</f>
        <v>0</v>
      </c>
    </row>
    <row r="19" spans="3:10" x14ac:dyDescent="0.25">
      <c r="C19" t="s">
        <v>154</v>
      </c>
      <c r="D19" t="s">
        <v>154</v>
      </c>
      <c r="G19" t="s">
        <v>154</v>
      </c>
      <c r="H19" t="s">
        <v>159</v>
      </c>
      <c r="I19" t="s">
        <v>154</v>
      </c>
      <c r="J19">
        <f>_xlfn.XLOOKUP(TABELA_PPCI_1[[#This Row],[DESCRIÇÃO]],'TABELA MÃE'!D:D,'TABELA MÃE'!B:B)</f>
        <v>0</v>
      </c>
    </row>
    <row r="20" spans="3:10" x14ac:dyDescent="0.25">
      <c r="C20" t="s">
        <v>154</v>
      </c>
      <c r="D20" t="s">
        <v>154</v>
      </c>
      <c r="G20" t="s">
        <v>154</v>
      </c>
      <c r="H20" t="s">
        <v>159</v>
      </c>
      <c r="I20" t="s">
        <v>154</v>
      </c>
      <c r="J20">
        <f>_xlfn.XLOOKUP(TABELA_PPCI_1[[#This Row],[DESCRIÇÃO]],'TABELA MÃE'!D:D,'TABELA MÃE'!B:B)</f>
        <v>0</v>
      </c>
    </row>
    <row r="21" spans="3:10" x14ac:dyDescent="0.25">
      <c r="C21" t="s">
        <v>154</v>
      </c>
      <c r="D21" t="s">
        <v>154</v>
      </c>
      <c r="G21" t="s">
        <v>154</v>
      </c>
      <c r="H21" t="s">
        <v>159</v>
      </c>
      <c r="I21" t="s">
        <v>154</v>
      </c>
      <c r="J21">
        <f>_xlfn.XLOOKUP(TABELA_PPCI_1[[#This Row],[DESCRIÇÃO]],'TABELA MÃE'!D:D,'TABELA MÃE'!B:B)</f>
        <v>0</v>
      </c>
    </row>
    <row r="22" spans="3:10" x14ac:dyDescent="0.25">
      <c r="C22" t="s">
        <v>154</v>
      </c>
      <c r="D22" t="s">
        <v>154</v>
      </c>
      <c r="G22" t="s">
        <v>154</v>
      </c>
      <c r="H22" t="s">
        <v>159</v>
      </c>
      <c r="I22" t="s">
        <v>154</v>
      </c>
      <c r="J22">
        <f>_xlfn.XLOOKUP(TABELA_PPCI_1[[#This Row],[DESCRIÇÃO]],'TABELA MÃE'!D:D,'TABELA MÃE'!B:B)</f>
        <v>0</v>
      </c>
    </row>
    <row r="23" spans="3:10" x14ac:dyDescent="0.25">
      <c r="C23" t="s">
        <v>154</v>
      </c>
      <c r="D23" t="s">
        <v>154</v>
      </c>
      <c r="G23" t="s">
        <v>154</v>
      </c>
      <c r="H23" t="s">
        <v>159</v>
      </c>
      <c r="I23" t="s">
        <v>154</v>
      </c>
      <c r="J23">
        <f>_xlfn.XLOOKUP(TABELA_PPCI_1[[#This Row],[DESCRIÇÃO]],'TABELA MÃE'!D:D,'TABELA MÃE'!B:B)</f>
        <v>0</v>
      </c>
    </row>
    <row r="24" spans="3:10" x14ac:dyDescent="0.25">
      <c r="C24" t="s">
        <v>154</v>
      </c>
      <c r="D24" t="s">
        <v>154</v>
      </c>
      <c r="G24" t="s">
        <v>154</v>
      </c>
      <c r="H24" t="s">
        <v>159</v>
      </c>
      <c r="I24" t="s">
        <v>154</v>
      </c>
      <c r="J24">
        <f>_xlfn.XLOOKUP(TABELA_PPCI_1[[#This Row],[DESCRIÇÃO]],'TABELA MÃE'!D:D,'TABELA MÃE'!B:B)</f>
        <v>0</v>
      </c>
    </row>
    <row r="25" spans="3:10" x14ac:dyDescent="0.25">
      <c r="C25" t="s">
        <v>154</v>
      </c>
      <c r="D25" t="s">
        <v>154</v>
      </c>
      <c r="G25" t="s">
        <v>154</v>
      </c>
      <c r="H25" t="s">
        <v>159</v>
      </c>
      <c r="I25" t="s">
        <v>154</v>
      </c>
      <c r="J25">
        <f>_xlfn.XLOOKUP(TABELA_PPCI_1[[#This Row],[DESCRIÇÃO]],'TABELA MÃE'!D:D,'TABELA MÃE'!B:B)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318BC-8CC7-499A-A2A7-5197F74FC891}">
  <sheetPr codeName="Planilha23"/>
  <dimension ref="A1:J25"/>
  <sheetViews>
    <sheetView workbookViewId="0"/>
  </sheetViews>
  <sheetFormatPr defaultRowHeight="15" x14ac:dyDescent="0.25"/>
  <cols>
    <col min="1" max="1" width="7.140625" bestFit="1" customWidth="1"/>
    <col min="2" max="2" width="13.140625" bestFit="1" customWidth="1"/>
    <col min="3" max="3" width="27.28515625" bestFit="1" customWidth="1"/>
    <col min="4" max="4" width="6.28515625" bestFit="1" customWidth="1"/>
    <col min="5" max="6" width="7.28515625" bestFit="1" customWidth="1"/>
    <col min="7" max="7" width="17.42578125" bestFit="1" customWidth="1"/>
    <col min="8" max="8" width="16.7109375" bestFit="1" customWidth="1"/>
    <col min="9" max="9" width="22.28515625" bestFit="1" customWidth="1"/>
    <col min="10" max="10" width="14" bestFit="1" customWidth="1"/>
  </cols>
  <sheetData>
    <row r="1" spans="1:10" x14ac:dyDescent="0.25">
      <c r="A1" t="s">
        <v>8</v>
      </c>
      <c r="B1" t="s">
        <v>9</v>
      </c>
      <c r="C1" t="s">
        <v>29</v>
      </c>
      <c r="D1" t="s">
        <v>30</v>
      </c>
      <c r="E1" t="s">
        <v>31</v>
      </c>
      <c r="F1" t="s">
        <v>32</v>
      </c>
      <c r="G1" t="s">
        <v>49</v>
      </c>
      <c r="H1" t="s">
        <v>144</v>
      </c>
      <c r="I1" t="s">
        <v>33</v>
      </c>
      <c r="J1" t="s">
        <v>158</v>
      </c>
    </row>
    <row r="2" spans="1:10" x14ac:dyDescent="0.25">
      <c r="C2" t="s">
        <v>154</v>
      </c>
      <c r="D2" t="s">
        <v>154</v>
      </c>
      <c r="G2" t="s">
        <v>154</v>
      </c>
      <c r="H2" t="s">
        <v>159</v>
      </c>
      <c r="I2" t="s">
        <v>154</v>
      </c>
      <c r="J2">
        <f>_xlfn.XLOOKUP(TABELA_DRENAGEM_1[[#This Row],[DESCRIÇÃO]],'TABELA MÃE'!D:D,'TABELA MÃE'!B:B)</f>
        <v>0</v>
      </c>
    </row>
    <row r="3" spans="1:10" x14ac:dyDescent="0.25">
      <c r="C3" t="s">
        <v>154</v>
      </c>
      <c r="D3" t="s">
        <v>154</v>
      </c>
      <c r="G3" t="s">
        <v>154</v>
      </c>
      <c r="H3" t="s">
        <v>159</v>
      </c>
      <c r="I3" t="s">
        <v>154</v>
      </c>
      <c r="J3">
        <f>_xlfn.XLOOKUP(TABELA_DRENAGEM_1[[#This Row],[DESCRIÇÃO]],'TABELA MÃE'!D:D,'TABELA MÃE'!B:B)</f>
        <v>0</v>
      </c>
    </row>
    <row r="4" spans="1:10" x14ac:dyDescent="0.25">
      <c r="C4" t="s">
        <v>154</v>
      </c>
      <c r="D4" t="s">
        <v>154</v>
      </c>
      <c r="G4" t="s">
        <v>154</v>
      </c>
      <c r="H4" t="s">
        <v>159</v>
      </c>
      <c r="I4" t="s">
        <v>154</v>
      </c>
      <c r="J4">
        <f>_xlfn.XLOOKUP(TABELA_DRENAGEM_1[[#This Row],[DESCRIÇÃO]],'TABELA MÃE'!D:D,'TABELA MÃE'!B:B)</f>
        <v>0</v>
      </c>
    </row>
    <row r="5" spans="1:10" x14ac:dyDescent="0.25">
      <c r="C5" t="s">
        <v>154</v>
      </c>
      <c r="D5" t="s">
        <v>154</v>
      </c>
      <c r="G5" t="s">
        <v>154</v>
      </c>
      <c r="H5" t="s">
        <v>159</v>
      </c>
      <c r="I5" t="s">
        <v>154</v>
      </c>
      <c r="J5">
        <f>_xlfn.XLOOKUP(TABELA_DRENAGEM_1[[#This Row],[DESCRIÇÃO]],'TABELA MÃE'!D:D,'TABELA MÃE'!B:B)</f>
        <v>0</v>
      </c>
    </row>
    <row r="6" spans="1:10" x14ac:dyDescent="0.25">
      <c r="C6" t="s">
        <v>154</v>
      </c>
      <c r="D6" t="s">
        <v>154</v>
      </c>
      <c r="G6" t="s">
        <v>154</v>
      </c>
      <c r="H6" t="s">
        <v>159</v>
      </c>
      <c r="I6" t="s">
        <v>154</v>
      </c>
      <c r="J6">
        <f>_xlfn.XLOOKUP(TABELA_DRENAGEM_1[[#This Row],[DESCRIÇÃO]],'TABELA MÃE'!D:D,'TABELA MÃE'!B:B)</f>
        <v>0</v>
      </c>
    </row>
    <row r="7" spans="1:10" x14ac:dyDescent="0.25">
      <c r="C7" t="s">
        <v>154</v>
      </c>
      <c r="D7" t="s">
        <v>154</v>
      </c>
      <c r="G7" t="s">
        <v>154</v>
      </c>
      <c r="H7" t="s">
        <v>159</v>
      </c>
      <c r="I7" t="s">
        <v>154</v>
      </c>
      <c r="J7">
        <f>_xlfn.XLOOKUP(TABELA_DRENAGEM_1[[#This Row],[DESCRIÇÃO]],'TABELA MÃE'!D:D,'TABELA MÃE'!B:B)</f>
        <v>0</v>
      </c>
    </row>
    <row r="8" spans="1:10" x14ac:dyDescent="0.25">
      <c r="C8" t="s">
        <v>154</v>
      </c>
      <c r="D8" t="s">
        <v>154</v>
      </c>
      <c r="G8" t="s">
        <v>154</v>
      </c>
      <c r="H8" t="s">
        <v>159</v>
      </c>
      <c r="I8" t="s">
        <v>154</v>
      </c>
      <c r="J8">
        <f>_xlfn.XLOOKUP(TABELA_DRENAGEM_1[[#This Row],[DESCRIÇÃO]],'TABELA MÃE'!D:D,'TABELA MÃE'!B:B)</f>
        <v>0</v>
      </c>
    </row>
    <row r="9" spans="1:10" x14ac:dyDescent="0.25">
      <c r="C9" t="s">
        <v>154</v>
      </c>
      <c r="D9" t="s">
        <v>154</v>
      </c>
      <c r="G9" t="s">
        <v>154</v>
      </c>
      <c r="H9" t="s">
        <v>159</v>
      </c>
      <c r="I9" t="s">
        <v>154</v>
      </c>
      <c r="J9">
        <f>_xlfn.XLOOKUP(TABELA_DRENAGEM_1[[#This Row],[DESCRIÇÃO]],'TABELA MÃE'!D:D,'TABELA MÃE'!B:B)</f>
        <v>0</v>
      </c>
    </row>
    <row r="10" spans="1:10" x14ac:dyDescent="0.25">
      <c r="C10" t="s">
        <v>154</v>
      </c>
      <c r="D10" t="s">
        <v>154</v>
      </c>
      <c r="G10" t="s">
        <v>154</v>
      </c>
      <c r="H10" t="s">
        <v>159</v>
      </c>
      <c r="I10" t="s">
        <v>154</v>
      </c>
      <c r="J10">
        <f>_xlfn.XLOOKUP(TABELA_DRENAGEM_1[[#This Row],[DESCRIÇÃO]],'TABELA MÃE'!D:D,'TABELA MÃE'!B:B)</f>
        <v>0</v>
      </c>
    </row>
    <row r="11" spans="1:10" x14ac:dyDescent="0.25">
      <c r="C11" t="s">
        <v>154</v>
      </c>
      <c r="D11" t="s">
        <v>154</v>
      </c>
      <c r="G11" t="s">
        <v>154</v>
      </c>
      <c r="H11" t="s">
        <v>159</v>
      </c>
      <c r="I11" t="s">
        <v>154</v>
      </c>
      <c r="J11">
        <f>_xlfn.XLOOKUP(TABELA_DRENAGEM_1[[#This Row],[DESCRIÇÃO]],'TABELA MÃE'!D:D,'TABELA MÃE'!B:B)</f>
        <v>0</v>
      </c>
    </row>
    <row r="12" spans="1:10" x14ac:dyDescent="0.25">
      <c r="C12" t="s">
        <v>154</v>
      </c>
      <c r="D12" t="s">
        <v>154</v>
      </c>
      <c r="G12" t="s">
        <v>154</v>
      </c>
      <c r="H12" t="s">
        <v>159</v>
      </c>
      <c r="I12" t="s">
        <v>154</v>
      </c>
      <c r="J12">
        <f>_xlfn.XLOOKUP(TABELA_DRENAGEM_1[[#This Row],[DESCRIÇÃO]],'TABELA MÃE'!D:D,'TABELA MÃE'!B:B)</f>
        <v>0</v>
      </c>
    </row>
    <row r="13" spans="1:10" x14ac:dyDescent="0.25">
      <c r="C13" t="s">
        <v>154</v>
      </c>
      <c r="D13" t="s">
        <v>154</v>
      </c>
      <c r="G13" t="s">
        <v>154</v>
      </c>
      <c r="H13" t="s">
        <v>159</v>
      </c>
      <c r="I13" t="s">
        <v>154</v>
      </c>
      <c r="J13">
        <f>_xlfn.XLOOKUP(TABELA_DRENAGEM_1[[#This Row],[DESCRIÇÃO]],'TABELA MÃE'!D:D,'TABELA MÃE'!B:B)</f>
        <v>0</v>
      </c>
    </row>
    <row r="14" spans="1:10" x14ac:dyDescent="0.25">
      <c r="C14" t="s">
        <v>154</v>
      </c>
      <c r="D14" t="s">
        <v>154</v>
      </c>
      <c r="G14" t="s">
        <v>154</v>
      </c>
      <c r="H14" t="s">
        <v>159</v>
      </c>
      <c r="I14" t="s">
        <v>154</v>
      </c>
      <c r="J14">
        <f>_xlfn.XLOOKUP(TABELA_DRENAGEM_1[[#This Row],[DESCRIÇÃO]],'TABELA MÃE'!D:D,'TABELA MÃE'!B:B)</f>
        <v>0</v>
      </c>
    </row>
    <row r="15" spans="1:10" x14ac:dyDescent="0.25">
      <c r="C15" t="s">
        <v>154</v>
      </c>
      <c r="D15" t="s">
        <v>154</v>
      </c>
      <c r="G15" t="s">
        <v>154</v>
      </c>
      <c r="H15" t="s">
        <v>159</v>
      </c>
      <c r="I15" t="s">
        <v>154</v>
      </c>
      <c r="J15">
        <f>_xlfn.XLOOKUP(TABELA_DRENAGEM_1[[#This Row],[DESCRIÇÃO]],'TABELA MÃE'!D:D,'TABELA MÃE'!B:B)</f>
        <v>0</v>
      </c>
    </row>
    <row r="16" spans="1:10" x14ac:dyDescent="0.25">
      <c r="C16" t="s">
        <v>154</v>
      </c>
      <c r="D16" t="s">
        <v>154</v>
      </c>
      <c r="G16" t="s">
        <v>154</v>
      </c>
      <c r="H16" t="s">
        <v>159</v>
      </c>
      <c r="I16" t="s">
        <v>154</v>
      </c>
      <c r="J16">
        <f>_xlfn.XLOOKUP(TABELA_DRENAGEM_1[[#This Row],[DESCRIÇÃO]],'TABELA MÃE'!D:D,'TABELA MÃE'!B:B)</f>
        <v>0</v>
      </c>
    </row>
    <row r="17" spans="3:10" x14ac:dyDescent="0.25">
      <c r="C17" t="s">
        <v>154</v>
      </c>
      <c r="D17" t="s">
        <v>154</v>
      </c>
      <c r="G17" t="s">
        <v>154</v>
      </c>
      <c r="H17" t="s">
        <v>159</v>
      </c>
      <c r="I17" t="s">
        <v>154</v>
      </c>
      <c r="J17">
        <f>_xlfn.XLOOKUP(TABELA_DRENAGEM_1[[#This Row],[DESCRIÇÃO]],'TABELA MÃE'!D:D,'TABELA MÃE'!B:B)</f>
        <v>0</v>
      </c>
    </row>
    <row r="18" spans="3:10" x14ac:dyDescent="0.25">
      <c r="C18" t="s">
        <v>154</v>
      </c>
      <c r="D18" t="s">
        <v>154</v>
      </c>
      <c r="G18" t="s">
        <v>154</v>
      </c>
      <c r="H18" t="s">
        <v>159</v>
      </c>
      <c r="I18" t="s">
        <v>154</v>
      </c>
      <c r="J18">
        <f>_xlfn.XLOOKUP(TABELA_DRENAGEM_1[[#This Row],[DESCRIÇÃO]],'TABELA MÃE'!D:D,'TABELA MÃE'!B:B)</f>
        <v>0</v>
      </c>
    </row>
    <row r="19" spans="3:10" x14ac:dyDescent="0.25">
      <c r="C19" t="s">
        <v>154</v>
      </c>
      <c r="D19" t="s">
        <v>154</v>
      </c>
      <c r="G19" t="s">
        <v>154</v>
      </c>
      <c r="H19" t="s">
        <v>159</v>
      </c>
      <c r="I19" t="s">
        <v>154</v>
      </c>
      <c r="J19">
        <f>_xlfn.XLOOKUP(TABELA_DRENAGEM_1[[#This Row],[DESCRIÇÃO]],'TABELA MÃE'!D:D,'TABELA MÃE'!B:B)</f>
        <v>0</v>
      </c>
    </row>
    <row r="20" spans="3:10" x14ac:dyDescent="0.25">
      <c r="C20" t="s">
        <v>154</v>
      </c>
      <c r="D20" t="s">
        <v>154</v>
      </c>
      <c r="G20" t="s">
        <v>154</v>
      </c>
      <c r="H20" t="s">
        <v>159</v>
      </c>
      <c r="I20" t="s">
        <v>154</v>
      </c>
      <c r="J20">
        <f>_xlfn.XLOOKUP(TABELA_DRENAGEM_1[[#This Row],[DESCRIÇÃO]],'TABELA MÃE'!D:D,'TABELA MÃE'!B:B)</f>
        <v>0</v>
      </c>
    </row>
    <row r="21" spans="3:10" x14ac:dyDescent="0.25">
      <c r="C21" t="s">
        <v>154</v>
      </c>
      <c r="D21" t="s">
        <v>154</v>
      </c>
      <c r="G21" t="s">
        <v>154</v>
      </c>
      <c r="H21" t="s">
        <v>159</v>
      </c>
      <c r="I21" t="s">
        <v>154</v>
      </c>
      <c r="J21">
        <f>_xlfn.XLOOKUP(TABELA_DRENAGEM_1[[#This Row],[DESCRIÇÃO]],'TABELA MÃE'!D:D,'TABELA MÃE'!B:B)</f>
        <v>0</v>
      </c>
    </row>
    <row r="22" spans="3:10" x14ac:dyDescent="0.25">
      <c r="C22" t="s">
        <v>154</v>
      </c>
      <c r="D22" t="s">
        <v>154</v>
      </c>
      <c r="G22" t="s">
        <v>154</v>
      </c>
      <c r="H22" t="s">
        <v>159</v>
      </c>
      <c r="I22" t="s">
        <v>154</v>
      </c>
      <c r="J22">
        <f>_xlfn.XLOOKUP(TABELA_DRENAGEM_1[[#This Row],[DESCRIÇÃO]],'TABELA MÃE'!D:D,'TABELA MÃE'!B:B)</f>
        <v>0</v>
      </c>
    </row>
    <row r="23" spans="3:10" x14ac:dyDescent="0.25">
      <c r="C23" t="s">
        <v>154</v>
      </c>
      <c r="D23" t="s">
        <v>154</v>
      </c>
      <c r="G23" t="s">
        <v>154</v>
      </c>
      <c r="H23" t="s">
        <v>159</v>
      </c>
      <c r="I23" t="s">
        <v>154</v>
      </c>
      <c r="J23">
        <f>_xlfn.XLOOKUP(TABELA_DRENAGEM_1[[#This Row],[DESCRIÇÃO]],'TABELA MÃE'!D:D,'TABELA MÃE'!B:B)</f>
        <v>0</v>
      </c>
    </row>
    <row r="24" spans="3:10" x14ac:dyDescent="0.25">
      <c r="C24" t="s">
        <v>154</v>
      </c>
      <c r="D24" t="s">
        <v>154</v>
      </c>
      <c r="G24" t="s">
        <v>154</v>
      </c>
      <c r="H24" t="s">
        <v>159</v>
      </c>
      <c r="I24" t="s">
        <v>154</v>
      </c>
      <c r="J24">
        <f>_xlfn.XLOOKUP(TABELA_DRENAGEM_1[[#This Row],[DESCRIÇÃO]],'TABELA MÃE'!D:D,'TABELA MÃE'!B:B)</f>
        <v>0</v>
      </c>
    </row>
    <row r="25" spans="3:10" x14ac:dyDescent="0.25">
      <c r="C25" t="s">
        <v>154</v>
      </c>
      <c r="D25" t="s">
        <v>154</v>
      </c>
      <c r="G25" t="s">
        <v>154</v>
      </c>
      <c r="H25" t="s">
        <v>159</v>
      </c>
      <c r="I25" t="s">
        <v>154</v>
      </c>
      <c r="J25">
        <f>_xlfn.XLOOKUP(TABELA_DRENAGEM_1[[#This Row],[DESCRIÇÃO]],'TABELA MÃE'!D:D,'TABELA MÃE'!B:B)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5E9AC-B3B5-4B46-B4FF-08975AF333BA}">
  <sheetPr codeName="Planilha24"/>
  <dimension ref="A1:J25"/>
  <sheetViews>
    <sheetView workbookViewId="0"/>
  </sheetViews>
  <sheetFormatPr defaultRowHeight="15" x14ac:dyDescent="0.25"/>
  <cols>
    <col min="1" max="1" width="7.140625" bestFit="1" customWidth="1"/>
    <col min="2" max="2" width="13.140625" bestFit="1" customWidth="1"/>
    <col min="3" max="3" width="27.28515625" bestFit="1" customWidth="1"/>
    <col min="4" max="4" width="6.28515625" bestFit="1" customWidth="1"/>
    <col min="5" max="6" width="7.28515625" bestFit="1" customWidth="1"/>
    <col min="7" max="7" width="17.42578125" bestFit="1" customWidth="1"/>
    <col min="8" max="8" width="16.7109375" bestFit="1" customWidth="1"/>
    <col min="9" max="9" width="22.28515625" bestFit="1" customWidth="1"/>
    <col min="10" max="10" width="14" bestFit="1" customWidth="1"/>
  </cols>
  <sheetData>
    <row r="1" spans="1:10" x14ac:dyDescent="0.25">
      <c r="A1" t="s">
        <v>8</v>
      </c>
      <c r="B1" t="s">
        <v>9</v>
      </c>
      <c r="C1" t="s">
        <v>29</v>
      </c>
      <c r="D1" t="s">
        <v>30</v>
      </c>
      <c r="E1" t="s">
        <v>31</v>
      </c>
      <c r="F1" t="s">
        <v>32</v>
      </c>
      <c r="G1" t="s">
        <v>49</v>
      </c>
      <c r="H1" t="s">
        <v>144</v>
      </c>
      <c r="I1" t="s">
        <v>33</v>
      </c>
      <c r="J1" t="s">
        <v>158</v>
      </c>
    </row>
    <row r="2" spans="1:10" x14ac:dyDescent="0.25">
      <c r="C2" t="s">
        <v>154</v>
      </c>
      <c r="D2" t="s">
        <v>154</v>
      </c>
      <c r="G2" t="s">
        <v>154</v>
      </c>
      <c r="H2" t="s">
        <v>159</v>
      </c>
      <c r="I2" t="s">
        <v>154</v>
      </c>
      <c r="J2">
        <f>_xlfn.XLOOKUP(TABELA_KIT_F_1[[#This Row],[DESCRIÇÃO]],'TABELA MÃE'!D:D,'TABELA MÃE'!B:B)</f>
        <v>0</v>
      </c>
    </row>
    <row r="3" spans="1:10" x14ac:dyDescent="0.25">
      <c r="C3" t="s">
        <v>154</v>
      </c>
      <c r="D3" t="s">
        <v>154</v>
      </c>
      <c r="G3" t="s">
        <v>154</v>
      </c>
      <c r="H3" t="s">
        <v>159</v>
      </c>
      <c r="I3" t="s">
        <v>154</v>
      </c>
      <c r="J3">
        <f>_xlfn.XLOOKUP(TABELA_KIT_F_1[[#This Row],[DESCRIÇÃO]],'TABELA MÃE'!D:D,'TABELA MÃE'!B:B)</f>
        <v>0</v>
      </c>
    </row>
    <row r="4" spans="1:10" x14ac:dyDescent="0.25">
      <c r="C4" t="s">
        <v>154</v>
      </c>
      <c r="D4" t="s">
        <v>154</v>
      </c>
      <c r="G4" t="s">
        <v>154</v>
      </c>
      <c r="H4" t="s">
        <v>159</v>
      </c>
      <c r="I4" t="s">
        <v>154</v>
      </c>
      <c r="J4">
        <f>_xlfn.XLOOKUP(TABELA_KIT_F_1[[#This Row],[DESCRIÇÃO]],'TABELA MÃE'!D:D,'TABELA MÃE'!B:B)</f>
        <v>0</v>
      </c>
    </row>
    <row r="5" spans="1:10" x14ac:dyDescent="0.25">
      <c r="C5" t="s">
        <v>154</v>
      </c>
      <c r="D5" t="s">
        <v>154</v>
      </c>
      <c r="G5" t="s">
        <v>154</v>
      </c>
      <c r="H5" t="s">
        <v>159</v>
      </c>
      <c r="I5" t="s">
        <v>154</v>
      </c>
      <c r="J5">
        <f>_xlfn.XLOOKUP(TABELA_KIT_F_1[[#This Row],[DESCRIÇÃO]],'TABELA MÃE'!D:D,'TABELA MÃE'!B:B)</f>
        <v>0</v>
      </c>
    </row>
    <row r="6" spans="1:10" x14ac:dyDescent="0.25">
      <c r="C6" t="s">
        <v>154</v>
      </c>
      <c r="D6" t="s">
        <v>154</v>
      </c>
      <c r="G6" t="s">
        <v>154</v>
      </c>
      <c r="H6" t="s">
        <v>159</v>
      </c>
      <c r="I6" t="s">
        <v>154</v>
      </c>
      <c r="J6">
        <f>_xlfn.XLOOKUP(TABELA_KIT_F_1[[#This Row],[DESCRIÇÃO]],'TABELA MÃE'!D:D,'TABELA MÃE'!B:B)</f>
        <v>0</v>
      </c>
    </row>
    <row r="7" spans="1:10" x14ac:dyDescent="0.25">
      <c r="C7" t="s">
        <v>154</v>
      </c>
      <c r="D7" t="s">
        <v>154</v>
      </c>
      <c r="G7" t="s">
        <v>154</v>
      </c>
      <c r="H7" t="s">
        <v>159</v>
      </c>
      <c r="I7" t="s">
        <v>154</v>
      </c>
      <c r="J7">
        <f>_xlfn.XLOOKUP(TABELA_KIT_F_1[[#This Row],[DESCRIÇÃO]],'TABELA MÃE'!D:D,'TABELA MÃE'!B:B)</f>
        <v>0</v>
      </c>
    </row>
    <row r="8" spans="1:10" x14ac:dyDescent="0.25">
      <c r="C8" t="s">
        <v>154</v>
      </c>
      <c r="D8" t="s">
        <v>154</v>
      </c>
      <c r="G8" t="s">
        <v>154</v>
      </c>
      <c r="H8" t="s">
        <v>159</v>
      </c>
      <c r="I8" t="s">
        <v>154</v>
      </c>
      <c r="J8">
        <f>_xlfn.XLOOKUP(TABELA_KIT_F_1[[#This Row],[DESCRIÇÃO]],'TABELA MÃE'!D:D,'TABELA MÃE'!B:B)</f>
        <v>0</v>
      </c>
    </row>
    <row r="9" spans="1:10" x14ac:dyDescent="0.25">
      <c r="C9" t="s">
        <v>154</v>
      </c>
      <c r="D9" t="s">
        <v>154</v>
      </c>
      <c r="G9" t="s">
        <v>154</v>
      </c>
      <c r="H9" t="s">
        <v>159</v>
      </c>
      <c r="I9" t="s">
        <v>154</v>
      </c>
      <c r="J9">
        <f>_xlfn.XLOOKUP(TABELA_KIT_F_1[[#This Row],[DESCRIÇÃO]],'TABELA MÃE'!D:D,'TABELA MÃE'!B:B)</f>
        <v>0</v>
      </c>
    </row>
    <row r="10" spans="1:10" x14ac:dyDescent="0.25">
      <c r="C10" t="s">
        <v>154</v>
      </c>
      <c r="D10" t="s">
        <v>154</v>
      </c>
      <c r="G10" t="s">
        <v>154</v>
      </c>
      <c r="H10" t="s">
        <v>159</v>
      </c>
      <c r="I10" t="s">
        <v>154</v>
      </c>
      <c r="J10">
        <f>_xlfn.XLOOKUP(TABELA_KIT_F_1[[#This Row],[DESCRIÇÃO]],'TABELA MÃE'!D:D,'TABELA MÃE'!B:B)</f>
        <v>0</v>
      </c>
    </row>
    <row r="11" spans="1:10" x14ac:dyDescent="0.25">
      <c r="C11" t="s">
        <v>154</v>
      </c>
      <c r="D11" t="s">
        <v>154</v>
      </c>
      <c r="G11" t="s">
        <v>154</v>
      </c>
      <c r="H11" t="s">
        <v>159</v>
      </c>
      <c r="I11" t="s">
        <v>154</v>
      </c>
      <c r="J11">
        <f>_xlfn.XLOOKUP(TABELA_KIT_F_1[[#This Row],[DESCRIÇÃO]],'TABELA MÃE'!D:D,'TABELA MÃE'!B:B)</f>
        <v>0</v>
      </c>
    </row>
    <row r="12" spans="1:10" x14ac:dyDescent="0.25">
      <c r="C12" t="s">
        <v>154</v>
      </c>
      <c r="D12" t="s">
        <v>154</v>
      </c>
      <c r="G12" t="s">
        <v>154</v>
      </c>
      <c r="H12" t="s">
        <v>159</v>
      </c>
      <c r="I12" t="s">
        <v>154</v>
      </c>
      <c r="J12">
        <f>_xlfn.XLOOKUP(TABELA_KIT_F_1[[#This Row],[DESCRIÇÃO]],'TABELA MÃE'!D:D,'TABELA MÃE'!B:B)</f>
        <v>0</v>
      </c>
    </row>
    <row r="13" spans="1:10" x14ac:dyDescent="0.25">
      <c r="C13" t="s">
        <v>154</v>
      </c>
      <c r="D13" t="s">
        <v>154</v>
      </c>
      <c r="G13" t="s">
        <v>154</v>
      </c>
      <c r="H13" t="s">
        <v>159</v>
      </c>
      <c r="I13" t="s">
        <v>154</v>
      </c>
      <c r="J13">
        <f>_xlfn.XLOOKUP(TABELA_KIT_F_1[[#This Row],[DESCRIÇÃO]],'TABELA MÃE'!D:D,'TABELA MÃE'!B:B)</f>
        <v>0</v>
      </c>
    </row>
    <row r="14" spans="1:10" x14ac:dyDescent="0.25">
      <c r="C14" t="s">
        <v>154</v>
      </c>
      <c r="D14" t="s">
        <v>154</v>
      </c>
      <c r="G14" t="s">
        <v>154</v>
      </c>
      <c r="H14" t="s">
        <v>159</v>
      </c>
      <c r="I14" t="s">
        <v>154</v>
      </c>
      <c r="J14">
        <f>_xlfn.XLOOKUP(TABELA_KIT_F_1[[#This Row],[DESCRIÇÃO]],'TABELA MÃE'!D:D,'TABELA MÃE'!B:B)</f>
        <v>0</v>
      </c>
    </row>
    <row r="15" spans="1:10" x14ac:dyDescent="0.25">
      <c r="C15" t="s">
        <v>154</v>
      </c>
      <c r="D15" t="s">
        <v>154</v>
      </c>
      <c r="G15" t="s">
        <v>154</v>
      </c>
      <c r="H15" t="s">
        <v>159</v>
      </c>
      <c r="I15" t="s">
        <v>154</v>
      </c>
      <c r="J15">
        <f>_xlfn.XLOOKUP(TABELA_KIT_F_1[[#This Row],[DESCRIÇÃO]],'TABELA MÃE'!D:D,'TABELA MÃE'!B:B)</f>
        <v>0</v>
      </c>
    </row>
    <row r="16" spans="1:10" x14ac:dyDescent="0.25">
      <c r="C16" t="s">
        <v>154</v>
      </c>
      <c r="D16" t="s">
        <v>154</v>
      </c>
      <c r="G16" t="s">
        <v>154</v>
      </c>
      <c r="H16" t="s">
        <v>159</v>
      </c>
      <c r="I16" t="s">
        <v>154</v>
      </c>
      <c r="J16">
        <f>_xlfn.XLOOKUP(TABELA_KIT_F_1[[#This Row],[DESCRIÇÃO]],'TABELA MÃE'!D:D,'TABELA MÃE'!B:B)</f>
        <v>0</v>
      </c>
    </row>
    <row r="17" spans="3:10" x14ac:dyDescent="0.25">
      <c r="C17" t="s">
        <v>154</v>
      </c>
      <c r="D17" t="s">
        <v>154</v>
      </c>
      <c r="G17" t="s">
        <v>154</v>
      </c>
      <c r="H17" t="s">
        <v>159</v>
      </c>
      <c r="I17" t="s">
        <v>154</v>
      </c>
      <c r="J17">
        <f>_xlfn.XLOOKUP(TABELA_KIT_F_1[[#This Row],[DESCRIÇÃO]],'TABELA MÃE'!D:D,'TABELA MÃE'!B:B)</f>
        <v>0</v>
      </c>
    </row>
    <row r="18" spans="3:10" x14ac:dyDescent="0.25">
      <c r="C18" t="s">
        <v>154</v>
      </c>
      <c r="D18" t="s">
        <v>154</v>
      </c>
      <c r="G18" t="s">
        <v>154</v>
      </c>
      <c r="H18" t="s">
        <v>159</v>
      </c>
      <c r="I18" t="s">
        <v>154</v>
      </c>
      <c r="J18">
        <f>_xlfn.XLOOKUP(TABELA_KIT_F_1[[#This Row],[DESCRIÇÃO]],'TABELA MÃE'!D:D,'TABELA MÃE'!B:B)</f>
        <v>0</v>
      </c>
    </row>
    <row r="19" spans="3:10" x14ac:dyDescent="0.25">
      <c r="C19" t="s">
        <v>154</v>
      </c>
      <c r="D19" t="s">
        <v>154</v>
      </c>
      <c r="G19" t="s">
        <v>154</v>
      </c>
      <c r="H19" t="s">
        <v>159</v>
      </c>
      <c r="I19" t="s">
        <v>154</v>
      </c>
      <c r="J19">
        <f>_xlfn.XLOOKUP(TABELA_KIT_F_1[[#This Row],[DESCRIÇÃO]],'TABELA MÃE'!D:D,'TABELA MÃE'!B:B)</f>
        <v>0</v>
      </c>
    </row>
    <row r="20" spans="3:10" x14ac:dyDescent="0.25">
      <c r="C20" t="s">
        <v>154</v>
      </c>
      <c r="D20" t="s">
        <v>154</v>
      </c>
      <c r="G20" t="s">
        <v>154</v>
      </c>
      <c r="H20" t="s">
        <v>159</v>
      </c>
      <c r="I20" t="s">
        <v>154</v>
      </c>
      <c r="J20">
        <f>_xlfn.XLOOKUP(TABELA_KIT_F_1[[#This Row],[DESCRIÇÃO]],'TABELA MÃE'!D:D,'TABELA MÃE'!B:B)</f>
        <v>0</v>
      </c>
    </row>
    <row r="21" spans="3:10" x14ac:dyDescent="0.25">
      <c r="C21" t="s">
        <v>154</v>
      </c>
      <c r="D21" t="s">
        <v>154</v>
      </c>
      <c r="G21" t="s">
        <v>154</v>
      </c>
      <c r="H21" t="s">
        <v>159</v>
      </c>
      <c r="I21" t="s">
        <v>154</v>
      </c>
      <c r="J21">
        <f>_xlfn.XLOOKUP(TABELA_KIT_F_1[[#This Row],[DESCRIÇÃO]],'TABELA MÃE'!D:D,'TABELA MÃE'!B:B)</f>
        <v>0</v>
      </c>
    </row>
    <row r="22" spans="3:10" x14ac:dyDescent="0.25">
      <c r="C22" t="s">
        <v>154</v>
      </c>
      <c r="D22" t="s">
        <v>154</v>
      </c>
      <c r="G22" t="s">
        <v>154</v>
      </c>
      <c r="H22" t="s">
        <v>159</v>
      </c>
      <c r="I22" t="s">
        <v>154</v>
      </c>
      <c r="J22">
        <f>_xlfn.XLOOKUP(TABELA_KIT_F_1[[#This Row],[DESCRIÇÃO]],'TABELA MÃE'!D:D,'TABELA MÃE'!B:B)</f>
        <v>0</v>
      </c>
    </row>
    <row r="23" spans="3:10" x14ac:dyDescent="0.25">
      <c r="C23" t="s">
        <v>154</v>
      </c>
      <c r="D23" t="s">
        <v>154</v>
      </c>
      <c r="G23" t="s">
        <v>154</v>
      </c>
      <c r="H23" t="s">
        <v>159</v>
      </c>
      <c r="I23" t="s">
        <v>154</v>
      </c>
      <c r="J23">
        <f>_xlfn.XLOOKUP(TABELA_KIT_F_1[[#This Row],[DESCRIÇÃO]],'TABELA MÃE'!D:D,'TABELA MÃE'!B:B)</f>
        <v>0</v>
      </c>
    </row>
    <row r="24" spans="3:10" x14ac:dyDescent="0.25">
      <c r="C24" t="s">
        <v>154</v>
      </c>
      <c r="D24" t="s">
        <v>154</v>
      </c>
      <c r="G24" t="s">
        <v>154</v>
      </c>
      <c r="H24" t="s">
        <v>159</v>
      </c>
      <c r="I24" t="s">
        <v>154</v>
      </c>
      <c r="J24">
        <f>_xlfn.XLOOKUP(TABELA_KIT_F_1[[#This Row],[DESCRIÇÃO]],'TABELA MÃE'!D:D,'TABELA MÃE'!B:B)</f>
        <v>0</v>
      </c>
    </row>
    <row r="25" spans="3:10" x14ac:dyDescent="0.25">
      <c r="C25" t="s">
        <v>154</v>
      </c>
      <c r="D25" t="s">
        <v>154</v>
      </c>
      <c r="G25" t="s">
        <v>154</v>
      </c>
      <c r="H25" t="s">
        <v>159</v>
      </c>
      <c r="I25" t="s">
        <v>154</v>
      </c>
      <c r="J25">
        <f>_xlfn.XLOOKUP(TABELA_KIT_F_1[[#This Row],[DESCRIÇÃO]],'TABELA MÃE'!D:D,'TABELA MÃE'!B:B)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A4343FE99E44D4A8DAD669FB33467DF" ma:contentTypeVersion="26" ma:contentTypeDescription="Crie um novo documento." ma:contentTypeScope="" ma:versionID="4276a8e2f42dea30595a73ea2df6dc83">
  <xsd:schema xmlns:xsd="http://www.w3.org/2001/XMLSchema" xmlns:xs="http://www.w3.org/2001/XMLSchema" xmlns:p="http://schemas.microsoft.com/office/2006/metadata/properties" xmlns:ns2="b7503049-040b-4958-adde-6f326bf83a96" xmlns:ns3="be407a02-8a54-4398-8ef2-afd8fc4c3c94" targetNamespace="http://schemas.microsoft.com/office/2006/metadata/properties" ma:root="true" ma:fieldsID="7e24c1267db820228c92da99bcc49d8d" ns2:_="" ns3:_="">
    <xsd:import namespace="b7503049-040b-4958-adde-6f326bf83a96"/>
    <xsd:import namespace="be407a02-8a54-4398-8ef2-afd8fc4c3c9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2:MigrationWizId" minOccurs="0"/>
                <xsd:element ref="ns2:MigrationWizIdPermissions" minOccurs="0"/>
                <xsd:element ref="ns2:MigrationWizIdVersion" minOccurs="0"/>
                <xsd:element ref="ns2:lcf76f155ced4ddcb4097134ff3c332f0" minOccurs="0"/>
                <xsd:element ref="ns2:lcf76f155ced4ddcb4097134ff3c332f1" minOccurs="0"/>
                <xsd:element ref="ns2:lcf76f155ced4ddcb4097134ff3c332f2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503049-040b-4958-adde-6f326bf83a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Marcações de imagem" ma:readOnly="false" ma:fieldId="{5cf76f15-5ced-4ddc-b409-7134ff3c332f}" ma:taxonomyMulti="true" ma:sspId="41af5229-c265-419a-a629-ca55efaba6d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igrationWizId" ma:index="26" nillable="true" ma:displayName="MigrationWizId" ma:internalName="MigrationWizId">
      <xsd:simpleType>
        <xsd:restriction base="dms:Text"/>
      </xsd:simpleType>
    </xsd:element>
    <xsd:element name="MigrationWizIdPermissions" ma:index="27" nillable="true" ma:displayName="MigrationWizIdPermissions" ma:internalName="MigrationWizIdPermissions">
      <xsd:simpleType>
        <xsd:restriction base="dms:Text"/>
      </xsd:simpleType>
    </xsd:element>
    <xsd:element name="MigrationWizIdVersion" ma:index="28" nillable="true" ma:displayName="MigrationWizIdVersion" ma:internalName="MigrationWizIdVersion">
      <xsd:simpleType>
        <xsd:restriction base="dms:Text"/>
      </xsd:simpleType>
    </xsd:element>
    <xsd:element name="lcf76f155ced4ddcb4097134ff3c332f0" ma:index="29" nillable="true" ma:displayName="Marcações de imagem_0" ma:hidden="true" ma:internalName="lcf76f155ced4ddcb4097134ff3c332f0" ma:readOnly="false">
      <xsd:simpleType>
        <xsd:restriction base="dms:Note"/>
      </xsd:simpleType>
    </xsd:element>
    <xsd:element name="lcf76f155ced4ddcb4097134ff3c332f1" ma:index="30" nillable="true" ma:displayName="Marcações de imagem_0" ma:hidden="true" ma:internalName="lcf76f155ced4ddcb4097134ff3c332f1" ma:readOnly="false">
      <xsd:simpleType>
        <xsd:restriction base="dms:Note"/>
      </xsd:simpleType>
    </xsd:element>
    <xsd:element name="lcf76f155ced4ddcb4097134ff3c332f2" ma:index="31" nillable="true" ma:displayName="Marcações de imagem_0" ma:hidden="true" ma:internalName="lcf76f155ced4ddcb4097134ff3c332f2" ma:readOnly="false">
      <xsd:simpleType>
        <xsd:restriction base="dms:Note"/>
      </xsd:simpleType>
    </xsd:element>
    <xsd:element name="MediaServiceBillingMetadata" ma:index="3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407a02-8a54-4398-8ef2-afd8fc4c3c9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08b785e-c016-4c4d-b696-952528a43a08}" ma:internalName="TaxCatchAll" ma:readOnly="false" ma:showField="CatchAllData" ma:web="be407a02-8a54-4398-8ef2-afd8fc4c3c9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WizIdPermissions xmlns="b7503049-040b-4958-adde-6f326bf83a96" xsi:nil="true"/>
    <lcf76f155ced4ddcb4097134ff3c332f0 xmlns="b7503049-040b-4958-adde-6f326bf83a96" xsi:nil="true"/>
    <lcf76f155ced4ddcb4097134ff3c332f1 xmlns="b7503049-040b-4958-adde-6f326bf83a96" xsi:nil="true"/>
    <lcf76f155ced4ddcb4097134ff3c332f2 xmlns="b7503049-040b-4958-adde-6f326bf83a96" xsi:nil="true"/>
    <lcf76f155ced4ddcb4097134ff3c332f xmlns="b7503049-040b-4958-adde-6f326bf83a96">
      <Terms xmlns="http://schemas.microsoft.com/office/infopath/2007/PartnerControls"/>
    </lcf76f155ced4ddcb4097134ff3c332f>
    <MigrationWizId xmlns="b7503049-040b-4958-adde-6f326bf83a96" xsi:nil="true"/>
    <TaxCatchAll xmlns="be407a02-8a54-4398-8ef2-afd8fc4c3c94" xsi:nil="true"/>
    <MigrationWizIdVersion xmlns="b7503049-040b-4958-adde-6f326bf83a96" xsi:nil="true"/>
  </documentManagement>
</p:properties>
</file>

<file path=customXml/itemProps1.xml><?xml version="1.0" encoding="utf-8"?>
<ds:datastoreItem xmlns:ds="http://schemas.openxmlformats.org/officeDocument/2006/customXml" ds:itemID="{8745EECE-171E-4050-A1AF-49A955F128C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131F244-CF5F-487D-A155-1BD34C92C8A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D0FC0CD-58A4-4E90-9D5A-40FB69B1527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7503049-040b-4958-adde-6f326bf83a96"/>
    <ds:schemaRef ds:uri="be407a02-8a54-4398-8ef2-afd8fc4c3c9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2A82C08-4268-4B06-A374-8AA7D216BDC6}">
  <ds:schemaRefs>
    <ds:schemaRef ds:uri="http://schemas.microsoft.com/office/2006/metadata/properties"/>
    <ds:schemaRef ds:uri="http://schemas.microsoft.com/office/infopath/2007/PartnerControls"/>
    <ds:schemaRef ds:uri="b7503049-040b-4958-adde-6f326bf83a96"/>
    <ds:schemaRef ds:uri="be407a02-8a54-4398-8ef2-afd8fc4c3c9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27</vt:i4>
      </vt:variant>
      <vt:variant>
        <vt:lpstr>Intervalos Nomeados</vt:lpstr>
      </vt:variant>
      <vt:variant>
        <vt:i4>2</vt:i4>
      </vt:variant>
    </vt:vector>
  </HeadingPairs>
  <TitlesOfParts>
    <vt:vector size="29" baseType="lpstr">
      <vt:lpstr>Controle_de_Revisões</vt:lpstr>
      <vt:lpstr>Solicitações_de_Melhoria</vt:lpstr>
      <vt:lpstr>CAPA-LM</vt:lpstr>
      <vt:lpstr>TABELA MÃE</vt:lpstr>
      <vt:lpstr>DASHBOARD</vt:lpstr>
      <vt:lpstr>TABELA_GERAL</vt:lpstr>
      <vt:lpstr>LM-ATER.</vt:lpstr>
      <vt:lpstr>LM-CA BT</vt:lpstr>
      <vt:lpstr>LM-CA MT</vt:lpstr>
      <vt:lpstr>LM-CERC.</vt:lpstr>
      <vt:lpstr>LM-CFTV</vt:lpstr>
      <vt:lpstr>LM-CIVIL</vt:lpstr>
      <vt:lpstr>LM-MISC.</vt:lpstr>
      <vt:lpstr>LM-PPCI</vt:lpstr>
      <vt:lpstr>LM-DREN.</vt:lpstr>
      <vt:lpstr>LM-KIT F.</vt:lpstr>
      <vt:lpstr>AUXILIAR_DASHBOARD</vt:lpstr>
      <vt:lpstr>TABELA_ATERRAMENTO</vt:lpstr>
      <vt:lpstr>TABELA_CA_BT</vt:lpstr>
      <vt:lpstr>TABELA_CA_MT</vt:lpstr>
      <vt:lpstr>TABELA_CERCAMENTO</vt:lpstr>
      <vt:lpstr>TABELA_CFTV</vt:lpstr>
      <vt:lpstr>TABELA_CIVIL</vt:lpstr>
      <vt:lpstr>TABELA_MISCELÂNEA</vt:lpstr>
      <vt:lpstr>TABELA_PPCI</vt:lpstr>
      <vt:lpstr>TABELA_DRENAGEM</vt:lpstr>
      <vt:lpstr>TABELA_KIT_F</vt:lpstr>
      <vt:lpstr>Lista_resp</vt:lpstr>
      <vt:lpstr>TABELA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Caldas de Carvalho Ferreira</dc:creator>
  <cp:lastModifiedBy>Fabiano Dias Botelho</cp:lastModifiedBy>
  <cp:lastPrinted>2025-12-17T13:49:28Z</cp:lastPrinted>
  <dcterms:created xsi:type="dcterms:W3CDTF">2025-11-26T13:45:05Z</dcterms:created>
  <dcterms:modified xsi:type="dcterms:W3CDTF">2026-05-28T11:16:49Z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0x010100BA4343FE99E44D4A8DAD669FB33467DF</vt:lpwstr>
  </property>
  <property fmtid="{D5CDD505-2E9C-101B-9397-08002B2CF9AE}" pid="3" name="MediaServiceImageTags">
    <vt:lpwstr/>
  </property>
</Properties>
</file>